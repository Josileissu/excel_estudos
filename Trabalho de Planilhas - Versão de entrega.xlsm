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drawings/drawing1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sileissu\Desktop\Arquivos Excel Git\"/>
    </mc:Choice>
  </mc:AlternateContent>
  <xr:revisionPtr revIDLastSave="0" documentId="13_ncr:1_{E3194F21-475B-40FB-8D99-70425B681D17}" xr6:coauthVersionLast="47" xr6:coauthVersionMax="47" xr10:uidLastSave="{00000000-0000-0000-0000-000000000000}"/>
  <bookViews>
    <workbookView xWindow="-120" yWindow="-120" windowWidth="29040" windowHeight="15840" tabRatio="1000" xr2:uid="{00000000-000D-0000-FFFF-FFFF00000000}"/>
  </bookViews>
  <sheets>
    <sheet name="IR PARA" sheetId="14" r:id="rId1"/>
    <sheet name="Propriedades" sheetId="15" state="veryHidden" r:id="rId2"/>
    <sheet name="Inserção de Dados e Comb" sheetId="1" state="veryHidden" r:id="rId3"/>
    <sheet name="Determinar Q" sheetId="2" state="veryHidden" r:id="rId4"/>
    <sheet name="Calcular Nex" sheetId="5" state="veryHidden" r:id="rId5"/>
    <sheet name="Calcular Ney" sheetId="6" state="veryHidden" r:id="rId6"/>
    <sheet name="Calcular Nez" sheetId="7" state="veryHidden" r:id="rId7"/>
    <sheet name="Calcular Neyz" sheetId="8" state="veryHidden" r:id="rId8"/>
    <sheet name="Índice de Esbeltez Reduzido" sheetId="9" state="veryHidden" r:id="rId9"/>
    <sheet name="X" sheetId="10" state="veryHidden" r:id="rId10"/>
    <sheet name="Nc,Rd" sheetId="11" state="veryHidden" r:id="rId11"/>
    <sheet name="Nt,Rd" sheetId="13" state="veryHidden" r:id="rId12"/>
    <sheet name="Verificação" sheetId="12" state="veryHidden" r:id="rId13"/>
    <sheet name="CantoneiraDupla" sheetId="3" state="veryHidden" r:id="rId14"/>
  </sheets>
  <externalReferences>
    <externalReference r:id="rId15"/>
  </externalReferences>
  <definedNames>
    <definedName name="_xlnm.Print_Area" localSheetId="12">Verificação!$A$1:$K$53</definedName>
    <definedName name="Eaço">[1]Propriedades!$B$3</definedName>
    <definedName name="Gaço">[1]Propriedades!$B$4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13" l="1"/>
  <c r="C1" i="13" s="1"/>
  <c r="D1" i="13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B1" i="12"/>
  <c r="C1" i="12" s="1"/>
  <c r="D1" i="12" s="1"/>
  <c r="E1" i="12" s="1"/>
  <c r="F1" i="12" s="1"/>
  <c r="G1" i="12" s="1"/>
  <c r="H1" i="12" s="1"/>
  <c r="I1" i="12" s="1"/>
  <c r="J1" i="12" s="1"/>
  <c r="B1" i="5"/>
  <c r="C1" i="5" s="1"/>
  <c r="D1" i="5" s="1"/>
  <c r="E1" i="5" s="1"/>
  <c r="F1" i="5" s="1"/>
  <c r="B1" i="2"/>
  <c r="C1" i="2" s="1"/>
  <c r="D1" i="2" s="1"/>
  <c r="E1" i="2" s="1"/>
  <c r="F1" i="2" s="1"/>
  <c r="G1" i="2" s="1"/>
  <c r="D2" i="8"/>
  <c r="B2" i="8"/>
  <c r="D2" i="7"/>
  <c r="B2" i="7"/>
  <c r="B1" i="11"/>
  <c r="C1" i="11" s="1"/>
  <c r="B1" i="10"/>
  <c r="C1" i="10" s="1"/>
  <c r="B1" i="9"/>
  <c r="C1" i="9" s="1"/>
  <c r="B1" i="8"/>
  <c r="C1" i="8" s="1"/>
  <c r="B1" i="7"/>
  <c r="C1" i="7" s="1"/>
  <c r="D1" i="7" s="1"/>
  <c r="E1" i="7" s="1"/>
  <c r="F1" i="7" s="1"/>
  <c r="G1" i="7" s="1"/>
  <c r="B1" i="6"/>
  <c r="C1" i="6" s="1"/>
  <c r="D1" i="6" s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I6" i="1"/>
  <c r="Q6" i="1" s="1"/>
  <c r="J6" i="1"/>
  <c r="K6" i="1"/>
  <c r="L6" i="1"/>
  <c r="M6" i="1"/>
  <c r="N6" i="1"/>
  <c r="O6" i="1"/>
  <c r="I7" i="1"/>
  <c r="J7" i="1"/>
  <c r="K7" i="1"/>
  <c r="L7" i="1"/>
  <c r="M7" i="1"/>
  <c r="N7" i="1"/>
  <c r="O7" i="1"/>
  <c r="I8" i="1"/>
  <c r="J8" i="1"/>
  <c r="K8" i="1"/>
  <c r="L8" i="1"/>
  <c r="M8" i="1"/>
  <c r="N8" i="1"/>
  <c r="O8" i="1"/>
  <c r="I9" i="1"/>
  <c r="J9" i="1"/>
  <c r="K9" i="1"/>
  <c r="L9" i="1"/>
  <c r="M9" i="1"/>
  <c r="N9" i="1"/>
  <c r="O9" i="1"/>
  <c r="I10" i="1"/>
  <c r="J10" i="1"/>
  <c r="K10" i="1"/>
  <c r="L10" i="1"/>
  <c r="M10" i="1"/>
  <c r="N10" i="1"/>
  <c r="O10" i="1"/>
  <c r="I11" i="1"/>
  <c r="J11" i="1"/>
  <c r="K11" i="1"/>
  <c r="L11" i="1"/>
  <c r="M11" i="1"/>
  <c r="N11" i="1"/>
  <c r="O11" i="1"/>
  <c r="I12" i="1"/>
  <c r="J12" i="1"/>
  <c r="K12" i="1"/>
  <c r="L12" i="1"/>
  <c r="M12" i="1"/>
  <c r="N12" i="1"/>
  <c r="O12" i="1"/>
  <c r="I13" i="1"/>
  <c r="J13" i="1"/>
  <c r="K13" i="1"/>
  <c r="L13" i="1"/>
  <c r="M13" i="1"/>
  <c r="N13" i="1"/>
  <c r="O13" i="1"/>
  <c r="I14" i="1"/>
  <c r="J14" i="1"/>
  <c r="K14" i="1"/>
  <c r="L14" i="1"/>
  <c r="M14" i="1"/>
  <c r="N14" i="1"/>
  <c r="O14" i="1"/>
  <c r="I15" i="1"/>
  <c r="J15" i="1"/>
  <c r="K15" i="1"/>
  <c r="L15" i="1"/>
  <c r="M15" i="1"/>
  <c r="N15" i="1"/>
  <c r="O15" i="1"/>
  <c r="I16" i="1"/>
  <c r="J16" i="1"/>
  <c r="K16" i="1"/>
  <c r="L16" i="1"/>
  <c r="M16" i="1"/>
  <c r="N16" i="1"/>
  <c r="O16" i="1"/>
  <c r="I17" i="1"/>
  <c r="J17" i="1"/>
  <c r="K17" i="1"/>
  <c r="L17" i="1"/>
  <c r="M17" i="1"/>
  <c r="N17" i="1"/>
  <c r="O17" i="1"/>
  <c r="I18" i="1"/>
  <c r="J18" i="1"/>
  <c r="K18" i="1"/>
  <c r="L18" i="1"/>
  <c r="M18" i="1"/>
  <c r="N18" i="1"/>
  <c r="O18" i="1"/>
  <c r="I19" i="1"/>
  <c r="J19" i="1"/>
  <c r="K19" i="1"/>
  <c r="L19" i="1"/>
  <c r="M19" i="1"/>
  <c r="N19" i="1"/>
  <c r="O19" i="1"/>
  <c r="I20" i="1"/>
  <c r="J20" i="1"/>
  <c r="K20" i="1"/>
  <c r="L20" i="1"/>
  <c r="M20" i="1"/>
  <c r="N20" i="1"/>
  <c r="O20" i="1"/>
  <c r="I21" i="1"/>
  <c r="J21" i="1"/>
  <c r="K21" i="1"/>
  <c r="L21" i="1"/>
  <c r="M21" i="1"/>
  <c r="N21" i="1"/>
  <c r="O21" i="1"/>
  <c r="I22" i="1"/>
  <c r="J22" i="1"/>
  <c r="K22" i="1"/>
  <c r="L22" i="1"/>
  <c r="M22" i="1"/>
  <c r="N22" i="1"/>
  <c r="O22" i="1"/>
  <c r="I23" i="1"/>
  <c r="J23" i="1"/>
  <c r="K23" i="1"/>
  <c r="L23" i="1"/>
  <c r="M23" i="1"/>
  <c r="N23" i="1"/>
  <c r="O23" i="1"/>
  <c r="I24" i="1"/>
  <c r="J24" i="1"/>
  <c r="K24" i="1"/>
  <c r="L24" i="1"/>
  <c r="M24" i="1"/>
  <c r="N24" i="1"/>
  <c r="O24" i="1"/>
  <c r="I25" i="1"/>
  <c r="J25" i="1"/>
  <c r="K25" i="1"/>
  <c r="L25" i="1"/>
  <c r="M25" i="1"/>
  <c r="N25" i="1"/>
  <c r="O25" i="1"/>
  <c r="I26" i="1"/>
  <c r="J26" i="1"/>
  <c r="K26" i="1"/>
  <c r="L26" i="1"/>
  <c r="M26" i="1"/>
  <c r="N26" i="1"/>
  <c r="O26" i="1"/>
  <c r="I27" i="1"/>
  <c r="J27" i="1"/>
  <c r="K27" i="1"/>
  <c r="L27" i="1"/>
  <c r="M27" i="1"/>
  <c r="P27" i="1" s="1"/>
  <c r="N27" i="1"/>
  <c r="O27" i="1"/>
  <c r="I28" i="1"/>
  <c r="J28" i="1"/>
  <c r="K28" i="1"/>
  <c r="P28" i="1" s="1"/>
  <c r="L28" i="1"/>
  <c r="M28" i="1"/>
  <c r="N28" i="1"/>
  <c r="O28" i="1"/>
  <c r="I29" i="1"/>
  <c r="J29" i="1"/>
  <c r="K29" i="1"/>
  <c r="L29" i="1"/>
  <c r="M29" i="1"/>
  <c r="N29" i="1"/>
  <c r="O29" i="1"/>
  <c r="I30" i="1"/>
  <c r="J30" i="1"/>
  <c r="K30" i="1"/>
  <c r="L30" i="1"/>
  <c r="M30" i="1"/>
  <c r="N30" i="1"/>
  <c r="O30" i="1"/>
  <c r="I31" i="1"/>
  <c r="J31" i="1"/>
  <c r="K31" i="1"/>
  <c r="L31" i="1"/>
  <c r="M31" i="1"/>
  <c r="N31" i="1"/>
  <c r="O31" i="1"/>
  <c r="I32" i="1"/>
  <c r="J32" i="1"/>
  <c r="K32" i="1"/>
  <c r="L32" i="1"/>
  <c r="M32" i="1"/>
  <c r="N32" i="1"/>
  <c r="O32" i="1"/>
  <c r="I33" i="1"/>
  <c r="J33" i="1"/>
  <c r="K33" i="1"/>
  <c r="L33" i="1"/>
  <c r="M33" i="1"/>
  <c r="N33" i="1"/>
  <c r="O33" i="1"/>
  <c r="I34" i="1"/>
  <c r="J34" i="1"/>
  <c r="K34" i="1"/>
  <c r="L34" i="1"/>
  <c r="M34" i="1"/>
  <c r="N34" i="1"/>
  <c r="O34" i="1"/>
  <c r="I35" i="1"/>
  <c r="J35" i="1"/>
  <c r="K35" i="1"/>
  <c r="L35" i="1"/>
  <c r="M35" i="1"/>
  <c r="N35" i="1"/>
  <c r="O35" i="1"/>
  <c r="I36" i="1"/>
  <c r="J36" i="1"/>
  <c r="K36" i="1"/>
  <c r="L36" i="1"/>
  <c r="M36" i="1"/>
  <c r="N36" i="1"/>
  <c r="O36" i="1"/>
  <c r="I37" i="1"/>
  <c r="J37" i="1"/>
  <c r="K37" i="1"/>
  <c r="L37" i="1"/>
  <c r="M37" i="1"/>
  <c r="N37" i="1"/>
  <c r="O37" i="1"/>
  <c r="I38" i="1"/>
  <c r="J38" i="1"/>
  <c r="K38" i="1"/>
  <c r="L38" i="1"/>
  <c r="M38" i="1"/>
  <c r="N38" i="1"/>
  <c r="O38" i="1"/>
  <c r="I39" i="1"/>
  <c r="J39" i="1"/>
  <c r="K39" i="1"/>
  <c r="L39" i="1"/>
  <c r="M39" i="1"/>
  <c r="N39" i="1"/>
  <c r="O39" i="1"/>
  <c r="I40" i="1"/>
  <c r="J40" i="1"/>
  <c r="K40" i="1"/>
  <c r="L40" i="1"/>
  <c r="M40" i="1"/>
  <c r="N40" i="1"/>
  <c r="O40" i="1"/>
  <c r="I41" i="1"/>
  <c r="P41" i="1" s="1"/>
  <c r="J41" i="1"/>
  <c r="K41" i="1"/>
  <c r="L41" i="1"/>
  <c r="M41" i="1"/>
  <c r="N41" i="1"/>
  <c r="O41" i="1"/>
  <c r="I42" i="1"/>
  <c r="J42" i="1"/>
  <c r="K42" i="1"/>
  <c r="L42" i="1"/>
  <c r="M42" i="1"/>
  <c r="N42" i="1"/>
  <c r="O42" i="1"/>
  <c r="I43" i="1"/>
  <c r="J43" i="1"/>
  <c r="K43" i="1"/>
  <c r="L43" i="1"/>
  <c r="M43" i="1"/>
  <c r="N43" i="1"/>
  <c r="O43" i="1"/>
  <c r="I44" i="1"/>
  <c r="J44" i="1"/>
  <c r="K44" i="1"/>
  <c r="Q44" i="1" s="1"/>
  <c r="L44" i="1"/>
  <c r="M44" i="1"/>
  <c r="N44" i="1"/>
  <c r="O44" i="1"/>
  <c r="I45" i="1"/>
  <c r="J45" i="1"/>
  <c r="K45" i="1"/>
  <c r="L45" i="1"/>
  <c r="M45" i="1"/>
  <c r="N45" i="1"/>
  <c r="O45" i="1"/>
  <c r="I46" i="1"/>
  <c r="J46" i="1"/>
  <c r="K46" i="1"/>
  <c r="L46" i="1"/>
  <c r="M46" i="1"/>
  <c r="N46" i="1"/>
  <c r="O46" i="1"/>
  <c r="I47" i="1"/>
  <c r="J47" i="1"/>
  <c r="K47" i="1"/>
  <c r="L47" i="1"/>
  <c r="M47" i="1"/>
  <c r="N47" i="1"/>
  <c r="O47" i="1"/>
  <c r="I48" i="1"/>
  <c r="J48" i="1"/>
  <c r="K48" i="1"/>
  <c r="L48" i="1"/>
  <c r="M48" i="1"/>
  <c r="N48" i="1"/>
  <c r="O48" i="1"/>
  <c r="I49" i="1"/>
  <c r="J49" i="1"/>
  <c r="K49" i="1"/>
  <c r="L49" i="1"/>
  <c r="M49" i="1"/>
  <c r="N49" i="1"/>
  <c r="O49" i="1"/>
  <c r="I50" i="1"/>
  <c r="J50" i="1"/>
  <c r="K50" i="1"/>
  <c r="L50" i="1"/>
  <c r="M50" i="1"/>
  <c r="N50" i="1"/>
  <c r="O50" i="1"/>
  <c r="M5" i="1"/>
  <c r="N5" i="1"/>
  <c r="O5" i="1"/>
  <c r="I5" i="1"/>
  <c r="J5" i="1"/>
  <c r="K5" i="1"/>
  <c r="L5" i="1"/>
  <c r="O4" i="1"/>
  <c r="N4" i="1"/>
  <c r="M4" i="1"/>
  <c r="L4" i="1"/>
  <c r="K4" i="1"/>
  <c r="J4" i="1"/>
  <c r="I4" i="1"/>
  <c r="P8" i="1"/>
  <c r="Q49" i="1"/>
  <c r="Q41" i="1" l="1"/>
  <c r="P38" i="1"/>
  <c r="P6" i="1"/>
  <c r="P20" i="1"/>
  <c r="Q34" i="1"/>
  <c r="P10" i="1"/>
  <c r="P30" i="1"/>
  <c r="Q46" i="1"/>
  <c r="Q4" i="1"/>
  <c r="Q7" i="1"/>
  <c r="Q8" i="1"/>
  <c r="P5" i="1"/>
  <c r="Q48" i="1"/>
  <c r="P47" i="1"/>
  <c r="P44" i="1"/>
  <c r="Q40" i="1"/>
  <c r="Q39" i="1"/>
  <c r="Q27" i="1"/>
  <c r="Q24" i="1"/>
  <c r="Q23" i="1"/>
  <c r="P16" i="1"/>
  <c r="P24" i="1"/>
  <c r="Q50" i="1"/>
  <c r="P49" i="1"/>
  <c r="P40" i="1"/>
  <c r="P39" i="1"/>
  <c r="Q38" i="1"/>
  <c r="P37" i="1"/>
  <c r="P36" i="1"/>
  <c r="P35" i="1"/>
  <c r="P34" i="1"/>
  <c r="Q33" i="1"/>
  <c r="Q32" i="1"/>
  <c r="P31" i="1"/>
  <c r="Q31" i="1"/>
  <c r="P26" i="1"/>
  <c r="Q25" i="1"/>
  <c r="P23" i="1"/>
  <c r="P22" i="1"/>
  <c r="Q21" i="1"/>
  <c r="P18" i="1"/>
  <c r="P17" i="1"/>
  <c r="Q16" i="1"/>
  <c r="Q15" i="1"/>
  <c r="P15" i="1"/>
  <c r="P14" i="1"/>
  <c r="P13" i="1"/>
  <c r="P12" i="1"/>
  <c r="P9" i="1"/>
  <c r="P7" i="1"/>
  <c r="Q45" i="1"/>
  <c r="P43" i="1"/>
  <c r="P42" i="1"/>
  <c r="Q29" i="1"/>
  <c r="Q43" i="1"/>
  <c r="P4" i="1"/>
  <c r="P32" i="1"/>
  <c r="Q26" i="1"/>
  <c r="Q35" i="1"/>
  <c r="Q22" i="1"/>
  <c r="Q36" i="1"/>
  <c r="Q28" i="1"/>
  <c r="Q19" i="1"/>
  <c r="Q11" i="1"/>
  <c r="Q37" i="1"/>
  <c r="P21" i="1"/>
  <c r="Q17" i="1"/>
  <c r="Q5" i="1"/>
  <c r="Q30" i="1"/>
  <c r="Q20" i="1"/>
  <c r="Q12" i="1"/>
  <c r="Q13" i="1"/>
  <c r="Q9" i="1"/>
  <c r="P25" i="1"/>
  <c r="P33" i="1"/>
  <c r="Q47" i="1"/>
  <c r="P29" i="1"/>
  <c r="P50" i="1"/>
  <c r="P48" i="1"/>
  <c r="P46" i="1"/>
  <c r="Q18" i="1"/>
  <c r="Q14" i="1"/>
  <c r="Q10" i="1"/>
  <c r="Q42" i="1"/>
  <c r="P19" i="1"/>
  <c r="P11" i="1"/>
  <c r="P45" i="1"/>
</calcChain>
</file>

<file path=xl/sharedStrings.xml><?xml version="1.0" encoding="utf-8"?>
<sst xmlns="http://schemas.openxmlformats.org/spreadsheetml/2006/main" count="1216" uniqueCount="456">
  <si>
    <t>Posição</t>
  </si>
  <si>
    <t>Barra</t>
  </si>
  <si>
    <t>PP Metálica (kN)</t>
  </si>
  <si>
    <t>PP Telha (kN)</t>
  </si>
  <si>
    <t>Sobrecarga (kN)</t>
  </si>
  <si>
    <t>Vento 0° (kN)</t>
  </si>
  <si>
    <t>Vento 90°(1) (kN)</t>
  </si>
  <si>
    <t>Vento 90°(2) (kN)</t>
  </si>
  <si>
    <t>Comb. 01</t>
  </si>
  <si>
    <t>Comb. 02</t>
  </si>
  <si>
    <t>Comb. 03</t>
  </si>
  <si>
    <t>Comb. 04</t>
  </si>
  <si>
    <t>Comb. 05</t>
  </si>
  <si>
    <t>Comb. 06</t>
  </si>
  <si>
    <t>Comb. 07</t>
  </si>
  <si>
    <t>Max. Tração</t>
  </si>
  <si>
    <t>Banzo Superior</t>
  </si>
  <si>
    <t>Banzo Inferior</t>
  </si>
  <si>
    <t>Diagonais</t>
  </si>
  <si>
    <t>Montantes</t>
  </si>
  <si>
    <t>Máx. Comp</t>
  </si>
  <si>
    <t>Eixo X-X</t>
  </si>
  <si>
    <t>Raio de giração em relação ao eixo Y-Y - cm</t>
  </si>
  <si>
    <t>Momento de inércia em relação ao eixo Y-Y - cm4</t>
  </si>
  <si>
    <t>Raio de giração polar</t>
  </si>
  <si>
    <t>bf</t>
  </si>
  <si>
    <t>P</t>
  </si>
  <si>
    <t>A</t>
  </si>
  <si>
    <t>tf</t>
  </si>
  <si>
    <t>I</t>
  </si>
  <si>
    <t>W</t>
  </si>
  <si>
    <t>r</t>
  </si>
  <si>
    <t>y</t>
  </si>
  <si>
    <t>t</t>
  </si>
  <si>
    <t>Iy</t>
  </si>
  <si>
    <t>It</t>
  </si>
  <si>
    <t>Cw</t>
  </si>
  <si>
    <t>1-(yo/ro)²</t>
  </si>
  <si>
    <t>Código</t>
  </si>
  <si>
    <t>pol</t>
  </si>
  <si>
    <t>cm</t>
  </si>
  <si>
    <t>kg/m</t>
  </si>
  <si>
    <t>cm2</t>
  </si>
  <si>
    <t>cm4</t>
  </si>
  <si>
    <t>cm3</t>
  </si>
  <si>
    <t>O</t>
  </si>
  <si>
    <t>1/8”</t>
  </si>
  <si>
    <t>3/16”</t>
  </si>
  <si>
    <t>1/4”</t>
  </si>
  <si>
    <t>5/16”</t>
  </si>
  <si>
    <t>3/8”</t>
  </si>
  <si>
    <t>1/2”</t>
  </si>
  <si>
    <t>cm6</t>
  </si>
  <si>
    <t>1,10</t>
  </si>
  <si>
    <t>0,22</t>
  </si>
  <si>
    <t>0,57</t>
  </si>
  <si>
    <t>0,84</t>
  </si>
  <si>
    <t>0,91</t>
  </si>
  <si>
    <t>0,98</t>
  </si>
  <si>
    <t>1,13</t>
  </si>
  <si>
    <t>pi²</t>
  </si>
  <si>
    <t>E</t>
  </si>
  <si>
    <t>KzLz</t>
  </si>
  <si>
    <t>G</t>
  </si>
  <si>
    <t>it</t>
  </si>
  <si>
    <t>ro²</t>
  </si>
  <si>
    <t>5/8”</t>
  </si>
  <si>
    <t>1,42</t>
  </si>
  <si>
    <t>0,38</t>
  </si>
  <si>
    <t>0,69</t>
  </si>
  <si>
    <t>0,95</t>
  </si>
  <si>
    <t>1,02</t>
  </si>
  <si>
    <t>1,09</t>
  </si>
  <si>
    <t>1,24</t>
  </si>
  <si>
    <t>3/4”</t>
  </si>
  <si>
    <t>1,74</t>
  </si>
  <si>
    <t>0,54</t>
  </si>
  <si>
    <t>0,82</t>
  </si>
  <si>
    <t>1,07</t>
  </si>
  <si>
    <t>1,14</t>
  </si>
  <si>
    <t>1,21</t>
  </si>
  <si>
    <t>1,35</t>
  </si>
  <si>
    <t>7/8”</t>
  </si>
  <si>
    <t>2,08</t>
  </si>
  <si>
    <t>0,76</t>
  </si>
  <si>
    <t>0,94</t>
  </si>
  <si>
    <t>1,18</t>
  </si>
  <si>
    <t>1,25</t>
  </si>
  <si>
    <t>1,32</t>
  </si>
  <si>
    <t>1,45</t>
  </si>
  <si>
    <t>2,98</t>
  </si>
  <si>
    <t>1,08</t>
  </si>
  <si>
    <t>1,31</t>
  </si>
  <si>
    <t>1,38</t>
  </si>
  <si>
    <t>1,52</t>
  </si>
  <si>
    <t>1”</t>
  </si>
  <si>
    <t>2,38</t>
  </si>
  <si>
    <t>1,39</t>
  </si>
  <si>
    <t>1,59</t>
  </si>
  <si>
    <t>3,46</t>
  </si>
  <si>
    <t>1,44</t>
  </si>
  <si>
    <t>1,11</t>
  </si>
  <si>
    <t>1,36</t>
  </si>
  <si>
    <t>1,49</t>
  </si>
  <si>
    <t>1,63</t>
  </si>
  <si>
    <t>4,44</t>
  </si>
  <si>
    <t>1,96</t>
  </si>
  <si>
    <t>1,15</t>
  </si>
  <si>
    <t>1,40</t>
  </si>
  <si>
    <t>1,47</t>
  </si>
  <si>
    <t>1,54</t>
  </si>
  <si>
    <t>1,68</t>
  </si>
  <si>
    <t>1 1/4"</t>
  </si>
  <si>
    <t>3,00</t>
  </si>
  <si>
    <t>1,62</t>
  </si>
  <si>
    <t>1,33</t>
  </si>
  <si>
    <t>1,57</t>
  </si>
  <si>
    <t>1,69</t>
  </si>
  <si>
    <t>4,40</t>
  </si>
  <si>
    <t>2,33</t>
  </si>
  <si>
    <t>1,37</t>
  </si>
  <si>
    <t>1,61</t>
  </si>
  <si>
    <t>1,67</t>
  </si>
  <si>
    <t>1,87</t>
  </si>
  <si>
    <t>5,72</t>
  </si>
  <si>
    <t>2,97</t>
  </si>
  <si>
    <t>1,70</t>
  </si>
  <si>
    <t>1,77</t>
  </si>
  <si>
    <t>1,19</t>
  </si>
  <si>
    <t>1 1/2"</t>
  </si>
  <si>
    <t>3,66</t>
  </si>
  <si>
    <t>2,36</t>
  </si>
  <si>
    <t>1,82</t>
  </si>
  <si>
    <t>1,88</t>
  </si>
  <si>
    <t>1,95</t>
  </si>
  <si>
    <t>5,36</t>
  </si>
  <si>
    <t>3,41</t>
  </si>
  <si>
    <t>1,85</t>
  </si>
  <si>
    <t>1,92</t>
  </si>
  <si>
    <t>1,98</t>
  </si>
  <si>
    <t>2,11</t>
  </si>
  <si>
    <t>6,96</t>
  </si>
  <si>
    <t>4,39</t>
  </si>
  <si>
    <t>1,64</t>
  </si>
  <si>
    <t>1,94</t>
  </si>
  <si>
    <t>2,01</t>
  </si>
  <si>
    <t>2,14</t>
  </si>
  <si>
    <t>1 3/4"</t>
  </si>
  <si>
    <t>4,28</t>
  </si>
  <si>
    <t>3,24</t>
  </si>
  <si>
    <t>2,20</t>
  </si>
  <si>
    <t>6,30</t>
  </si>
  <si>
    <t>4,72</t>
  </si>
  <si>
    <t>2,10</t>
  </si>
  <si>
    <t>2,16</t>
  </si>
  <si>
    <t>2,22</t>
  </si>
  <si>
    <t>2,35</t>
  </si>
  <si>
    <t>8,24</t>
  </si>
  <si>
    <t>6,10</t>
  </si>
  <si>
    <t>1,90</t>
  </si>
  <si>
    <t>2,13</t>
  </si>
  <si>
    <t>2,27</t>
  </si>
  <si>
    <t>2,39</t>
  </si>
  <si>
    <t>10,08</t>
  </si>
  <si>
    <t>7,50</t>
  </si>
  <si>
    <t>1,93</t>
  </si>
  <si>
    <t>2,18</t>
  </si>
  <si>
    <t>2,24</t>
  </si>
  <si>
    <t>2,30</t>
  </si>
  <si>
    <t>2,44</t>
  </si>
  <si>
    <t>2”</t>
  </si>
  <si>
    <t>4,92</t>
  </si>
  <si>
    <t>4,26</t>
  </si>
  <si>
    <t>2,12</t>
  </si>
  <si>
    <t>2,40</t>
  </si>
  <si>
    <t>2,46</t>
  </si>
  <si>
    <t>2,59</t>
  </si>
  <si>
    <t>7,26</t>
  </si>
  <si>
    <t>6,26</t>
  </si>
  <si>
    <t>2,50</t>
  </si>
  <si>
    <t>2,63</t>
  </si>
  <si>
    <t>9,48</t>
  </si>
  <si>
    <t>8,20</t>
  </si>
  <si>
    <t>2,45</t>
  </si>
  <si>
    <t>2,51</t>
  </si>
  <si>
    <t>2,64</t>
  </si>
  <si>
    <t>11,66</t>
  </si>
  <si>
    <t>9,82</t>
  </si>
  <si>
    <t>2,42</t>
  </si>
  <si>
    <t>2,48</t>
  </si>
  <si>
    <t>2,54</t>
  </si>
  <si>
    <t>2,67</t>
  </si>
  <si>
    <t>13,98</t>
  </si>
  <si>
    <t>11,46</t>
  </si>
  <si>
    <t>2,52</t>
  </si>
  <si>
    <t>2,58</t>
  </si>
  <si>
    <t>2,71</t>
  </si>
  <si>
    <t>2 1/2"</t>
  </si>
  <si>
    <t>9,14</t>
  </si>
  <si>
    <t>2,65</t>
  </si>
  <si>
    <t>3,10</t>
  </si>
  <si>
    <t>3,23</t>
  </si>
  <si>
    <t>12,20</t>
  </si>
  <si>
    <t>12,80</t>
  </si>
  <si>
    <t>3,02</t>
  </si>
  <si>
    <t>3,14</t>
  </si>
  <si>
    <t>3,27</t>
  </si>
  <si>
    <t>3,39</t>
  </si>
  <si>
    <t>14,88</t>
  </si>
  <si>
    <t>15,74</t>
  </si>
  <si>
    <t>2,69</t>
  </si>
  <si>
    <t>3,04</t>
  </si>
  <si>
    <t>3,16</t>
  </si>
  <si>
    <t>3,29</t>
  </si>
  <si>
    <t>3,42</t>
  </si>
  <si>
    <t>17,56</t>
  </si>
  <si>
    <t>18,70</t>
  </si>
  <si>
    <t>2,72</t>
  </si>
  <si>
    <t>3,08</t>
  </si>
  <si>
    <t>3,20</t>
  </si>
  <si>
    <t>3,33</t>
  </si>
  <si>
    <t>3”</t>
  </si>
  <si>
    <t>11,04</t>
  </si>
  <si>
    <t>14,42</t>
  </si>
  <si>
    <t>3,50</t>
  </si>
  <si>
    <t>3,61</t>
  </si>
  <si>
    <t>3,73</t>
  </si>
  <si>
    <t>3,85</t>
  </si>
  <si>
    <t>14,58</t>
  </si>
  <si>
    <t>19,00</t>
  </si>
  <si>
    <t>3,15</t>
  </si>
  <si>
    <t>3,49</t>
  </si>
  <si>
    <t>3,86</t>
  </si>
  <si>
    <t>18,14</t>
  </si>
  <si>
    <t>23,20</t>
  </si>
  <si>
    <t>3,21</t>
  </si>
  <si>
    <t>3,55</t>
  </si>
  <si>
    <t>3,67</t>
  </si>
  <si>
    <t>3,80</t>
  </si>
  <si>
    <t>3,92</t>
  </si>
  <si>
    <t>21,42</t>
  </si>
  <si>
    <t>27,20</t>
  </si>
  <si>
    <t>3,26</t>
  </si>
  <si>
    <t>3,98</t>
  </si>
  <si>
    <t>24,68</t>
  </si>
  <si>
    <t>7/16”</t>
  </si>
  <si>
    <t>31,20</t>
  </si>
  <si>
    <t>3,74</t>
  </si>
  <si>
    <t>3,99</t>
  </si>
  <si>
    <t>28,00</t>
  </si>
  <si>
    <t>36,00</t>
  </si>
  <si>
    <t>3,63</t>
  </si>
  <si>
    <t>3,75</t>
  </si>
  <si>
    <t>4,01</t>
  </si>
  <si>
    <t>4”</t>
  </si>
  <si>
    <t>19,62</t>
  </si>
  <si>
    <t>32,80</t>
  </si>
  <si>
    <t>4,20</t>
  </si>
  <si>
    <t>4,53</t>
  </si>
  <si>
    <t>4,65</t>
  </si>
  <si>
    <t>4,76</t>
  </si>
  <si>
    <t>4,88</t>
  </si>
  <si>
    <t>24,38</t>
  </si>
  <si>
    <t>42,60</t>
  </si>
  <si>
    <t>4,24</t>
  </si>
  <si>
    <t>4,58</t>
  </si>
  <si>
    <t>4,69</t>
  </si>
  <si>
    <t>4,81</t>
  </si>
  <si>
    <t>4,93</t>
  </si>
  <si>
    <t>29,14</t>
  </si>
  <si>
    <t>49,20</t>
  </si>
  <si>
    <t>4,62</t>
  </si>
  <si>
    <t>4,73</t>
  </si>
  <si>
    <t>4,85</t>
  </si>
  <si>
    <t>4,98</t>
  </si>
  <si>
    <t>33,60</t>
  </si>
  <si>
    <t>59,00</t>
  </si>
  <si>
    <t>4,29</t>
  </si>
  <si>
    <t>4,63</t>
  </si>
  <si>
    <t>4,75</t>
  </si>
  <si>
    <t>4,87</t>
  </si>
  <si>
    <t>5,00</t>
  </si>
  <si>
    <t>38,06</t>
  </si>
  <si>
    <t>65,60</t>
  </si>
  <si>
    <t>4,32</t>
  </si>
  <si>
    <t>4,66</t>
  </si>
  <si>
    <t>4,78</t>
  </si>
  <si>
    <t>4,90</t>
  </si>
  <si>
    <t>5,03</t>
  </si>
  <si>
    <t>42,52</t>
  </si>
  <si>
    <t>9/16”</t>
  </si>
  <si>
    <t>72,20</t>
  </si>
  <si>
    <t>4,34</t>
  </si>
  <si>
    <t>5,06</t>
  </si>
  <si>
    <t>46,70</t>
  </si>
  <si>
    <t>78,80</t>
  </si>
  <si>
    <t>4,37</t>
  </si>
  <si>
    <t>4,97</t>
  </si>
  <si>
    <t>5,10</t>
  </si>
  <si>
    <t>5”</t>
  </si>
  <si>
    <t>36,60</t>
  </si>
  <si>
    <t>79,00</t>
  </si>
  <si>
    <t>5,29</t>
  </si>
  <si>
    <t>5,62</t>
  </si>
  <si>
    <t>5,74</t>
  </si>
  <si>
    <t>5,85</t>
  </si>
  <si>
    <t>5,97</t>
  </si>
  <si>
    <t>48,20</t>
  </si>
  <si>
    <t>105,00</t>
  </si>
  <si>
    <t>5,34</t>
  </si>
  <si>
    <t>5,67</t>
  </si>
  <si>
    <t>5,79</t>
  </si>
  <si>
    <t>5,91</t>
  </si>
  <si>
    <t>6,03</t>
  </si>
  <si>
    <t>59,60</t>
  </si>
  <si>
    <t>5/8’</t>
  </si>
  <si>
    <t>128,00</t>
  </si>
  <si>
    <t>5,40</t>
  </si>
  <si>
    <t>5,86</t>
  </si>
  <si>
    <t>5,98</t>
  </si>
  <si>
    <t>6,09</t>
  </si>
  <si>
    <t>70,20</t>
  </si>
  <si>
    <t>147,60</t>
  </si>
  <si>
    <t>5,43</t>
  </si>
  <si>
    <t>5,78</t>
  </si>
  <si>
    <t>5,90</t>
  </si>
  <si>
    <t>6,02</t>
  </si>
  <si>
    <t>6,14</t>
  </si>
  <si>
    <t>6”</t>
  </si>
  <si>
    <t>44,44</t>
  </si>
  <si>
    <t>114,80</t>
  </si>
  <si>
    <t>6,34</t>
  </si>
  <si>
    <t>6,66</t>
  </si>
  <si>
    <t>6,77</t>
  </si>
  <si>
    <t>6,89</t>
  </si>
  <si>
    <t>7,00</t>
  </si>
  <si>
    <t>58,40</t>
  </si>
  <si>
    <t>150,80</t>
  </si>
  <si>
    <t>6,37</t>
  </si>
  <si>
    <t>6,70</t>
  </si>
  <si>
    <t>6,81</t>
  </si>
  <si>
    <t>6,93</t>
  </si>
  <si>
    <t>7,04</t>
  </si>
  <si>
    <t>72,00</t>
  </si>
  <si>
    <t>187,00</t>
  </si>
  <si>
    <t>6,42</t>
  </si>
  <si>
    <t>6,76</t>
  </si>
  <si>
    <t>6,87</t>
  </si>
  <si>
    <t>6,99</t>
  </si>
  <si>
    <t>7,11</t>
  </si>
  <si>
    <t>85,40</t>
  </si>
  <si>
    <t>219,80</t>
  </si>
  <si>
    <t>6,48</t>
  </si>
  <si>
    <t>6,82</t>
  </si>
  <si>
    <t>6,94</t>
  </si>
  <si>
    <t>7,06</t>
  </si>
  <si>
    <t>7,18</t>
  </si>
  <si>
    <t>98,60</t>
  </si>
  <si>
    <t>249,20</t>
  </si>
  <si>
    <t>6,52</t>
  </si>
  <si>
    <t>6,86</t>
  </si>
  <si>
    <t>6,98</t>
  </si>
  <si>
    <t>7,10</t>
  </si>
  <si>
    <t>7,22</t>
  </si>
  <si>
    <t>Código da Seção</t>
  </si>
  <si>
    <t>b/t</t>
  </si>
  <si>
    <t>Qs</t>
  </si>
  <si>
    <t>Kx</t>
  </si>
  <si>
    <t>Lx</t>
  </si>
  <si>
    <t>Nex (kN)</t>
  </si>
  <si>
    <t>Ky</t>
  </si>
  <si>
    <t>Ly</t>
  </si>
  <si>
    <t>Ney (kN)</t>
  </si>
  <si>
    <t>KyLy/ry</t>
  </si>
  <si>
    <t>Lz</t>
  </si>
  <si>
    <t>Kz</t>
  </si>
  <si>
    <t>KzLz/ro</t>
  </si>
  <si>
    <t>Nez (kN)</t>
  </si>
  <si>
    <t>Neyz (kN)</t>
  </si>
  <si>
    <t>Q</t>
  </si>
  <si>
    <t>Ag</t>
  </si>
  <si>
    <t>Ne</t>
  </si>
  <si>
    <t>Índice de Esbeltez Reduzido</t>
  </si>
  <si>
    <t>X</t>
  </si>
  <si>
    <t>Tipo de Vinculação:</t>
  </si>
  <si>
    <t>NcRd (kN)</t>
  </si>
  <si>
    <t>NtRd (kN)</t>
  </si>
  <si>
    <t>Verificação</t>
  </si>
  <si>
    <t>Seção Dupla Cantoneira</t>
  </si>
  <si>
    <t>Peso (kg)</t>
  </si>
  <si>
    <t>Ok!</t>
  </si>
  <si>
    <t>1/4"</t>
  </si>
  <si>
    <t xml:space="preserve">Peso Total: </t>
  </si>
  <si>
    <t>Falha!</t>
  </si>
  <si>
    <t>Número de Barras Destravadas:</t>
  </si>
  <si>
    <t>2L 2” x 3/16”</t>
  </si>
  <si>
    <t>23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</si>
  <si>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</si>
  <si>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</si>
  <si>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</si>
  <si>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</si>
  <si>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</si>
  <si>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</si>
  <si>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</si>
  <si>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</si>
  <si>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</si>
  <si>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</si>
  <si>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</si>
  <si>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</si>
  <si>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</si>
  <si>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</si>
  <si>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</si>
  <si>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</si>
  <si>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</si>
  <si>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</si>
  <si>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</si>
  <si>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</si>
  <si>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</si>
  <si>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</si>
  <si>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</si>
  <si>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</si>
  <si>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</si>
  <si>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</si>
  <si>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</si>
  <si>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</si>
  <si>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</si>
  <si>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</si>
  <si>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</si>
  <si>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</si>
  <si>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</si>
  <si>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</si>
  <si>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</si>
  <si>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</si>
  <si>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</si>
  <si>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</si>
  <si>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</si>
  <si>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</si>
  <si>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</si>
  <si>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</si>
  <si>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</si>
  <si>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</si>
  <si>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</si>
  <si>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2L 7/8” x 1/8”</t>
  </si>
  <si>
    <t>(b/t)lim inferior</t>
  </si>
  <si>
    <t>(b/t)lim superior</t>
  </si>
  <si>
    <r>
      <t>N</t>
    </r>
    <r>
      <rPr>
        <b/>
        <vertAlign val="subscript"/>
        <sz val="12"/>
        <color theme="0"/>
        <rFont val="Arial"/>
        <family val="2"/>
      </rPr>
      <t>c,Rd</t>
    </r>
    <r>
      <rPr>
        <b/>
        <sz val="12"/>
        <color theme="0"/>
        <rFont val="Arial"/>
        <family val="2"/>
      </rPr>
      <t xml:space="preserve"> (kN)</t>
    </r>
  </si>
  <si>
    <t>2L 3” x 7/16”</t>
  </si>
  <si>
    <t>Diagonal</t>
  </si>
  <si>
    <t>Montante</t>
  </si>
  <si>
    <t>2L 2” x 1/8”</t>
  </si>
  <si>
    <t>2L 1 1/2" x 3/16”</t>
  </si>
  <si>
    <t>2L 1 1/2" x 1/8”</t>
  </si>
  <si>
    <t>2L 3/4” x 1/8”</t>
  </si>
  <si>
    <t xml:space="preserve"> </t>
  </si>
  <si>
    <t>2L 1 3/4" x 1/4"</t>
  </si>
  <si>
    <t>602,99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</si>
</sst>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1"/>
      <color rgb="FF000000"/>
      <name val="Calibri"/>
      <family val="2"/>
    </font>
    <font>
      <sz val="12"/>
      <color theme="1"/>
      <name val="Microsoft Sans Serif"/>
      <family val="2"/>
    </font>
    <font>
      <b/>
      <sz val="12"/>
      <color theme="0"/>
      <name val="Microsoft Sans Serif"/>
      <family val="2"/>
    </font>
    <font>
      <b/>
      <vertAlign val="subscript"/>
      <sz val="12"/>
      <color theme="0"/>
      <name val="Arial"/>
      <family val="2"/>
    </font>
    <font>
      <b/>
      <sz val="12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29DCE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3212B"/>
        <bgColor indexed="64"/>
      </patternFill>
    </fill>
    <fill>
      <patternFill patternType="solid">
        <fgColor rgb="FF06475E"/>
        <bgColor indexed="64"/>
      </patternFill>
    </fill>
    <fill>
      <patternFill patternType="solid">
        <fgColor rgb="FF096789"/>
        <bgColor indexed="64"/>
      </patternFill>
    </fill>
    <fill>
      <patternFill patternType="solid">
        <fgColor rgb="FFDBF4FD"/>
        <bgColor indexed="64"/>
      </patternFill>
    </fill>
    <fill>
      <patternFill patternType="solid">
        <fgColor rgb="FF441918"/>
        <bgColor indexed="64"/>
      </patternFill>
    </fill>
    <fill>
      <patternFill patternType="solid">
        <fgColor rgb="FF883230"/>
        <bgColor indexed="64"/>
      </patternFill>
    </fill>
    <fill>
      <patternFill patternType="solid">
        <fgColor rgb="FFBF4C49"/>
        <bgColor indexed="64"/>
      </patternFill>
    </fill>
    <fill>
      <patternFill patternType="solid">
        <fgColor rgb="FFF4E0E0"/>
        <bgColor indexed="64"/>
      </patternFill>
    </fill>
    <fill>
      <patternFill patternType="solid">
        <fgColor rgb="FF001409"/>
        <bgColor indexed="64"/>
      </patternFill>
    </fill>
    <fill>
      <patternFill patternType="solid">
        <fgColor rgb="FF00642D"/>
        <bgColor indexed="64"/>
      </patternFill>
    </fill>
    <fill>
      <patternFill patternType="solid">
        <fgColor rgb="FFE1FFEF"/>
        <bgColor indexed="64"/>
      </patternFill>
    </fill>
  </fills>
  <borders count="6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theme="0"/>
      </right>
      <top style="medium">
        <color auto="1"/>
      </top>
      <bottom style="medium">
        <color auto="1"/>
      </bottom>
      <diagonal/>
    </border>
    <border>
      <left style="thin">
        <color theme="0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theme="1"/>
      </bottom>
      <diagonal/>
    </border>
  </borders>
  <cellStyleXfs count="1">
    <xf numFmtId="0" fontId="0" fillId="0" borderId="0"/>
  </cellStyleXfs>
  <cellXfs count="308">
    <xf numFmtId="0" fontId="0" fillId="0" borderId="0" xfId="0"/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0" fontId="0" fillId="0" borderId="6" xfId="0" applyNumberFormat="1" applyBorder="1" applyAlignment="1">
      <alignment vertical="center"/>
    </xf>
    <xf numFmtId="2" fontId="0" fillId="0" borderId="20" xfId="0" applyNumberFormat="1" applyBorder="1" applyAlignment="1">
      <alignment vertical="center"/>
    </xf>
    <xf numFmtId="0" fontId="0" fillId="0" borderId="30" xfId="0" applyBorder="1"/>
    <xf numFmtId="0" fontId="0" fillId="0" borderId="6" xfId="0" applyBorder="1"/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28" xfId="0" applyNumberForma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49" fontId="0" fillId="0" borderId="29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1" xfId="0" applyNumberFormat="1" applyBorder="1" applyAlignment="1">
      <alignment horizontal="center" vertical="center"/>
    </xf>
    <xf numFmtId="0" fontId="0" fillId="0" borderId="0" xfId="0" applyBorder="1"/>
    <xf numFmtId="2" fontId="0" fillId="0" borderId="22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0" fillId="0" borderId="31" xfId="0" applyNumberFormat="1" applyBorder="1"/>
    <xf numFmtId="2" fontId="0" fillId="0" borderId="22" xfId="0" applyNumberFormat="1" applyBorder="1"/>
    <xf numFmtId="2" fontId="0" fillId="0" borderId="0" xfId="0" applyNumberFormat="1" applyBorder="1"/>
    <xf numFmtId="2" fontId="0" fillId="0" borderId="23" xfId="0" applyNumberFormat="1" applyBorder="1"/>
    <xf numFmtId="2" fontId="0" fillId="2" borderId="23" xfId="0" applyNumberFormat="1" applyFill="1" applyBorder="1" applyAlignment="1">
      <alignment horizontal="center" vertical="center"/>
    </xf>
    <xf numFmtId="2" fontId="0" fillId="2" borderId="22" xfId="0" applyNumberFormat="1" applyFill="1" applyBorder="1" applyAlignment="1">
      <alignment horizontal="center" vertical="center"/>
    </xf>
    <xf numFmtId="49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49" fontId="0" fillId="2" borderId="22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2" fontId="0" fillId="2" borderId="31" xfId="0" applyNumberFormat="1" applyFill="1" applyBorder="1"/>
    <xf numFmtId="2" fontId="0" fillId="2" borderId="22" xfId="0" applyNumberFormat="1" applyFill="1" applyBorder="1"/>
    <xf numFmtId="2" fontId="0" fillId="2" borderId="0" xfId="0" applyNumberFormat="1" applyFill="1" applyBorder="1"/>
    <xf numFmtId="2" fontId="0" fillId="2" borderId="23" xfId="0" applyNumberFormat="1" applyFill="1" applyBorder="1"/>
    <xf numFmtId="0" fontId="0" fillId="0" borderId="0" xfId="0" applyFill="1"/>
    <xf numFmtId="0" fontId="0" fillId="0" borderId="0" xfId="0" applyAlignment="1"/>
    <xf numFmtId="0" fontId="0" fillId="0" borderId="0" xfId="0" applyBorder="1" applyAlignment="1"/>
    <xf numFmtId="0" fontId="0" fillId="0" borderId="25" xfId="0" applyBorder="1" applyAlignment="1"/>
    <xf numFmtId="2" fontId="0" fillId="0" borderId="26" xfId="0" applyNumberFormat="1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2" fontId="0" fillId="0" borderId="25" xfId="0" applyNumberFormat="1" applyFill="1" applyBorder="1" applyAlignment="1">
      <alignment horizontal="center" vertical="center"/>
    </xf>
    <xf numFmtId="49" fontId="0" fillId="0" borderId="26" xfId="0" applyNumberFormat="1" applyBorder="1" applyAlignment="1">
      <alignment horizontal="center" vertical="center"/>
    </xf>
    <xf numFmtId="2" fontId="0" fillId="0" borderId="27" xfId="0" applyNumberFormat="1" applyBorder="1"/>
    <xf numFmtId="2" fontId="0" fillId="0" borderId="24" xfId="0" applyNumberFormat="1" applyBorder="1"/>
    <xf numFmtId="2" fontId="0" fillId="0" borderId="25" xfId="0" applyNumberFormat="1" applyBorder="1"/>
    <xf numFmtId="2" fontId="0" fillId="0" borderId="26" xfId="0" applyNumberFormat="1" applyBorder="1"/>
    <xf numFmtId="0" fontId="0" fillId="0" borderId="0" xfId="0"/>
    <xf numFmtId="2" fontId="7" fillId="0" borderId="0" xfId="0" applyNumberFormat="1" applyFont="1" applyFill="1" applyBorder="1" applyAlignment="1">
      <alignment vertical="center"/>
    </xf>
    <xf numFmtId="0" fontId="7" fillId="0" borderId="0" xfId="0" applyNumberFormat="1" applyFont="1" applyFill="1" applyBorder="1" applyAlignment="1">
      <alignment horizontal="center" vertical="center"/>
    </xf>
    <xf numFmtId="0" fontId="7" fillId="0" borderId="25" xfId="0" applyFont="1" applyFill="1" applyBorder="1" applyAlignment="1">
      <alignment horizontal="center" vertical="center"/>
    </xf>
    <xf numFmtId="0" fontId="0" fillId="0" borderId="0" xfId="0"/>
    <xf numFmtId="2" fontId="7" fillId="0" borderId="0" xfId="0" applyNumberFormat="1" applyFont="1" applyFill="1" applyBorder="1" applyAlignment="1">
      <alignment vertical="center"/>
    </xf>
    <xf numFmtId="0" fontId="7" fillId="0" borderId="0" xfId="0" applyNumberFormat="1" applyFont="1" applyFill="1" applyBorder="1" applyAlignment="1">
      <alignment horizontal="center" vertical="center"/>
    </xf>
    <xf numFmtId="0" fontId="7" fillId="0" borderId="25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5" fillId="0" borderId="0" xfId="0" applyNumberFormat="1" applyFont="1" applyFill="1" applyBorder="1" applyAlignment="1">
      <alignment vertical="center"/>
    </xf>
    <xf numFmtId="2" fontId="5" fillId="0" borderId="0" xfId="0" applyNumberFormat="1" applyFont="1" applyAlignment="1">
      <alignment vertical="center"/>
    </xf>
    <xf numFmtId="0" fontId="4" fillId="0" borderId="25" xfId="0" applyFont="1" applyFill="1" applyBorder="1" applyAlignment="1">
      <alignment horizontal="center" vertical="center" wrapText="1"/>
    </xf>
    <xf numFmtId="0" fontId="4" fillId="0" borderId="25" xfId="0" applyFont="1" applyFill="1" applyBorder="1" applyAlignment="1">
      <alignment horizontal="center" vertical="center"/>
    </xf>
    <xf numFmtId="2" fontId="0" fillId="0" borderId="0" xfId="0" applyNumberFormat="1"/>
    <xf numFmtId="0" fontId="7" fillId="0" borderId="0" xfId="0" applyNumberFormat="1" applyFont="1" applyFill="1" applyBorder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21" xfId="0" applyFont="1" applyBorder="1" applyAlignment="1">
      <alignment horizontal="right" vertical="center"/>
    </xf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Alignment="1">
      <alignment horizontal="center"/>
    </xf>
    <xf numFmtId="0" fontId="2" fillId="0" borderId="25" xfId="0" applyFont="1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3" xfId="0" applyNumberFormat="1" applyBorder="1" applyAlignment="1">
      <alignment horizontal="center" vertical="center"/>
    </xf>
    <xf numFmtId="2" fontId="0" fillId="0" borderId="4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top"/>
    </xf>
    <xf numFmtId="2" fontId="0" fillId="0" borderId="2" xfId="0" applyNumberFormat="1" applyBorder="1" applyAlignment="1">
      <alignment horizontal="center" vertical="top"/>
    </xf>
    <xf numFmtId="0" fontId="0" fillId="0" borderId="7" xfId="0" applyNumberFormat="1" applyBorder="1" applyAlignment="1">
      <alignment horizontal="center" vertical="top"/>
    </xf>
    <xf numFmtId="2" fontId="0" fillId="0" borderId="7" xfId="0" applyNumberFormat="1" applyBorder="1" applyAlignment="1">
      <alignment horizontal="center" vertical="top"/>
    </xf>
    <xf numFmtId="49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top"/>
    </xf>
    <xf numFmtId="2" fontId="0" fillId="0" borderId="9" xfId="0" applyNumberFormat="1" applyBorder="1" applyAlignment="1">
      <alignment horizontal="center" vertical="top"/>
    </xf>
    <xf numFmtId="0" fontId="0" fillId="0" borderId="2" xfId="0" applyNumberFormat="1" applyFill="1" applyBorder="1" applyAlignment="1">
      <alignment horizontal="center" vertical="top"/>
    </xf>
    <xf numFmtId="2" fontId="0" fillId="0" borderId="2" xfId="0" applyNumberFormat="1" applyFill="1" applyBorder="1" applyAlignment="1">
      <alignment horizontal="center" vertical="top"/>
    </xf>
    <xf numFmtId="49" fontId="0" fillId="0" borderId="2" xfId="0" applyNumberFormat="1" applyFill="1" applyBorder="1" applyAlignment="1">
      <alignment horizontal="center" vertical="center"/>
    </xf>
    <xf numFmtId="2" fontId="0" fillId="0" borderId="33" xfId="0" applyNumberFormat="1" applyFill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2" fontId="0" fillId="0" borderId="51" xfId="0" applyNumberFormat="1" applyBorder="1" applyAlignment="1">
      <alignment horizontal="center" vertical="center"/>
    </xf>
    <xf numFmtId="2" fontId="0" fillId="0" borderId="51" xfId="0" applyNumberFormat="1" applyFill="1" applyBorder="1" applyAlignment="1">
      <alignment horizontal="center" vertical="center"/>
    </xf>
    <xf numFmtId="2" fontId="0" fillId="0" borderId="52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6" xfId="0" applyNumberForma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22" fontId="0" fillId="0" borderId="0" xfId="0" applyNumberFormat="1" applyAlignment="1">
      <alignment horizontal="center" vertical="center" wrapText="1"/>
    </xf>
    <xf numFmtId="0" fontId="10" fillId="6" borderId="53" xfId="0" applyFont="1" applyFill="1" applyBorder="1" applyAlignment="1">
      <alignment horizontal="center" vertical="center" wrapText="1"/>
    </xf>
    <xf numFmtId="0" fontId="10" fillId="6" borderId="54" xfId="0" applyFont="1" applyFill="1" applyBorder="1" applyAlignment="1">
      <alignment horizontal="center" vertical="center" wrapText="1"/>
    </xf>
    <xf numFmtId="0" fontId="9" fillId="8" borderId="19" xfId="0" applyNumberFormat="1" applyFont="1" applyFill="1" applyBorder="1" applyAlignment="1">
      <alignment horizontal="center" vertical="center"/>
    </xf>
    <xf numFmtId="49" fontId="9" fillId="8" borderId="14" xfId="0" applyNumberFormat="1" applyFont="1" applyFill="1" applyBorder="1" applyAlignment="1">
      <alignment horizontal="center" vertical="center"/>
    </xf>
    <xf numFmtId="49" fontId="9" fillId="8" borderId="32" xfId="0" applyNumberFormat="1" applyFont="1" applyFill="1" applyBorder="1" applyAlignment="1">
      <alignment horizontal="center" vertical="center"/>
    </xf>
    <xf numFmtId="49" fontId="9" fillId="8" borderId="13" xfId="0" applyNumberFormat="1" applyFont="1" applyFill="1" applyBorder="1" applyAlignment="1">
      <alignment horizontal="center" vertical="center"/>
    </xf>
    <xf numFmtId="49" fontId="9" fillId="3" borderId="14" xfId="0" applyNumberFormat="1" applyFont="1" applyFill="1" applyBorder="1" applyAlignment="1">
      <alignment horizontal="center" vertical="center"/>
    </xf>
    <xf numFmtId="2" fontId="9" fillId="7" borderId="15" xfId="0" applyNumberFormat="1" applyFont="1" applyFill="1" applyBorder="1" applyAlignment="1">
      <alignment horizontal="center" vertical="center"/>
    </xf>
    <xf numFmtId="2" fontId="9" fillId="7" borderId="7" xfId="0" applyNumberFormat="1" applyFont="1" applyFill="1" applyBorder="1" applyAlignment="1">
      <alignment horizontal="center" vertical="center"/>
    </xf>
    <xf numFmtId="2" fontId="9" fillId="7" borderId="8" xfId="0" applyNumberFormat="1" applyFont="1" applyFill="1" applyBorder="1" applyAlignment="1">
      <alignment horizontal="center" vertical="center"/>
    </xf>
    <xf numFmtId="2" fontId="9" fillId="7" borderId="16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12" xfId="0" applyNumberFormat="1" applyFont="1" applyFill="1" applyBorder="1" applyAlignment="1">
      <alignment horizontal="center" vertical="center"/>
    </xf>
    <xf numFmtId="2" fontId="9" fillId="7" borderId="18" xfId="0" applyNumberFormat="1" applyFont="1" applyFill="1" applyBorder="1" applyAlignment="1">
      <alignment horizontal="center" vertical="center"/>
    </xf>
    <xf numFmtId="2" fontId="9" fillId="7" borderId="17" xfId="0" applyNumberFormat="1" applyFont="1" applyFill="1" applyBorder="1" applyAlignment="1">
      <alignment horizontal="center" vertical="center"/>
    </xf>
    <xf numFmtId="2" fontId="9" fillId="7" borderId="9" xfId="0" applyNumberFormat="1" applyFont="1" applyFill="1" applyBorder="1" applyAlignment="1">
      <alignment horizontal="center" vertical="center"/>
    </xf>
    <xf numFmtId="2" fontId="9" fillId="7" borderId="10" xfId="0" applyNumberFormat="1" applyFont="1" applyFill="1" applyBorder="1" applyAlignment="1">
      <alignment horizontal="center" vertical="center"/>
    </xf>
    <xf numFmtId="49" fontId="1" fillId="10" borderId="14" xfId="0" applyNumberFormat="1" applyFont="1" applyFill="1" applyBorder="1" applyAlignment="1">
      <alignment horizontal="center" vertical="center"/>
    </xf>
    <xf numFmtId="0" fontId="7" fillId="11" borderId="19" xfId="0" applyNumberFormat="1" applyFont="1" applyFill="1" applyBorder="1" applyAlignment="1">
      <alignment horizontal="center" vertical="center"/>
    </xf>
    <xf numFmtId="49" fontId="1" fillId="11" borderId="14" xfId="0" applyNumberFormat="1" applyFont="1" applyFill="1" applyBorder="1" applyAlignment="1">
      <alignment horizontal="center" vertical="center"/>
    </xf>
    <xf numFmtId="49" fontId="1" fillId="11" borderId="32" xfId="0" applyNumberFormat="1" applyFont="1" applyFill="1" applyBorder="1" applyAlignment="1">
      <alignment horizontal="center" vertical="center"/>
    </xf>
    <xf numFmtId="49" fontId="1" fillId="11" borderId="13" xfId="0" applyNumberFormat="1" applyFont="1" applyFill="1" applyBorder="1" applyAlignment="1">
      <alignment horizontal="center" vertical="center"/>
    </xf>
    <xf numFmtId="49" fontId="1" fillId="12" borderId="14" xfId="0" applyNumberFormat="1" applyFont="1" applyFill="1" applyBorder="1" applyAlignment="1">
      <alignment horizontal="center" vertical="center"/>
    </xf>
    <xf numFmtId="0" fontId="7" fillId="12" borderId="3" xfId="0" applyNumberFormat="1" applyFont="1" applyFill="1" applyBorder="1" applyAlignment="1">
      <alignment horizontal="center" vertical="center"/>
    </xf>
    <xf numFmtId="0" fontId="7" fillId="12" borderId="4" xfId="0" applyNumberFormat="1" applyFont="1" applyFill="1" applyBorder="1" applyAlignment="1">
      <alignment horizontal="center" vertical="center"/>
    </xf>
    <xf numFmtId="0" fontId="7" fillId="12" borderId="5" xfId="0" applyNumberFormat="1" applyFont="1" applyFill="1" applyBorder="1" applyAlignment="1">
      <alignment horizontal="center" vertical="center"/>
    </xf>
    <xf numFmtId="0" fontId="7" fillId="12" borderId="35" xfId="0" applyNumberFormat="1" applyFont="1" applyFill="1" applyBorder="1" applyAlignment="1">
      <alignment horizontal="center" vertical="center"/>
    </xf>
    <xf numFmtId="2" fontId="7" fillId="12" borderId="15" xfId="0" applyNumberFormat="1" applyFont="1" applyFill="1" applyBorder="1" applyAlignment="1">
      <alignment horizontal="center" vertical="center"/>
    </xf>
    <xf numFmtId="2" fontId="7" fillId="12" borderId="7" xfId="0" applyNumberFormat="1" applyFont="1" applyFill="1" applyBorder="1" applyAlignment="1">
      <alignment horizontal="center" vertical="center"/>
    </xf>
    <xf numFmtId="2" fontId="7" fillId="12" borderId="8" xfId="0" applyNumberFormat="1" applyFont="1" applyFill="1" applyBorder="1" applyAlignment="1">
      <alignment horizontal="center" vertical="center"/>
    </xf>
    <xf numFmtId="2" fontId="7" fillId="12" borderId="16" xfId="0" applyNumberFormat="1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2" fontId="7" fillId="12" borderId="33" xfId="0" applyNumberFormat="1" applyFont="1" applyFill="1" applyBorder="1" applyAlignment="1">
      <alignment horizontal="center" vertical="center"/>
    </xf>
    <xf numFmtId="2" fontId="7" fillId="12" borderId="17" xfId="0" applyNumberFormat="1" applyFont="1" applyFill="1" applyBorder="1" applyAlignment="1">
      <alignment horizontal="center" vertical="center"/>
    </xf>
    <xf numFmtId="2" fontId="7" fillId="12" borderId="9" xfId="0" applyNumberFormat="1" applyFont="1" applyFill="1" applyBorder="1" applyAlignment="1">
      <alignment horizontal="center" vertical="center"/>
    </xf>
    <xf numFmtId="2" fontId="7" fillId="12" borderId="10" xfId="0" applyNumberFormat="1" applyFont="1" applyFill="1" applyBorder="1" applyAlignment="1">
      <alignment horizontal="center" vertical="center"/>
    </xf>
    <xf numFmtId="2" fontId="7" fillId="12" borderId="43" xfId="0" applyNumberFormat="1" applyFont="1" applyFill="1" applyBorder="1" applyAlignment="1">
      <alignment horizontal="center" vertical="center"/>
    </xf>
    <xf numFmtId="2" fontId="7" fillId="12" borderId="11" xfId="0" applyNumberFormat="1" applyFont="1" applyFill="1" applyBorder="1" applyAlignment="1">
      <alignment horizontal="center" vertical="center"/>
    </xf>
    <xf numFmtId="2" fontId="7" fillId="12" borderId="44" xfId="0" applyNumberFormat="1" applyFont="1" applyFill="1" applyBorder="1" applyAlignment="1">
      <alignment horizontal="center" vertical="center"/>
    </xf>
    <xf numFmtId="2" fontId="7" fillId="12" borderId="41" xfId="0" applyNumberFormat="1" applyFont="1" applyFill="1" applyBorder="1" applyAlignment="1">
      <alignment horizontal="center" vertical="center"/>
    </xf>
    <xf numFmtId="2" fontId="7" fillId="12" borderId="12" xfId="0" applyNumberFormat="1" applyFont="1" applyFill="1" applyBorder="1" applyAlignment="1">
      <alignment horizontal="center" vertical="center"/>
    </xf>
    <xf numFmtId="2" fontId="7" fillId="12" borderId="18" xfId="0" applyNumberFormat="1" applyFont="1" applyFill="1" applyBorder="1" applyAlignment="1">
      <alignment horizontal="center" vertical="center"/>
    </xf>
    <xf numFmtId="2" fontId="5" fillId="12" borderId="8" xfId="0" applyNumberFormat="1" applyFont="1" applyFill="1" applyBorder="1" applyAlignment="1">
      <alignment horizontal="center" vertical="center"/>
    </xf>
    <xf numFmtId="2" fontId="5" fillId="12" borderId="33" xfId="0" applyNumberFormat="1" applyFont="1" applyFill="1" applyBorder="1" applyAlignment="1">
      <alignment horizontal="center" vertical="center"/>
    </xf>
    <xf numFmtId="2" fontId="5" fillId="12" borderId="10" xfId="0" applyNumberFormat="1" applyFont="1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10" fillId="6" borderId="55" xfId="0" applyFont="1" applyFill="1" applyBorder="1" applyAlignment="1">
      <alignment horizontal="center" vertical="center" wrapText="1"/>
    </xf>
    <xf numFmtId="0" fontId="10" fillId="6" borderId="56" xfId="0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/>
    </xf>
    <xf numFmtId="0" fontId="7" fillId="12" borderId="16" xfId="0" applyNumberFormat="1" applyFont="1" applyFill="1" applyBorder="1" applyAlignment="1">
      <alignment horizontal="center" vertical="center"/>
    </xf>
    <xf numFmtId="0" fontId="0" fillId="12" borderId="33" xfId="0" applyFill="1" applyBorder="1" applyAlignment="1">
      <alignment horizontal="center" vertical="center"/>
    </xf>
    <xf numFmtId="0" fontId="7" fillId="12" borderId="17" xfId="0" applyNumberFormat="1" applyFont="1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7" fillId="12" borderId="15" xfId="0" applyNumberFormat="1" applyFont="1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7" fillId="12" borderId="14" xfId="0" applyNumberFormat="1" applyFont="1" applyFill="1" applyBorder="1" applyAlignment="1">
      <alignment horizontal="center" vertical="center"/>
    </xf>
    <xf numFmtId="0" fontId="7" fillId="12" borderId="32" xfId="0" applyNumberFormat="1" applyFont="1" applyFill="1" applyBorder="1" applyAlignment="1">
      <alignment horizontal="center" vertical="center"/>
    </xf>
    <xf numFmtId="49" fontId="1" fillId="14" borderId="14" xfId="0" applyNumberFormat="1" applyFont="1" applyFill="1" applyBorder="1" applyAlignment="1">
      <alignment horizontal="center" vertical="center"/>
    </xf>
    <xf numFmtId="0" fontId="7" fillId="15" borderId="19" xfId="0" applyNumberFormat="1" applyFont="1" applyFill="1" applyBorder="1" applyAlignment="1">
      <alignment horizontal="center" vertical="center"/>
    </xf>
    <xf numFmtId="49" fontId="1" fillId="15" borderId="14" xfId="0" applyNumberFormat="1" applyFont="1" applyFill="1" applyBorder="1" applyAlignment="1">
      <alignment horizontal="center" vertical="center"/>
    </xf>
    <xf numFmtId="49" fontId="1" fillId="15" borderId="32" xfId="0" applyNumberFormat="1" applyFont="1" applyFill="1" applyBorder="1" applyAlignment="1">
      <alignment horizontal="center" vertical="center"/>
    </xf>
    <xf numFmtId="49" fontId="1" fillId="15" borderId="13" xfId="0" applyNumberFormat="1" applyFont="1" applyFill="1" applyBorder="1" applyAlignment="1">
      <alignment horizontal="center" vertical="center"/>
    </xf>
    <xf numFmtId="0" fontId="0" fillId="16" borderId="2" xfId="0" applyFill="1" applyBorder="1" applyAlignment="1">
      <alignment horizontal="center"/>
    </xf>
    <xf numFmtId="0" fontId="0" fillId="16" borderId="37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8" xfId="0" applyFill="1" applyBorder="1" applyAlignment="1">
      <alignment horizontal="center"/>
    </xf>
    <xf numFmtId="0" fontId="0" fillId="12" borderId="15" xfId="0" applyFill="1" applyBorder="1" applyAlignment="1">
      <alignment horizontal="center" vertical="center"/>
    </xf>
    <xf numFmtId="0" fontId="0" fillId="12" borderId="57" xfId="0" applyFill="1" applyBorder="1" applyAlignment="1">
      <alignment horizontal="center" vertical="center"/>
    </xf>
    <xf numFmtId="0" fontId="0" fillId="12" borderId="16" xfId="0" applyFill="1" applyBorder="1" applyAlignment="1">
      <alignment horizontal="center" vertical="center"/>
    </xf>
    <xf numFmtId="0" fontId="0" fillId="12" borderId="37" xfId="0" applyFill="1" applyBorder="1" applyAlignment="1">
      <alignment horizontal="center" vertical="center"/>
    </xf>
    <xf numFmtId="0" fontId="0" fillId="12" borderId="17" xfId="0" applyFill="1" applyBorder="1" applyAlignment="1">
      <alignment horizontal="center" vertical="center"/>
    </xf>
    <xf numFmtId="0" fontId="0" fillId="12" borderId="38" xfId="0" applyFill="1" applyBorder="1" applyAlignment="1">
      <alignment horizontal="center" vertical="center"/>
    </xf>
    <xf numFmtId="0" fontId="0" fillId="12" borderId="39" xfId="0" applyFill="1" applyBorder="1" applyAlignment="1">
      <alignment horizontal="center" vertical="center"/>
    </xf>
    <xf numFmtId="0" fontId="7" fillId="16" borderId="15" xfId="0" applyNumberFormat="1" applyFont="1" applyFill="1" applyBorder="1" applyAlignment="1">
      <alignment horizontal="center" vertical="center"/>
    </xf>
    <xf numFmtId="0" fontId="0" fillId="16" borderId="8" xfId="0" applyFill="1" applyBorder="1" applyAlignment="1">
      <alignment horizontal="center"/>
    </xf>
    <xf numFmtId="0" fontId="7" fillId="16" borderId="16" xfId="0" applyNumberFormat="1" applyFont="1" applyFill="1" applyBorder="1" applyAlignment="1">
      <alignment horizontal="center" vertical="center"/>
    </xf>
    <xf numFmtId="0" fontId="0" fillId="16" borderId="33" xfId="0" applyFill="1" applyBorder="1" applyAlignment="1">
      <alignment horizontal="center"/>
    </xf>
    <xf numFmtId="0" fontId="7" fillId="16" borderId="17" xfId="0" applyNumberFormat="1" applyFont="1" applyFill="1" applyBorder="1" applyAlignment="1">
      <alignment horizontal="center" vertical="center"/>
    </xf>
    <xf numFmtId="0" fontId="0" fillId="16" borderId="10" xfId="0" applyFill="1" applyBorder="1" applyAlignment="1">
      <alignment horizontal="center"/>
    </xf>
    <xf numFmtId="0" fontId="0" fillId="16" borderId="7" xfId="0" applyFill="1" applyBorder="1" applyAlignment="1">
      <alignment horizontal="center"/>
    </xf>
    <xf numFmtId="0" fontId="0" fillId="16" borderId="57" xfId="0" applyFill="1" applyBorder="1" applyAlignment="1">
      <alignment horizontal="center"/>
    </xf>
    <xf numFmtId="0" fontId="7" fillId="5" borderId="19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19" borderId="12" xfId="0" applyNumberFormat="1" applyFont="1" applyFill="1" applyBorder="1" applyAlignment="1">
      <alignment horizontal="center" vertical="center"/>
    </xf>
    <xf numFmtId="2" fontId="3" fillId="19" borderId="7" xfId="0" applyNumberFormat="1" applyFont="1" applyFill="1" applyBorder="1" applyAlignment="1">
      <alignment horizontal="center" vertical="center"/>
    </xf>
    <xf numFmtId="2" fontId="3" fillId="19" borderId="13" xfId="0" applyNumberFormat="1" applyFont="1" applyFill="1" applyBorder="1" applyAlignment="1">
      <alignment horizontal="center" vertical="center"/>
    </xf>
    <xf numFmtId="2" fontId="3" fillId="19" borderId="3" xfId="0" applyNumberFormat="1" applyFont="1" applyFill="1" applyBorder="1" applyAlignment="1">
      <alignment horizontal="center" vertical="center"/>
    </xf>
    <xf numFmtId="2" fontId="3" fillId="19" borderId="2" xfId="0" applyNumberFormat="1" applyFont="1" applyFill="1" applyBorder="1" applyAlignment="1">
      <alignment horizontal="center" vertical="center"/>
    </xf>
    <xf numFmtId="2" fontId="3" fillId="19" borderId="14" xfId="0" applyNumberFormat="1" applyFont="1" applyFill="1" applyBorder="1" applyAlignment="1">
      <alignment horizontal="center" vertical="center"/>
    </xf>
    <xf numFmtId="2" fontId="3" fillId="19" borderId="4" xfId="0" applyNumberFormat="1" applyFont="1" applyFill="1" applyBorder="1" applyAlignment="1">
      <alignment horizontal="center" vertical="center"/>
    </xf>
    <xf numFmtId="0" fontId="7" fillId="19" borderId="45" xfId="0" applyNumberFormat="1" applyFont="1" applyFill="1" applyBorder="1" applyAlignment="1">
      <alignment horizontal="center" vertical="center"/>
    </xf>
    <xf numFmtId="2" fontId="3" fillId="19" borderId="11" xfId="0" applyNumberFormat="1" applyFont="1" applyFill="1" applyBorder="1" applyAlignment="1">
      <alignment horizontal="center" vertical="center"/>
    </xf>
    <xf numFmtId="2" fontId="3" fillId="19" borderId="49" xfId="0" applyNumberFormat="1" applyFont="1" applyFill="1" applyBorder="1" applyAlignment="1">
      <alignment horizontal="center" vertical="center"/>
    </xf>
    <xf numFmtId="2" fontId="3" fillId="19" borderId="36" xfId="0" applyNumberFormat="1" applyFont="1" applyFill="1" applyBorder="1" applyAlignment="1">
      <alignment horizontal="center" vertical="center"/>
    </xf>
    <xf numFmtId="0" fontId="7" fillId="19" borderId="7" xfId="0" applyNumberFormat="1" applyFont="1" applyFill="1" applyBorder="1" applyAlignment="1">
      <alignment horizontal="center" vertical="center"/>
    </xf>
    <xf numFmtId="0" fontId="7" fillId="19" borderId="46" xfId="0" applyNumberFormat="1" applyFont="1" applyFill="1" applyBorder="1" applyAlignment="1">
      <alignment horizontal="center" vertical="center"/>
    </xf>
    <xf numFmtId="2" fontId="3" fillId="19" borderId="9" xfId="0" applyNumberFormat="1" applyFont="1" applyFill="1" applyBorder="1" applyAlignment="1">
      <alignment horizontal="center" vertical="center"/>
    </xf>
    <xf numFmtId="2" fontId="3" fillId="19" borderId="32" xfId="0" applyNumberFormat="1" applyFont="1" applyFill="1" applyBorder="1" applyAlignment="1">
      <alignment horizontal="center" vertical="center"/>
    </xf>
    <xf numFmtId="2" fontId="3" fillId="19" borderId="5" xfId="0" applyNumberFormat="1" applyFont="1" applyFill="1" applyBorder="1" applyAlignment="1">
      <alignment horizontal="center" vertical="center"/>
    </xf>
    <xf numFmtId="2" fontId="3" fillId="19" borderId="12" xfId="0" applyNumberFormat="1" applyFont="1" applyFill="1" applyBorder="1" applyAlignment="1">
      <alignment horizontal="center" vertical="center"/>
    </xf>
    <xf numFmtId="2" fontId="3" fillId="19" borderId="19" xfId="0" applyNumberFormat="1" applyFont="1" applyFill="1" applyBorder="1" applyAlignment="1">
      <alignment horizontal="center" vertical="center"/>
    </xf>
    <xf numFmtId="2" fontId="3" fillId="19" borderId="35" xfId="0" applyNumberFormat="1" applyFont="1" applyFill="1" applyBorder="1" applyAlignment="1">
      <alignment horizontal="center" vertical="center"/>
    </xf>
    <xf numFmtId="0" fontId="3" fillId="19" borderId="27" xfId="0" applyFont="1" applyFill="1" applyBorder="1" applyAlignment="1">
      <alignment horizontal="center" vertical="center"/>
    </xf>
    <xf numFmtId="2" fontId="3" fillId="19" borderId="27" xfId="0" applyNumberFormat="1" applyFont="1" applyFill="1" applyBorder="1" applyAlignment="1">
      <alignment horizontal="center" vertical="center"/>
    </xf>
    <xf numFmtId="2" fontId="1" fillId="5" borderId="14" xfId="0" applyNumberFormat="1" applyFont="1" applyFill="1" applyBorder="1" applyAlignment="1">
      <alignment horizontal="center" vertical="center"/>
    </xf>
    <xf numFmtId="2" fontId="1" fillId="5" borderId="49" xfId="0" applyNumberFormat="1" applyFont="1" applyFill="1" applyBorder="1" applyAlignment="1">
      <alignment horizontal="center" vertical="center"/>
    </xf>
    <xf numFmtId="2" fontId="1" fillId="5" borderId="13" xfId="0" applyNumberFormat="1" applyFont="1" applyFill="1" applyBorder="1" applyAlignment="1">
      <alignment horizontal="center" vertical="center"/>
    </xf>
    <xf numFmtId="2" fontId="1" fillId="5" borderId="32" xfId="0" applyNumberFormat="1" applyFont="1" applyFill="1" applyBorder="1" applyAlignment="1">
      <alignment horizontal="center" vertical="center"/>
    </xf>
    <xf numFmtId="2" fontId="1" fillId="18" borderId="14" xfId="0" applyNumberFormat="1" applyFont="1" applyFill="1" applyBorder="1" applyAlignment="1">
      <alignment horizontal="center" vertical="center"/>
    </xf>
    <xf numFmtId="0" fontId="1" fillId="5" borderId="14" xfId="0" applyNumberFormat="1" applyFont="1" applyFill="1" applyBorder="1" applyAlignment="1">
      <alignment horizontal="center" vertical="center"/>
    </xf>
    <xf numFmtId="0" fontId="1" fillId="5" borderId="49" xfId="0" applyNumberFormat="1" applyFont="1" applyFill="1" applyBorder="1" applyAlignment="1">
      <alignment horizontal="center" vertical="center"/>
    </xf>
    <xf numFmtId="0" fontId="1" fillId="5" borderId="13" xfId="0" applyNumberFormat="1" applyFont="1" applyFill="1" applyBorder="1" applyAlignment="1">
      <alignment horizontal="center" vertical="center"/>
    </xf>
    <xf numFmtId="0" fontId="1" fillId="5" borderId="19" xfId="0" applyNumberFormat="1" applyFont="1" applyFill="1" applyBorder="1" applyAlignment="1">
      <alignment horizontal="center" vertical="center"/>
    </xf>
    <xf numFmtId="0" fontId="1" fillId="18" borderId="14" xfId="0" applyNumberFormat="1" applyFont="1" applyFill="1" applyBorder="1" applyAlignment="1">
      <alignment horizontal="center" vertical="center"/>
    </xf>
    <xf numFmtId="0" fontId="7" fillId="12" borderId="2" xfId="0" applyNumberFormat="1" applyFont="1" applyFill="1" applyBorder="1" applyAlignment="1">
      <alignment horizontal="center" vertical="center"/>
    </xf>
    <xf numFmtId="0" fontId="10" fillId="6" borderId="58" xfId="0" applyFont="1" applyFill="1" applyBorder="1" applyAlignment="1">
      <alignment horizontal="center" vertical="center" wrapText="1"/>
    </xf>
    <xf numFmtId="0" fontId="10" fillId="6" borderId="59" xfId="0" applyFont="1" applyFill="1" applyBorder="1" applyAlignment="1">
      <alignment horizontal="center" vertical="center" wrapText="1"/>
    </xf>
    <xf numFmtId="0" fontId="7" fillId="12" borderId="35" xfId="0" applyNumberFormat="1" applyFon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 wrapText="1"/>
    </xf>
    <xf numFmtId="0" fontId="10" fillId="4" borderId="14" xfId="0" applyFont="1" applyFill="1" applyBorder="1" applyAlignment="1">
      <alignment horizontal="center" vertical="center" wrapText="1"/>
    </xf>
    <xf numFmtId="0" fontId="10" fillId="4" borderId="3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0" fillId="9" borderId="19" xfId="0" applyFont="1" applyFill="1" applyBorder="1" applyAlignment="1">
      <alignment horizontal="center" vertical="center" wrapText="1"/>
    </xf>
    <xf numFmtId="0" fontId="10" fillId="9" borderId="14" xfId="0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2" fontId="7" fillId="12" borderId="43" xfId="0" applyNumberFormat="1" applyFont="1" applyFill="1" applyBorder="1" applyAlignment="1">
      <alignment horizontal="center" vertical="center"/>
    </xf>
    <xf numFmtId="2" fontId="7" fillId="12" borderId="41" xfId="0" applyNumberFormat="1" applyFont="1" applyFill="1" applyBorder="1" applyAlignment="1">
      <alignment horizontal="center" vertical="center"/>
    </xf>
    <xf numFmtId="2" fontId="7" fillId="12" borderId="11" xfId="0" applyNumberFormat="1" applyFont="1" applyFill="1" applyBorder="1" applyAlignment="1">
      <alignment horizontal="center" vertical="center"/>
    </xf>
    <xf numFmtId="2" fontId="7" fillId="12" borderId="12" xfId="0" applyNumberFormat="1" applyFont="1" applyFill="1" applyBorder="1" applyAlignment="1">
      <alignment horizontal="center" vertical="center"/>
    </xf>
    <xf numFmtId="2" fontId="7" fillId="12" borderId="44" xfId="0" applyNumberFormat="1" applyFont="1" applyFill="1" applyBorder="1" applyAlignment="1">
      <alignment horizontal="center" vertical="center"/>
    </xf>
    <xf numFmtId="2" fontId="7" fillId="12" borderId="18" xfId="0" applyNumberFormat="1" applyFont="1" applyFill="1" applyBorder="1" applyAlignment="1">
      <alignment horizontal="center" vertical="center"/>
    </xf>
    <xf numFmtId="0" fontId="7" fillId="12" borderId="36" xfId="0" applyNumberFormat="1" applyFont="1" applyFill="1" applyBorder="1" applyAlignment="1">
      <alignment horizontal="center" vertical="center"/>
    </xf>
    <xf numFmtId="0" fontId="7" fillId="12" borderId="35" xfId="0" applyNumberFormat="1" applyFont="1" applyFill="1" applyBorder="1" applyAlignment="1">
      <alignment horizontal="center" vertical="center"/>
    </xf>
    <xf numFmtId="2" fontId="7" fillId="12" borderId="47" xfId="0" applyNumberFormat="1" applyFont="1" applyFill="1" applyBorder="1" applyAlignment="1">
      <alignment horizontal="center" vertical="center"/>
    </xf>
    <xf numFmtId="2" fontId="7" fillId="12" borderId="46" xfId="0" applyNumberFormat="1" applyFont="1" applyFill="1" applyBorder="1" applyAlignment="1">
      <alignment horizontal="center" vertical="center"/>
    </xf>
    <xf numFmtId="2" fontId="7" fillId="12" borderId="48" xfId="0" applyNumberFormat="1" applyFont="1" applyFill="1" applyBorder="1" applyAlignment="1">
      <alignment horizontal="center" vertical="center"/>
    </xf>
    <xf numFmtId="2" fontId="7" fillId="12" borderId="40" xfId="0" applyNumberFormat="1" applyFont="1" applyFill="1" applyBorder="1" applyAlignment="1">
      <alignment horizontal="center" vertical="center"/>
    </xf>
    <xf numFmtId="2" fontId="7" fillId="12" borderId="42" xfId="0" applyNumberFormat="1" applyFont="1" applyFill="1" applyBorder="1" applyAlignment="1">
      <alignment horizontal="center" vertical="center"/>
    </xf>
    <xf numFmtId="2" fontId="7" fillId="12" borderId="34" xfId="0" applyNumberFormat="1" applyFont="1" applyFill="1" applyBorder="1" applyAlignment="1">
      <alignment horizontal="center" vertical="center"/>
    </xf>
    <xf numFmtId="0" fontId="7" fillId="12" borderId="27" xfId="0" applyNumberFormat="1" applyFont="1" applyFill="1" applyBorder="1" applyAlignment="1">
      <alignment horizontal="center" vertical="center"/>
    </xf>
    <xf numFmtId="0" fontId="7" fillId="12" borderId="30" xfId="0" applyNumberFormat="1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46" xfId="0" applyFill="1" applyBorder="1" applyAlignment="1">
      <alignment horizontal="center" vertical="center"/>
    </xf>
    <xf numFmtId="0" fontId="0" fillId="12" borderId="44" xfId="0" applyFill="1" applyBorder="1" applyAlignment="1">
      <alignment horizontal="center" vertical="center"/>
    </xf>
    <xf numFmtId="0" fontId="0" fillId="12" borderId="48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7" fillId="12" borderId="43" xfId="0" applyNumberFormat="1" applyFont="1" applyFill="1" applyBorder="1" applyAlignment="1">
      <alignment horizontal="center" vertical="center"/>
    </xf>
    <xf numFmtId="0" fontId="7" fillId="12" borderId="41" xfId="0" applyNumberFormat="1" applyFont="1" applyFill="1" applyBorder="1" applyAlignment="1">
      <alignment horizontal="center" vertical="center"/>
    </xf>
    <xf numFmtId="0" fontId="7" fillId="12" borderId="40" xfId="0" applyNumberFormat="1" applyFont="1" applyFill="1" applyBorder="1" applyAlignment="1">
      <alignment horizontal="center" vertical="center"/>
    </xf>
    <xf numFmtId="0" fontId="0" fillId="12" borderId="42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7" fillId="12" borderId="47" xfId="0" applyNumberFormat="1" applyFont="1" applyFill="1" applyBorder="1" applyAlignment="1">
      <alignment horizontal="center" vertical="center"/>
    </xf>
    <xf numFmtId="0" fontId="10" fillId="13" borderId="19" xfId="0" applyFont="1" applyFill="1" applyBorder="1" applyAlignment="1">
      <alignment horizontal="center" vertical="center" wrapText="1"/>
    </xf>
    <xf numFmtId="0" fontId="10" fillId="13" borderId="14" xfId="0" applyFont="1" applyFill="1" applyBorder="1" applyAlignment="1">
      <alignment horizontal="center" vertical="center" wrapText="1"/>
    </xf>
    <xf numFmtId="0" fontId="10" fillId="13" borderId="32" xfId="0" applyFont="1" applyFill="1" applyBorder="1" applyAlignment="1">
      <alignment horizontal="center" vertical="center" wrapText="1"/>
    </xf>
    <xf numFmtId="0" fontId="10" fillId="17" borderId="19" xfId="0" applyFont="1" applyFill="1" applyBorder="1" applyAlignment="1">
      <alignment horizontal="center" vertical="center" wrapText="1"/>
    </xf>
    <xf numFmtId="0" fontId="10" fillId="17" borderId="14" xfId="0" applyFont="1" applyFill="1" applyBorder="1" applyAlignment="1">
      <alignment horizontal="center" vertical="center" wrapText="1"/>
    </xf>
    <xf numFmtId="0" fontId="10" fillId="17" borderId="32" xfId="0" applyFont="1" applyFill="1" applyBorder="1" applyAlignment="1">
      <alignment horizontal="center" vertical="center" wrapText="1"/>
    </xf>
    <xf numFmtId="0" fontId="10" fillId="17" borderId="3" xfId="0" applyFont="1" applyFill="1" applyBorder="1" applyAlignment="1">
      <alignment horizontal="center" vertical="center" wrapText="1"/>
    </xf>
    <xf numFmtId="0" fontId="10" fillId="17" borderId="4" xfId="0" applyFont="1" applyFill="1" applyBorder="1" applyAlignment="1">
      <alignment horizontal="center" vertical="center" wrapText="1"/>
    </xf>
    <xf numFmtId="0" fontId="10" fillId="17" borderId="60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E1FFEF"/>
      <color rgb="FFB7FFD8"/>
      <color rgb="FF00642D"/>
      <color rgb="FF002E15"/>
      <color rgb="FF001409"/>
      <color rgb="FFF4E0E0"/>
      <color rgb="FFBF4C49"/>
      <color rgb="FF883230"/>
      <color rgb="FF441918"/>
      <color rgb="FFDBF4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597711</xdr:colOff>
      <xdr:row>1</xdr:row>
      <xdr:rowOff>28575</xdr:rowOff>
    </xdr:from>
    <xdr:to>
      <xdr:col>6</xdr:col>
      <xdr:colOff>452948</xdr:colOff>
      <xdr:row>6</xdr:row>
      <xdr:rowOff>43007</xdr:rowOff>
    </xdr:to>
    <xdr:sp macro="[0]!IrPara_P1" textlink="">
      <xdr:nvSpPr>
        <xdr:cNvPr id="5" name="Forma liv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426511" y="219075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bg2">
            <a:lumMod val="1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Inserção de Dados e Combinações</a:t>
          </a:r>
        </a:p>
      </xdr:txBody>
    </xdr:sp>
    <xdr:clientData/>
  </xdr:twoCellAnchor>
  <xdr:twoCellAnchor>
    <xdr:from>
      <xdr:col>7</xdr:col>
      <xdr:colOff>11753</xdr:colOff>
      <xdr:row>1</xdr:row>
      <xdr:rowOff>28575</xdr:rowOff>
    </xdr:from>
    <xdr:to>
      <xdr:col>9</xdr:col>
      <xdr:colOff>476590</xdr:colOff>
      <xdr:row>6</xdr:row>
      <xdr:rowOff>43007</xdr:rowOff>
    </xdr:to>
    <xdr:sp macro="[0]!IrPara_P2" textlink="">
      <xdr:nvSpPr>
        <xdr:cNvPr id="6" name="Forma liv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278953" y="219075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tx2">
            <a:lumMod val="5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Determinar Q</a:t>
          </a:r>
        </a:p>
      </xdr:txBody>
    </xdr:sp>
    <xdr:clientData/>
  </xdr:twoCellAnchor>
  <xdr:twoCellAnchor>
    <xdr:from>
      <xdr:col>10</xdr:col>
      <xdr:colOff>35396</xdr:colOff>
      <xdr:row>1</xdr:row>
      <xdr:rowOff>28575</xdr:rowOff>
    </xdr:from>
    <xdr:to>
      <xdr:col>12</xdr:col>
      <xdr:colOff>500233</xdr:colOff>
      <xdr:row>6</xdr:row>
      <xdr:rowOff>43007</xdr:rowOff>
    </xdr:to>
    <xdr:sp macro="[0]!IrPara_P4" textlink="">
      <xdr:nvSpPr>
        <xdr:cNvPr id="7" name="Forma liv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131396" y="219075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tx2">
            <a:lumMod val="5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Calcular Nex</a:t>
          </a:r>
        </a:p>
      </xdr:txBody>
    </xdr:sp>
    <xdr:clientData/>
  </xdr:twoCellAnchor>
  <xdr:twoCellAnchor>
    <xdr:from>
      <xdr:col>13</xdr:col>
      <xdr:colOff>59038</xdr:colOff>
      <xdr:row>1</xdr:row>
      <xdr:rowOff>28575</xdr:rowOff>
    </xdr:from>
    <xdr:to>
      <xdr:col>15</xdr:col>
      <xdr:colOff>523875</xdr:colOff>
      <xdr:row>6</xdr:row>
      <xdr:rowOff>43007</xdr:rowOff>
    </xdr:to>
    <xdr:sp macro="[0]!IrPara_P5" textlink="">
      <xdr:nvSpPr>
        <xdr:cNvPr id="8" name="Forma liv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983838" y="219075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tx2">
            <a:lumMod val="5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Calcular Ney</a:t>
          </a:r>
        </a:p>
      </xdr:txBody>
    </xdr:sp>
    <xdr:clientData/>
  </xdr:twoCellAnchor>
  <xdr:twoCellAnchor>
    <xdr:from>
      <xdr:col>3</xdr:col>
      <xdr:colOff>597711</xdr:colOff>
      <xdr:row>7</xdr:row>
      <xdr:rowOff>13663</xdr:rowOff>
    </xdr:from>
    <xdr:to>
      <xdr:col>6</xdr:col>
      <xdr:colOff>452948</xdr:colOff>
      <xdr:row>12</xdr:row>
      <xdr:rowOff>28095</xdr:rowOff>
    </xdr:to>
    <xdr:sp macro="[0]!IrPara_P6" textlink="">
      <xdr:nvSpPr>
        <xdr:cNvPr id="9" name="Forma liv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426511" y="1347163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tx2">
            <a:lumMod val="5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Calcular Nez</a:t>
          </a:r>
        </a:p>
      </xdr:txBody>
    </xdr:sp>
    <xdr:clientData/>
  </xdr:twoCellAnchor>
  <xdr:twoCellAnchor>
    <xdr:from>
      <xdr:col>7</xdr:col>
      <xdr:colOff>11753</xdr:colOff>
      <xdr:row>7</xdr:row>
      <xdr:rowOff>13663</xdr:rowOff>
    </xdr:from>
    <xdr:to>
      <xdr:col>9</xdr:col>
      <xdr:colOff>476590</xdr:colOff>
      <xdr:row>12</xdr:row>
      <xdr:rowOff>28095</xdr:rowOff>
    </xdr:to>
    <xdr:sp macro="[0]!IrPara_P7" textlink="">
      <xdr:nvSpPr>
        <xdr:cNvPr id="10" name="Forma liv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278953" y="1347163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tx2">
            <a:lumMod val="5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Calcular Neyz</a:t>
          </a:r>
        </a:p>
      </xdr:txBody>
    </xdr:sp>
    <xdr:clientData/>
  </xdr:twoCellAnchor>
  <xdr:twoCellAnchor>
    <xdr:from>
      <xdr:col>10</xdr:col>
      <xdr:colOff>35396</xdr:colOff>
      <xdr:row>7</xdr:row>
      <xdr:rowOff>13663</xdr:rowOff>
    </xdr:from>
    <xdr:to>
      <xdr:col>12</xdr:col>
      <xdr:colOff>500233</xdr:colOff>
      <xdr:row>12</xdr:row>
      <xdr:rowOff>28095</xdr:rowOff>
    </xdr:to>
    <xdr:sp macro="[0]!IrPara_P8" textlink="">
      <xdr:nvSpPr>
        <xdr:cNvPr id="11" name="Forma liv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131396" y="1347163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tx2">
            <a:lumMod val="5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Índice de Esbeltez Reduzido</a:t>
          </a:r>
        </a:p>
      </xdr:txBody>
    </xdr:sp>
    <xdr:clientData/>
  </xdr:twoCellAnchor>
  <xdr:twoCellAnchor>
    <xdr:from>
      <xdr:col>13</xdr:col>
      <xdr:colOff>59038</xdr:colOff>
      <xdr:row>7</xdr:row>
      <xdr:rowOff>13663</xdr:rowOff>
    </xdr:from>
    <xdr:to>
      <xdr:col>15</xdr:col>
      <xdr:colOff>523875</xdr:colOff>
      <xdr:row>12</xdr:row>
      <xdr:rowOff>28095</xdr:rowOff>
    </xdr:to>
    <xdr:sp macro="[0]!IrPara_P9" textlink="">
      <xdr:nvSpPr>
        <xdr:cNvPr id="12" name="Forma liv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83838" y="1347163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tx2">
            <a:lumMod val="5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Determinar X</a:t>
          </a:r>
        </a:p>
      </xdr:txBody>
    </xdr:sp>
    <xdr:clientData/>
  </xdr:twoCellAnchor>
  <xdr:twoCellAnchor>
    <xdr:from>
      <xdr:col>3</xdr:col>
      <xdr:colOff>597711</xdr:colOff>
      <xdr:row>12</xdr:row>
      <xdr:rowOff>189251</xdr:rowOff>
    </xdr:from>
    <xdr:to>
      <xdr:col>6</xdr:col>
      <xdr:colOff>452948</xdr:colOff>
      <xdr:row>18</xdr:row>
      <xdr:rowOff>13183</xdr:rowOff>
    </xdr:to>
    <xdr:sp macro="[0]!IrPara_P10" textlink="">
      <xdr:nvSpPr>
        <xdr:cNvPr id="13" name="Forma liv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426511" y="2475251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accent2">
            <a:lumMod val="5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Nc,Rd</a:t>
          </a:r>
        </a:p>
      </xdr:txBody>
    </xdr:sp>
    <xdr:clientData/>
  </xdr:twoCellAnchor>
  <xdr:twoCellAnchor>
    <xdr:from>
      <xdr:col>7</xdr:col>
      <xdr:colOff>11753</xdr:colOff>
      <xdr:row>12</xdr:row>
      <xdr:rowOff>189251</xdr:rowOff>
    </xdr:from>
    <xdr:to>
      <xdr:col>9</xdr:col>
      <xdr:colOff>476590</xdr:colOff>
      <xdr:row>18</xdr:row>
      <xdr:rowOff>13183</xdr:rowOff>
    </xdr:to>
    <xdr:sp macro="[0]!IrPara_P11" textlink="">
      <xdr:nvSpPr>
        <xdr:cNvPr id="14" name="Forma liv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278953" y="2475251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accent2">
            <a:lumMod val="50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Nt,Rd</a:t>
          </a:r>
        </a:p>
      </xdr:txBody>
    </xdr:sp>
    <xdr:clientData/>
  </xdr:twoCellAnchor>
  <xdr:twoCellAnchor>
    <xdr:from>
      <xdr:col>10</xdr:col>
      <xdr:colOff>35396</xdr:colOff>
      <xdr:row>12</xdr:row>
      <xdr:rowOff>189251</xdr:rowOff>
    </xdr:from>
    <xdr:to>
      <xdr:col>12</xdr:col>
      <xdr:colOff>500233</xdr:colOff>
      <xdr:row>18</xdr:row>
      <xdr:rowOff>13183</xdr:rowOff>
    </xdr:to>
    <xdr:sp macro="[0]!IrPara_P12" textlink="">
      <xdr:nvSpPr>
        <xdr:cNvPr id="15" name="Forma liv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31396" y="2475251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rgbClr val="00B050"/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Verificação</a:t>
          </a:r>
        </a:p>
      </xdr:txBody>
    </xdr:sp>
    <xdr:clientData/>
  </xdr:twoCellAnchor>
  <xdr:twoCellAnchor>
    <xdr:from>
      <xdr:col>13</xdr:col>
      <xdr:colOff>59038</xdr:colOff>
      <xdr:row>12</xdr:row>
      <xdr:rowOff>189251</xdr:rowOff>
    </xdr:from>
    <xdr:to>
      <xdr:col>15</xdr:col>
      <xdr:colOff>523875</xdr:colOff>
      <xdr:row>18</xdr:row>
      <xdr:rowOff>13183</xdr:rowOff>
    </xdr:to>
    <xdr:sp macro="[0]!IrPara_P3" textlink="">
      <xdr:nvSpPr>
        <xdr:cNvPr id="17" name="Forma liv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983838" y="2475251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bg1">
            <a:lumMod val="65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Cantoneira Dupla</a:t>
          </a:r>
        </a:p>
      </xdr:txBody>
    </xdr:sp>
    <xdr:clientData/>
  </xdr:twoCellAnchor>
  <xdr:twoCellAnchor>
    <xdr:from>
      <xdr:col>3</xdr:col>
      <xdr:colOff>597711</xdr:colOff>
      <xdr:row>18</xdr:row>
      <xdr:rowOff>174339</xdr:rowOff>
    </xdr:from>
    <xdr:to>
      <xdr:col>6</xdr:col>
      <xdr:colOff>452948</xdr:colOff>
      <xdr:row>23</xdr:row>
      <xdr:rowOff>188771</xdr:rowOff>
    </xdr:to>
    <xdr:sp macro="[0]!Tornar_Visível" textlink="">
      <xdr:nvSpPr>
        <xdr:cNvPr id="18" name="Forma liv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426511" y="3603339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Deixar Planilhas Visíveis</a:t>
          </a:r>
        </a:p>
      </xdr:txBody>
    </xdr:sp>
    <xdr:clientData/>
  </xdr:twoCellAnchor>
  <xdr:twoCellAnchor>
    <xdr:from>
      <xdr:col>7</xdr:col>
      <xdr:colOff>11753</xdr:colOff>
      <xdr:row>18</xdr:row>
      <xdr:rowOff>174339</xdr:rowOff>
    </xdr:from>
    <xdr:to>
      <xdr:col>9</xdr:col>
      <xdr:colOff>476590</xdr:colOff>
      <xdr:row>23</xdr:row>
      <xdr:rowOff>188771</xdr:rowOff>
    </xdr:to>
    <xdr:sp macro="[0]!Tornar_Invisível" textlink="">
      <xdr:nvSpPr>
        <xdr:cNvPr id="19" name="Forma liv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278953" y="3603339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Deixar Planilhas Invisíveis</a:t>
          </a:r>
        </a:p>
      </xdr:txBody>
    </xdr:sp>
    <xdr:clientData/>
  </xdr:twoCellAnchor>
  <xdr:twoCellAnchor>
    <xdr:from>
      <xdr:col>10</xdr:col>
      <xdr:colOff>35396</xdr:colOff>
      <xdr:row>18</xdr:row>
      <xdr:rowOff>174339</xdr:rowOff>
    </xdr:from>
    <xdr:to>
      <xdr:col>12</xdr:col>
      <xdr:colOff>500233</xdr:colOff>
      <xdr:row>23</xdr:row>
      <xdr:rowOff>188771</xdr:rowOff>
    </xdr:to>
    <xdr:sp macro="[0]!Chamar_Formulário_Dimensionamento_Finalizado" textlink="">
      <xdr:nvSpPr>
        <xdr:cNvPr id="20" name="Forma liv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131396" y="3603339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tx1"/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Dimensionamento Finalizado</a:t>
          </a:r>
        </a:p>
      </xdr:txBody>
    </xdr:sp>
    <xdr:clientData/>
  </xdr:twoCellAnchor>
  <xdr:twoCellAnchor>
    <xdr:from>
      <xdr:col>13</xdr:col>
      <xdr:colOff>59038</xdr:colOff>
      <xdr:row>18</xdr:row>
      <xdr:rowOff>174339</xdr:rowOff>
    </xdr:from>
    <xdr:to>
      <xdr:col>15</xdr:col>
      <xdr:colOff>523875</xdr:colOff>
      <xdr:row>23</xdr:row>
      <xdr:rowOff>188771</xdr:rowOff>
    </xdr:to>
    <xdr:sp macro="[0]!Chamar_Formulário_Dados_das_Seções_das_Barras" textlink="">
      <xdr:nvSpPr>
        <xdr:cNvPr id="21" name="Forma liv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7983838" y="3603339"/>
          <a:ext cx="1684037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tx1"/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Dados das Seções</a:t>
          </a:r>
        </a:p>
      </xdr:txBody>
    </xdr:sp>
    <xdr:clientData/>
  </xdr:twoCellAnchor>
  <xdr:twoCellAnchor>
    <xdr:from>
      <xdr:col>3</xdr:col>
      <xdr:colOff>602303</xdr:colOff>
      <xdr:row>24</xdr:row>
      <xdr:rowOff>117189</xdr:rowOff>
    </xdr:from>
    <xdr:to>
      <xdr:col>15</xdr:col>
      <xdr:colOff>542925</xdr:colOff>
      <xdr:row>29</xdr:row>
      <xdr:rowOff>131621</xdr:rowOff>
    </xdr:to>
    <xdr:sp macro="[0]!Chamar_Formulário_Inserção_de_Dados_1" textlink="">
      <xdr:nvSpPr>
        <xdr:cNvPr id="22" name="Forma liv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431103" y="4689189"/>
          <a:ext cx="7255822" cy="966932"/>
        </a:xfrm>
        <a:custGeom>
          <a:avLst/>
          <a:gdLst>
            <a:gd name="connsiteX0" fmla="*/ 0 w 1487441"/>
            <a:gd name="connsiteY0" fmla="*/ 0 h 892465"/>
            <a:gd name="connsiteX1" fmla="*/ 1487441 w 1487441"/>
            <a:gd name="connsiteY1" fmla="*/ 0 h 892465"/>
            <a:gd name="connsiteX2" fmla="*/ 1487441 w 1487441"/>
            <a:gd name="connsiteY2" fmla="*/ 892465 h 892465"/>
            <a:gd name="connsiteX3" fmla="*/ 0 w 1487441"/>
            <a:gd name="connsiteY3" fmla="*/ 892465 h 892465"/>
            <a:gd name="connsiteX4" fmla="*/ 0 w 1487441"/>
            <a:gd name="connsiteY4" fmla="*/ 0 h 8924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87441" h="892465">
              <a:moveTo>
                <a:pt x="0" y="0"/>
              </a:moveTo>
              <a:lnTo>
                <a:pt x="1487441" y="0"/>
              </a:lnTo>
              <a:lnTo>
                <a:pt x="1487441" y="892465"/>
              </a:lnTo>
              <a:lnTo>
                <a:pt x="0" y="892465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ABRIR FORMULÁRIO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585107</xdr:colOff>
      <xdr:row>2</xdr:row>
      <xdr:rowOff>27215</xdr:rowOff>
    </xdr:from>
    <xdr:to>
      <xdr:col>19</xdr:col>
      <xdr:colOff>217714</xdr:colOff>
      <xdr:row>3</xdr:row>
      <xdr:rowOff>54428</xdr:rowOff>
    </xdr:to>
    <xdr:sp macro="[0]!Voltar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110357" y="421822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</xdr:row>
          <xdr:rowOff>19050</xdr:rowOff>
        </xdr:from>
        <xdr:to>
          <xdr:col>10</xdr:col>
          <xdr:colOff>38100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Qs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104775</xdr:colOff>
      <xdr:row>5</xdr:row>
      <xdr:rowOff>66675</xdr:rowOff>
    </xdr:from>
    <xdr:to>
      <xdr:col>9</xdr:col>
      <xdr:colOff>352425</xdr:colOff>
      <xdr:row>8</xdr:row>
      <xdr:rowOff>134710</xdr:rowOff>
    </xdr:to>
    <xdr:sp macro="[0]!Voltar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67350" y="1447800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9</xdr:col>
          <xdr:colOff>285750</xdr:colOff>
          <xdr:row>4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Nex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19050</xdr:colOff>
      <xdr:row>5</xdr:row>
      <xdr:rowOff>123825</xdr:rowOff>
    </xdr:from>
    <xdr:to>
      <xdr:col>8</xdr:col>
      <xdr:colOff>266700</xdr:colOff>
      <xdr:row>9</xdr:row>
      <xdr:rowOff>1360</xdr:rowOff>
    </xdr:to>
    <xdr:sp macro="[0]!Voltar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933950" y="1504950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</xdr:row>
          <xdr:rowOff>9525</xdr:rowOff>
        </xdr:from>
        <xdr:to>
          <xdr:col>11</xdr:col>
          <xdr:colOff>9525</xdr:colOff>
          <xdr:row>4</xdr:row>
          <xdr:rowOff>257175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Ney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179295</xdr:colOff>
      <xdr:row>5</xdr:row>
      <xdr:rowOff>257735</xdr:rowOff>
    </xdr:from>
    <xdr:to>
      <xdr:col>9</xdr:col>
      <xdr:colOff>431428</xdr:colOff>
      <xdr:row>8</xdr:row>
      <xdr:rowOff>23211</xdr:rowOff>
    </xdr:to>
    <xdr:sp macro="[0]!Voltar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577854" y="2028264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552450</xdr:colOff>
          <xdr:row>4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Nez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67235</xdr:colOff>
      <xdr:row>6</xdr:row>
      <xdr:rowOff>56029</xdr:rowOff>
    </xdr:from>
    <xdr:to>
      <xdr:col>9</xdr:col>
      <xdr:colOff>319368</xdr:colOff>
      <xdr:row>9</xdr:row>
      <xdr:rowOff>124064</xdr:rowOff>
    </xdr:to>
    <xdr:sp macro="[0]!Voltar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779559" y="1815353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</xdr:row>
          <xdr:rowOff>19050</xdr:rowOff>
        </xdr:from>
        <xdr:to>
          <xdr:col>9</xdr:col>
          <xdr:colOff>590550</xdr:colOff>
          <xdr:row>2</xdr:row>
          <xdr:rowOff>600075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Neyz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85725</xdr:colOff>
      <xdr:row>5</xdr:row>
      <xdr:rowOff>47625</xdr:rowOff>
    </xdr:from>
    <xdr:to>
      <xdr:col>9</xdr:col>
      <xdr:colOff>333375</xdr:colOff>
      <xdr:row>8</xdr:row>
      <xdr:rowOff>115660</xdr:rowOff>
    </xdr:to>
    <xdr:sp macro="[0]!Voltar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5629275" y="1809750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19050</xdr:rowOff>
        </xdr:from>
        <xdr:to>
          <xdr:col>9</xdr:col>
          <xdr:colOff>561975</xdr:colOff>
          <xdr:row>2</xdr:row>
          <xdr:rowOff>781050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Índice de Esbeltez Reduzido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5</xdr:row>
      <xdr:rowOff>0</xdr:rowOff>
    </xdr:from>
    <xdr:to>
      <xdr:col>9</xdr:col>
      <xdr:colOff>247650</xdr:colOff>
      <xdr:row>8</xdr:row>
      <xdr:rowOff>68035</xdr:rowOff>
    </xdr:to>
    <xdr:sp macro="[0]!Voltar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5724525" y="1581150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180975</xdr:rowOff>
        </xdr:from>
        <xdr:to>
          <xdr:col>8</xdr:col>
          <xdr:colOff>0</xdr:colOff>
          <xdr:row>3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X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7</xdr:col>
      <xdr:colOff>247650</xdr:colOff>
      <xdr:row>7</xdr:row>
      <xdr:rowOff>68035</xdr:rowOff>
    </xdr:to>
    <xdr:sp macro="[0]!Voltar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381500" y="1190625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</xdr:row>
          <xdr:rowOff>180975</xdr:rowOff>
        </xdr:from>
        <xdr:to>
          <xdr:col>10</xdr:col>
          <xdr:colOff>0</xdr:colOff>
          <xdr:row>2</xdr:row>
          <xdr:rowOff>600075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Nc,Rd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4</xdr:row>
      <xdr:rowOff>0</xdr:rowOff>
    </xdr:from>
    <xdr:to>
      <xdr:col>9</xdr:col>
      <xdr:colOff>247650</xdr:colOff>
      <xdr:row>7</xdr:row>
      <xdr:rowOff>68035</xdr:rowOff>
    </xdr:to>
    <xdr:sp macro="[0]!Voltar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724525" y="1190625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</xdr:row>
          <xdr:rowOff>0</xdr:rowOff>
        </xdr:from>
        <xdr:to>
          <xdr:col>6</xdr:col>
          <xdr:colOff>552450</xdr:colOff>
          <xdr:row>3</xdr:row>
          <xdr:rowOff>95250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NtRd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5</xdr:row>
      <xdr:rowOff>0</xdr:rowOff>
    </xdr:from>
    <xdr:to>
      <xdr:col>6</xdr:col>
      <xdr:colOff>247650</xdr:colOff>
      <xdr:row>8</xdr:row>
      <xdr:rowOff>68035</xdr:rowOff>
    </xdr:to>
    <xdr:sp macro="[0]!Voltar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33775" y="1381125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9525</xdr:rowOff>
        </xdr:from>
        <xdr:to>
          <xdr:col>14</xdr:col>
          <xdr:colOff>180975</xdr:colOff>
          <xdr:row>14</xdr:row>
          <xdr:rowOff>57150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C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15</xdr:row>
          <xdr:rowOff>9525</xdr:rowOff>
        </xdr:from>
        <xdr:to>
          <xdr:col>14</xdr:col>
          <xdr:colOff>180975</xdr:colOff>
          <xdr:row>18</xdr:row>
          <xdr:rowOff>57150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C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Chamar Formulário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Dimensionamento Finalizado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13607</xdr:colOff>
      <xdr:row>6</xdr:row>
      <xdr:rowOff>95250</xdr:rowOff>
    </xdr:from>
    <xdr:to>
      <xdr:col>12</xdr:col>
      <xdr:colOff>258536</xdr:colOff>
      <xdr:row>8</xdr:row>
      <xdr:rowOff>244928</xdr:rowOff>
    </xdr:to>
    <xdr:sp macro="[0]!Voltar" textlink="">
      <xdr:nvSpPr>
        <xdr:cNvPr id="7" name="Seta para a esquerda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429750" y="1836964"/>
          <a:ext cx="857250" cy="63953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Voltar</a:t>
          </a:r>
        </a:p>
      </xdr:txBody>
    </xdr:sp>
    <xdr:clientData/>
  </xdr:twoCellAnchor>
  <xdr:twoCellAnchor>
    <xdr:from>
      <xdr:col>11</xdr:col>
      <xdr:colOff>54428</xdr:colOff>
      <xdr:row>1</xdr:row>
      <xdr:rowOff>190501</xdr:rowOff>
    </xdr:from>
    <xdr:to>
      <xdr:col>14</xdr:col>
      <xdr:colOff>462643</xdr:colOff>
      <xdr:row>5</xdr:row>
      <xdr:rowOff>40822</xdr:rowOff>
    </xdr:to>
    <xdr:sp macro="[0]!Verificação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9470571" y="381001"/>
          <a:ext cx="2245179" cy="1156607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/>
            <a:t>Verificar</a:t>
          </a:r>
        </a:p>
      </xdr:txBody>
    </xdr:sp>
    <xdr:clientData/>
  </xdr:twoCellAnchor>
  <xdr:twoCellAnchor>
    <xdr:from>
      <xdr:col>12</xdr:col>
      <xdr:colOff>598715</xdr:colOff>
      <xdr:row>5</xdr:row>
      <xdr:rowOff>136071</xdr:rowOff>
    </xdr:from>
    <xdr:to>
      <xdr:col>15</xdr:col>
      <xdr:colOff>54428</xdr:colOff>
      <xdr:row>10</xdr:row>
      <xdr:rowOff>204107</xdr:rowOff>
    </xdr:to>
    <xdr:sp macro="[0]!Gerar_PDF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0627179" y="1632857"/>
          <a:ext cx="1292678" cy="1292679"/>
        </a:xfrm>
        <a:prstGeom prst="ellipse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Gerar PDF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152400</xdr:rowOff>
    </xdr:from>
    <xdr:to>
      <xdr:col>1</xdr:col>
      <xdr:colOff>28575</xdr:colOff>
      <xdr:row>2</xdr:row>
      <xdr:rowOff>57150</xdr:rowOff>
    </xdr:to>
    <xdr:sp macro="[0]!Voltar" textlink="">
      <xdr:nvSpPr>
        <xdr:cNvPr id="3" name="Seta para a esquerda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85725" y="152400"/>
          <a:ext cx="552450" cy="3048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Voltar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Josileissu\Dropbox\Engenharia%20Civil%20-%204&#176;%20Ano\a1_Constru&#231;&#245;es%20em%20A&#231;o\Trabalho%20Finalizado\Trabalho%20Dimensionamento%20Estrutura%20Met&#225;lica%20-%20Finalizad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LPÃO SIMPLES"/>
      <sheetName val="GALPÃO DE COBERTURA ISOLADA"/>
      <sheetName val="GALPÃO COM LANTERNIM"/>
      <sheetName val="Modelagem Galpão Metálico"/>
      <sheetName val="Propriedades"/>
      <sheetName val="Esforços e Comb das Barras"/>
      <sheetName val="Pilar"/>
      <sheetName val="Cantoneira Dupla"/>
      <sheetName val="Cantoneira"/>
      <sheetName val="Perfis I e H"/>
      <sheetName val="Cantoneira 63,5 x 4,8 mm"/>
      <sheetName val="Cantoneira 50 x 3 mm"/>
      <sheetName val="Verificaçã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B3">
            <v>20000</v>
          </cell>
        </row>
        <row r="4">
          <cell r="B4">
            <v>7700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0"/>
  <dimension ref="A1"/>
  <sheetViews>
    <sheetView showGridLines="0" showRowColHeaders="0" tabSelected="1" zoomScale="85" zoomScaleNormal="85" workbookViewId="0">
      <selection activeCell="K36" sqref="K3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scale="7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13"/>
  <dimension ref="A1:D8"/>
  <sheetViews>
    <sheetView workbookViewId="0">
      <selection activeCell="F6" sqref="F6"/>
    </sheetView>
  </sheetViews>
  <sheetFormatPr defaultRowHeight="15" x14ac:dyDescent="0.25"/>
  <sheetData>
    <row r="1" spans="1:4" x14ac:dyDescent="0.25">
      <c r="A1" t="s">
        <v>0</v>
      </c>
      <c r="B1" t="s">
        <v>367</v>
      </c>
      <c r="C1" t="s">
        <v>370</v>
      </c>
      <c r="D1" t="s">
        <v>375</v>
      </c>
    </row>
    <row r="3" spans="1:4" x14ac:dyDescent="0.25">
      <c r="A3" t="s">
        <v>16</v>
      </c>
      <c r="B3" s="70">
        <v>0.65</v>
      </c>
      <c r="C3" s="70">
        <v>0.65</v>
      </c>
      <c r="D3" s="70">
        <v>1</v>
      </c>
    </row>
    <row r="4" spans="1:4" x14ac:dyDescent="0.25">
      <c r="A4" t="s">
        <v>17</v>
      </c>
      <c r="B4" s="70">
        <v>0.8</v>
      </c>
      <c r="C4" s="70">
        <v>0.8</v>
      </c>
      <c r="D4" s="70">
        <v>2</v>
      </c>
    </row>
    <row r="5" spans="1:4" x14ac:dyDescent="0.25">
      <c r="A5" t="s">
        <v>447</v>
      </c>
      <c r="B5" s="70">
        <v>1.2</v>
      </c>
      <c r="C5" s="70">
        <v>1.2</v>
      </c>
      <c r="D5" s="70"/>
    </row>
    <row r="6" spans="1:4" x14ac:dyDescent="0.25">
      <c r="A6" t="s">
        <v>448</v>
      </c>
      <c r="B6" s="70">
        <v>1</v>
      </c>
      <c r="C6" s="70">
        <v>1</v>
      </c>
      <c r="D6" s="70"/>
    </row>
    <row r="7" spans="1:4" x14ac:dyDescent="0.25">
      <c r="B7" s="70">
        <v>2.1</v>
      </c>
      <c r="C7" s="70">
        <v>2.1</v>
      </c>
      <c r="D7" s="70"/>
    </row>
    <row r="8" spans="1:4" x14ac:dyDescent="0.25">
      <c r="B8" s="70">
        <v>2</v>
      </c>
      <c r="C8" s="70">
        <v>2</v>
      </c>
      <c r="D8" s="7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1"/>
  <dimension ref="A1:Q50"/>
  <sheetViews>
    <sheetView zoomScale="70" zoomScaleNormal="70" workbookViewId="0">
      <selection activeCell="S5" sqref="S5"/>
    </sheetView>
  </sheetViews>
  <sheetFormatPr defaultRowHeight="15" x14ac:dyDescent="0.25"/>
  <cols>
    <col min="1" max="1" width="15.42578125" customWidth="1"/>
    <col min="2" max="2" width="8.85546875" bestFit="1" customWidth="1"/>
    <col min="3" max="3" width="11.85546875" customWidth="1"/>
    <col min="5" max="5" width="14.42578125" customWidth="1"/>
    <col min="6" max="6" width="11" customWidth="1"/>
    <col min="7" max="7" width="10.140625" customWidth="1"/>
  </cols>
  <sheetData>
    <row r="1" spans="1:17" x14ac:dyDescent="0.25">
      <c r="A1">
        <v>1</v>
      </c>
      <c r="B1">
        <f>A1+1</f>
        <v>2</v>
      </c>
      <c r="C1" s="60">
        <f t="shared" ref="C1:Q1" si="0">B1+1</f>
        <v>3</v>
      </c>
      <c r="D1" s="60">
        <f t="shared" si="0"/>
        <v>4</v>
      </c>
      <c r="E1" s="60">
        <f t="shared" si="0"/>
        <v>5</v>
      </c>
      <c r="F1" s="60">
        <f t="shared" si="0"/>
        <v>6</v>
      </c>
      <c r="G1" s="60">
        <f t="shared" si="0"/>
        <v>7</v>
      </c>
      <c r="H1" s="60">
        <f t="shared" si="0"/>
        <v>8</v>
      </c>
      <c r="I1" s="60">
        <f t="shared" si="0"/>
        <v>9</v>
      </c>
      <c r="J1" s="60">
        <f t="shared" si="0"/>
        <v>10</v>
      </c>
      <c r="K1" s="60">
        <f t="shared" si="0"/>
        <v>11</v>
      </c>
      <c r="L1" s="60">
        <f t="shared" si="0"/>
        <v>12</v>
      </c>
      <c r="M1" s="60">
        <f t="shared" si="0"/>
        <v>13</v>
      </c>
      <c r="N1" s="60">
        <f t="shared" si="0"/>
        <v>14</v>
      </c>
      <c r="O1" s="60">
        <f t="shared" si="0"/>
        <v>15</v>
      </c>
      <c r="P1" s="60">
        <f t="shared" si="0"/>
        <v>16</v>
      </c>
      <c r="Q1" s="60">
        <f t="shared" si="0"/>
        <v>17</v>
      </c>
    </row>
    <row r="2" spans="1:17" ht="15.75" thickBot="1" x14ac:dyDescent="0.3"/>
    <row r="3" spans="1:17" ht="48" thickBot="1" x14ac:dyDescent="0.3">
      <c r="A3" s="124" t="s">
        <v>0</v>
      </c>
      <c r="B3" s="124" t="s">
        <v>1</v>
      </c>
      <c r="C3" s="124" t="s">
        <v>2</v>
      </c>
      <c r="D3" s="124" t="s">
        <v>3</v>
      </c>
      <c r="E3" s="124" t="s">
        <v>4</v>
      </c>
      <c r="F3" s="124" t="s">
        <v>5</v>
      </c>
      <c r="G3" s="124" t="s">
        <v>6</v>
      </c>
      <c r="H3" s="124" t="s">
        <v>7</v>
      </c>
      <c r="I3" s="124" t="s">
        <v>8</v>
      </c>
      <c r="J3" s="124" t="s">
        <v>9</v>
      </c>
      <c r="K3" s="124" t="s">
        <v>10</v>
      </c>
      <c r="L3" s="124" t="s">
        <v>11</v>
      </c>
      <c r="M3" s="124" t="s">
        <v>12</v>
      </c>
      <c r="N3" s="124" t="s">
        <v>13</v>
      </c>
      <c r="O3" s="124" t="s">
        <v>14</v>
      </c>
      <c r="P3" s="124" t="s">
        <v>15</v>
      </c>
      <c r="Q3" s="125" t="s">
        <v>20</v>
      </c>
    </row>
    <row r="4" spans="1:17" ht="30.75" customHeight="1" x14ac:dyDescent="0.25">
      <c r="A4" s="248" t="s">
        <v>16</v>
      </c>
      <c r="B4" s="126">
        <v>1</v>
      </c>
      <c r="C4" s="131">
        <v>-5.9</v>
      </c>
      <c r="D4" s="132">
        <v>-2.2999999999999998</v>
      </c>
      <c r="E4" s="132">
        <v>-12.2</v>
      </c>
      <c r="F4" s="132">
        <v>19.82</v>
      </c>
      <c r="G4" s="132">
        <v>-14.08</v>
      </c>
      <c r="H4" s="132">
        <v>6.84</v>
      </c>
      <c r="I4" s="132">
        <f>1.25*C4+1.35*D4+1.5*E4</f>
        <v>-28.779999999999998</v>
      </c>
      <c r="J4" s="132">
        <f>1*C4+1*D4+1.4*F4</f>
        <v>19.547999999999998</v>
      </c>
      <c r="K4" s="132">
        <f>1*C4+1*D4+1.4*G4</f>
        <v>-27.911999999999999</v>
      </c>
      <c r="L4" s="132">
        <f>1*C4+1*D4+1.4*H4</f>
        <v>1.3759999999999994</v>
      </c>
      <c r="M4" s="132">
        <f>1.25*C4+1.35*D4+1.5*E4+1.4*0.6*F4</f>
        <v>-12.131199999999996</v>
      </c>
      <c r="N4" s="132">
        <f>1.25*C4+1.35*D4+1.5*E4+1.4*0.6*G4</f>
        <v>-40.607199999999999</v>
      </c>
      <c r="O4" s="132">
        <f>1.25*C4+1.35*D4+1.5*E4+1.4*0.6*H4</f>
        <v>-23.034399999999998</v>
      </c>
      <c r="P4" s="132">
        <f>LARGE(I4:O4,1)</f>
        <v>19.547999999999998</v>
      </c>
      <c r="Q4" s="133">
        <f>SMALL(I4:O4,1)</f>
        <v>-40.607199999999999</v>
      </c>
    </row>
    <row r="5" spans="1:17" ht="30.75" customHeight="1" x14ac:dyDescent="0.25">
      <c r="A5" s="249"/>
      <c r="B5" s="127" t="s">
        <v>397</v>
      </c>
      <c r="C5" s="134">
        <v>-10.1</v>
      </c>
      <c r="D5" s="135">
        <v>-4.0999999999999996</v>
      </c>
      <c r="E5" s="135">
        <v>-20.7</v>
      </c>
      <c r="F5" s="135">
        <v>37.18</v>
      </c>
      <c r="G5" s="135">
        <v>-2.09</v>
      </c>
      <c r="H5" s="135">
        <v>35.65</v>
      </c>
      <c r="I5" s="136">
        <f>1.25*C5+1.35*D5+1.5*E5</f>
        <v>-49.209999999999994</v>
      </c>
      <c r="J5" s="136">
        <f>1*C5+1*D5+1.4*F5</f>
        <v>37.852000000000004</v>
      </c>
      <c r="K5" s="136">
        <f>1*C5+1*D5+1.4*G5</f>
        <v>-17.125999999999998</v>
      </c>
      <c r="L5" s="136">
        <f>1*C5+1*D5+1.4*H5</f>
        <v>35.709999999999994</v>
      </c>
      <c r="M5" s="136">
        <f>1.25*C5+1.35*D5+1.5*E5+1.4*0.6*F5</f>
        <v>-17.978799999999996</v>
      </c>
      <c r="N5" s="136">
        <f>1.25*C5+1.35*D5+1.5*E5+1.4*0.6*G5</f>
        <v>-50.965599999999995</v>
      </c>
      <c r="O5" s="136">
        <f>1.25*C5+1.35*D5+1.5*E5+1.4*0.6*H5</f>
        <v>-19.263999999999996</v>
      </c>
      <c r="P5" s="136">
        <f>LARGE(I5:O5,1)</f>
        <v>37.852000000000004</v>
      </c>
      <c r="Q5" s="137">
        <f>SMALL(I5:O5,1)</f>
        <v>-50.965599999999995</v>
      </c>
    </row>
    <row r="6" spans="1:17" ht="30.75" customHeight="1" x14ac:dyDescent="0.25">
      <c r="A6" s="249"/>
      <c r="B6" s="127" t="s">
        <v>398</v>
      </c>
      <c r="C6" s="134">
        <v>-11.8</v>
      </c>
      <c r="D6" s="135">
        <v>-4.8</v>
      </c>
      <c r="E6" s="135">
        <v>-24.1</v>
      </c>
      <c r="F6" s="135">
        <v>44.54</v>
      </c>
      <c r="G6" s="135">
        <v>3.12</v>
      </c>
      <c r="H6" s="135">
        <v>47.87</v>
      </c>
      <c r="I6" s="136">
        <f t="shared" ref="I6:I50" si="1">1.25*C6+1.35*D6+1.5*E6</f>
        <v>-57.38000000000001</v>
      </c>
      <c r="J6" s="136">
        <f t="shared" ref="J6:J50" si="2">1*C6+1*D6+1.4*F6</f>
        <v>45.755999999999993</v>
      </c>
      <c r="K6" s="136">
        <f t="shared" ref="K6:K50" si="3">1*C6+1*D6+1.4*G6</f>
        <v>-12.232000000000003</v>
      </c>
      <c r="L6" s="136">
        <f t="shared" ref="L6:L50" si="4">1*C6+1*D6+1.4*H6</f>
        <v>50.417999999999985</v>
      </c>
      <c r="M6" s="136">
        <f t="shared" ref="M6:M50" si="5">1.25*C6+1.35*D6+1.5*E6+1.4*0.6*F6</f>
        <v>-19.966400000000014</v>
      </c>
      <c r="N6" s="136">
        <f t="shared" ref="N6:N50" si="6">1.25*C6+1.35*D6+1.5*E6+1.4*0.6*G6</f>
        <v>-54.759200000000007</v>
      </c>
      <c r="O6" s="136">
        <f t="shared" ref="O6:O50" si="7">1.25*C6+1.35*D6+1.5*E6+1.4*0.6*H6</f>
        <v>-17.169200000000011</v>
      </c>
      <c r="P6" s="136">
        <f t="shared" ref="P6:P50" si="8">LARGE(I6:O6,1)</f>
        <v>50.417999999999985</v>
      </c>
      <c r="Q6" s="137">
        <f t="shared" ref="Q6:Q50" si="9">SMALL(I6:O6,1)</f>
        <v>-57.38000000000001</v>
      </c>
    </row>
    <row r="7" spans="1:17" ht="30.75" customHeight="1" x14ac:dyDescent="0.25">
      <c r="A7" s="249"/>
      <c r="B7" s="127" t="s">
        <v>399</v>
      </c>
      <c r="C7" s="134">
        <v>-12.1</v>
      </c>
      <c r="D7" s="135">
        <v>-4.9000000000000004</v>
      </c>
      <c r="E7" s="135">
        <v>-24.8</v>
      </c>
      <c r="F7" s="135">
        <v>46.54</v>
      </c>
      <c r="G7" s="135">
        <v>4.71</v>
      </c>
      <c r="H7" s="135">
        <v>51.22</v>
      </c>
      <c r="I7" s="136">
        <f t="shared" si="1"/>
        <v>-58.940000000000005</v>
      </c>
      <c r="J7" s="136">
        <f t="shared" si="2"/>
        <v>48.155999999999992</v>
      </c>
      <c r="K7" s="136">
        <f t="shared" si="3"/>
        <v>-10.406000000000001</v>
      </c>
      <c r="L7" s="136">
        <f t="shared" si="4"/>
        <v>54.707999999999998</v>
      </c>
      <c r="M7" s="136">
        <f t="shared" si="5"/>
        <v>-19.84640000000001</v>
      </c>
      <c r="N7" s="136">
        <f t="shared" si="6"/>
        <v>-54.983600000000003</v>
      </c>
      <c r="O7" s="136">
        <f t="shared" si="7"/>
        <v>-15.915200000000006</v>
      </c>
      <c r="P7" s="136">
        <f t="shared" si="8"/>
        <v>54.707999999999998</v>
      </c>
      <c r="Q7" s="137">
        <f t="shared" si="9"/>
        <v>-58.940000000000005</v>
      </c>
    </row>
    <row r="8" spans="1:17" ht="30.75" customHeight="1" x14ac:dyDescent="0.25">
      <c r="A8" s="249"/>
      <c r="B8" s="127" t="s">
        <v>400</v>
      </c>
      <c r="C8" s="134">
        <v>-11.5</v>
      </c>
      <c r="D8" s="135">
        <v>-4.7</v>
      </c>
      <c r="E8" s="135">
        <v>-23.8</v>
      </c>
      <c r="F8" s="135">
        <v>45.33</v>
      </c>
      <c r="G8" s="135">
        <v>4.13</v>
      </c>
      <c r="H8" s="135">
        <v>49.24</v>
      </c>
      <c r="I8" s="136">
        <f t="shared" si="1"/>
        <v>-56.42</v>
      </c>
      <c r="J8" s="136">
        <f t="shared" si="2"/>
        <v>47.262</v>
      </c>
      <c r="K8" s="136">
        <f t="shared" si="3"/>
        <v>-10.417999999999999</v>
      </c>
      <c r="L8" s="136">
        <f t="shared" si="4"/>
        <v>52.73599999999999</v>
      </c>
      <c r="M8" s="136">
        <f t="shared" si="5"/>
        <v>-18.342800000000004</v>
      </c>
      <c r="N8" s="136">
        <f t="shared" si="6"/>
        <v>-52.950800000000001</v>
      </c>
      <c r="O8" s="136">
        <f t="shared" si="7"/>
        <v>-15.058399999999999</v>
      </c>
      <c r="P8" s="136">
        <f t="shared" si="8"/>
        <v>52.73599999999999</v>
      </c>
      <c r="Q8" s="137">
        <f t="shared" si="9"/>
        <v>-56.42</v>
      </c>
    </row>
    <row r="9" spans="1:17" ht="30.75" customHeight="1" x14ac:dyDescent="0.25">
      <c r="A9" s="249"/>
      <c r="B9" s="127" t="s">
        <v>401</v>
      </c>
      <c r="C9" s="134">
        <v>-10.4</v>
      </c>
      <c r="D9" s="135">
        <v>-4.2</v>
      </c>
      <c r="E9" s="135">
        <v>-21.5</v>
      </c>
      <c r="F9" s="135">
        <v>41.61</v>
      </c>
      <c r="G9" s="135">
        <v>1.87</v>
      </c>
      <c r="H9" s="135">
        <v>43.12</v>
      </c>
      <c r="I9" s="136">
        <f t="shared" si="1"/>
        <v>-50.92</v>
      </c>
      <c r="J9" s="136">
        <f t="shared" si="2"/>
        <v>43.653999999999996</v>
      </c>
      <c r="K9" s="136">
        <f t="shared" si="3"/>
        <v>-11.982000000000001</v>
      </c>
      <c r="L9" s="136">
        <f t="shared" si="4"/>
        <v>45.767999999999994</v>
      </c>
      <c r="M9" s="136">
        <f t="shared" si="5"/>
        <v>-15.967600000000004</v>
      </c>
      <c r="N9" s="136">
        <f t="shared" si="6"/>
        <v>-49.349200000000003</v>
      </c>
      <c r="O9" s="136">
        <f t="shared" si="7"/>
        <v>-14.699200000000005</v>
      </c>
      <c r="P9" s="136">
        <f t="shared" si="8"/>
        <v>45.767999999999994</v>
      </c>
      <c r="Q9" s="137">
        <f t="shared" si="9"/>
        <v>-50.92</v>
      </c>
    </row>
    <row r="10" spans="1:17" ht="30.75" customHeight="1" x14ac:dyDescent="0.25">
      <c r="A10" s="249"/>
      <c r="B10" s="127" t="s">
        <v>402</v>
      </c>
      <c r="C10" s="134">
        <v>-10.4</v>
      </c>
      <c r="D10" s="135">
        <v>-4.2</v>
      </c>
      <c r="E10" s="135">
        <v>-21.5</v>
      </c>
      <c r="F10" s="135">
        <v>41.61</v>
      </c>
      <c r="G10" s="135">
        <v>1.88</v>
      </c>
      <c r="H10" s="135">
        <v>43.63</v>
      </c>
      <c r="I10" s="136">
        <f t="shared" si="1"/>
        <v>-50.92</v>
      </c>
      <c r="J10" s="136">
        <f t="shared" si="2"/>
        <v>43.653999999999996</v>
      </c>
      <c r="K10" s="136">
        <f t="shared" si="3"/>
        <v>-11.968000000000002</v>
      </c>
      <c r="L10" s="136">
        <f t="shared" si="4"/>
        <v>46.481999999999999</v>
      </c>
      <c r="M10" s="136">
        <f t="shared" si="5"/>
        <v>-15.967600000000004</v>
      </c>
      <c r="N10" s="136">
        <f t="shared" si="6"/>
        <v>-49.340800000000002</v>
      </c>
      <c r="O10" s="136">
        <f t="shared" si="7"/>
        <v>-14.270800000000001</v>
      </c>
      <c r="P10" s="136">
        <f t="shared" si="8"/>
        <v>46.481999999999999</v>
      </c>
      <c r="Q10" s="137">
        <f t="shared" si="9"/>
        <v>-50.92</v>
      </c>
    </row>
    <row r="11" spans="1:17" ht="30.75" customHeight="1" x14ac:dyDescent="0.25">
      <c r="A11" s="249"/>
      <c r="B11" s="127" t="s">
        <v>403</v>
      </c>
      <c r="C11" s="134">
        <v>-11.5</v>
      </c>
      <c r="D11" s="135">
        <v>-4.7</v>
      </c>
      <c r="E11" s="135">
        <v>-23.8</v>
      </c>
      <c r="F11" s="135">
        <v>45.33</v>
      </c>
      <c r="G11" s="135">
        <v>0.15</v>
      </c>
      <c r="H11" s="135">
        <v>45.49</v>
      </c>
      <c r="I11" s="136">
        <f t="shared" si="1"/>
        <v>-56.42</v>
      </c>
      <c r="J11" s="136">
        <f t="shared" si="2"/>
        <v>47.262</v>
      </c>
      <c r="K11" s="136">
        <f t="shared" si="3"/>
        <v>-15.989999999999998</v>
      </c>
      <c r="L11" s="136">
        <f t="shared" si="4"/>
        <v>47.486000000000004</v>
      </c>
      <c r="M11" s="136">
        <f t="shared" si="5"/>
        <v>-18.342800000000004</v>
      </c>
      <c r="N11" s="136">
        <f t="shared" si="6"/>
        <v>-56.294000000000004</v>
      </c>
      <c r="O11" s="136">
        <f t="shared" si="7"/>
        <v>-18.208400000000005</v>
      </c>
      <c r="P11" s="136">
        <f t="shared" si="8"/>
        <v>47.486000000000004</v>
      </c>
      <c r="Q11" s="137">
        <f t="shared" si="9"/>
        <v>-56.42</v>
      </c>
    </row>
    <row r="12" spans="1:17" ht="30.75" customHeight="1" x14ac:dyDescent="0.25">
      <c r="A12" s="249"/>
      <c r="B12" s="127" t="s">
        <v>404</v>
      </c>
      <c r="C12" s="134">
        <v>-12.1</v>
      </c>
      <c r="D12" s="135">
        <v>-4.9000000000000004</v>
      </c>
      <c r="E12" s="135">
        <v>-24.8</v>
      </c>
      <c r="F12" s="135">
        <v>46.54</v>
      </c>
      <c r="G12" s="135">
        <v>0.24</v>
      </c>
      <c r="H12" s="135">
        <v>46.64</v>
      </c>
      <c r="I12" s="136">
        <f t="shared" si="1"/>
        <v>-58.940000000000005</v>
      </c>
      <c r="J12" s="136">
        <f t="shared" si="2"/>
        <v>48.155999999999992</v>
      </c>
      <c r="K12" s="136">
        <f t="shared" si="3"/>
        <v>-16.664000000000001</v>
      </c>
      <c r="L12" s="136">
        <f t="shared" si="4"/>
        <v>48.295999999999992</v>
      </c>
      <c r="M12" s="136">
        <f t="shared" si="5"/>
        <v>-19.84640000000001</v>
      </c>
      <c r="N12" s="136">
        <f t="shared" si="6"/>
        <v>-58.738400000000006</v>
      </c>
      <c r="O12" s="136">
        <f t="shared" si="7"/>
        <v>-19.762400000000007</v>
      </c>
      <c r="P12" s="136">
        <f t="shared" si="8"/>
        <v>48.295999999999992</v>
      </c>
      <c r="Q12" s="137">
        <f t="shared" si="9"/>
        <v>-58.940000000000005</v>
      </c>
    </row>
    <row r="13" spans="1:17" ht="30.75" customHeight="1" x14ac:dyDescent="0.25">
      <c r="A13" s="249"/>
      <c r="B13" s="127" t="s">
        <v>405</v>
      </c>
      <c r="C13" s="134">
        <v>-11.8</v>
      </c>
      <c r="D13" s="135">
        <v>-4.8</v>
      </c>
      <c r="E13" s="135">
        <v>-24.1</v>
      </c>
      <c r="F13" s="135">
        <v>44.54</v>
      </c>
      <c r="G13" s="135">
        <v>2.81</v>
      </c>
      <c r="H13" s="135">
        <v>46.99</v>
      </c>
      <c r="I13" s="136">
        <f t="shared" si="1"/>
        <v>-57.38000000000001</v>
      </c>
      <c r="J13" s="136">
        <f t="shared" si="2"/>
        <v>45.755999999999993</v>
      </c>
      <c r="K13" s="136">
        <f t="shared" si="3"/>
        <v>-12.666000000000002</v>
      </c>
      <c r="L13" s="136">
        <f t="shared" si="4"/>
        <v>49.186</v>
      </c>
      <c r="M13" s="136">
        <f t="shared" si="5"/>
        <v>-19.966400000000014</v>
      </c>
      <c r="N13" s="136">
        <f t="shared" si="6"/>
        <v>-55.019600000000011</v>
      </c>
      <c r="O13" s="136">
        <f t="shared" si="7"/>
        <v>-17.908400000000007</v>
      </c>
      <c r="P13" s="136">
        <f t="shared" si="8"/>
        <v>49.186</v>
      </c>
      <c r="Q13" s="137">
        <f t="shared" si="9"/>
        <v>-57.38000000000001</v>
      </c>
    </row>
    <row r="14" spans="1:17" ht="30.75" customHeight="1" x14ac:dyDescent="0.25">
      <c r="A14" s="249"/>
      <c r="B14" s="127" t="s">
        <v>406</v>
      </c>
      <c r="C14" s="134">
        <v>-10.1</v>
      </c>
      <c r="D14" s="135">
        <v>-4.0999999999999996</v>
      </c>
      <c r="E14" s="135">
        <v>-20.7</v>
      </c>
      <c r="F14" s="135">
        <v>37.18</v>
      </c>
      <c r="G14" s="135">
        <v>9.49</v>
      </c>
      <c r="H14" s="135">
        <v>46.01</v>
      </c>
      <c r="I14" s="136">
        <f t="shared" si="1"/>
        <v>-49.209999999999994</v>
      </c>
      <c r="J14" s="136">
        <f t="shared" si="2"/>
        <v>37.852000000000004</v>
      </c>
      <c r="K14" s="136">
        <f t="shared" si="3"/>
        <v>-0.9139999999999997</v>
      </c>
      <c r="L14" s="136">
        <f t="shared" si="4"/>
        <v>50.213999999999984</v>
      </c>
      <c r="M14" s="136">
        <f t="shared" si="5"/>
        <v>-17.978799999999996</v>
      </c>
      <c r="N14" s="136">
        <f t="shared" si="6"/>
        <v>-41.238399999999992</v>
      </c>
      <c r="O14" s="136">
        <f t="shared" si="7"/>
        <v>-10.561599999999999</v>
      </c>
      <c r="P14" s="136">
        <f t="shared" si="8"/>
        <v>50.213999999999984</v>
      </c>
      <c r="Q14" s="137">
        <f t="shared" si="9"/>
        <v>-49.209999999999994</v>
      </c>
    </row>
    <row r="15" spans="1:17" ht="30.75" customHeight="1" thickBot="1" x14ac:dyDescent="0.3">
      <c r="A15" s="250"/>
      <c r="B15" s="128" t="s">
        <v>407</v>
      </c>
      <c r="C15" s="138">
        <v>-5.9</v>
      </c>
      <c r="D15" s="139">
        <v>-2.4</v>
      </c>
      <c r="E15" s="139">
        <v>-12.2</v>
      </c>
      <c r="F15" s="139">
        <v>19.82</v>
      </c>
      <c r="G15" s="139">
        <v>23.89</v>
      </c>
      <c r="H15" s="139">
        <v>42.54</v>
      </c>
      <c r="I15" s="139">
        <f t="shared" si="1"/>
        <v>-28.914999999999999</v>
      </c>
      <c r="J15" s="139">
        <f t="shared" si="2"/>
        <v>19.447999999999997</v>
      </c>
      <c r="K15" s="139">
        <f t="shared" si="3"/>
        <v>25.145999999999997</v>
      </c>
      <c r="L15" s="139">
        <f t="shared" si="4"/>
        <v>51.256</v>
      </c>
      <c r="M15" s="139">
        <f t="shared" si="5"/>
        <v>-12.266199999999998</v>
      </c>
      <c r="N15" s="139">
        <f t="shared" si="6"/>
        <v>-8.8474000000000004</v>
      </c>
      <c r="O15" s="139">
        <f t="shared" si="7"/>
        <v>6.8185999999999964</v>
      </c>
      <c r="P15" s="139">
        <f t="shared" si="8"/>
        <v>51.256</v>
      </c>
      <c r="Q15" s="140">
        <f t="shared" si="9"/>
        <v>-28.914999999999999</v>
      </c>
    </row>
    <row r="16" spans="1:17" ht="30.75" customHeight="1" x14ac:dyDescent="0.25">
      <c r="A16" s="248" t="s">
        <v>17</v>
      </c>
      <c r="B16" s="129" t="s">
        <v>408</v>
      </c>
      <c r="C16" s="131">
        <v>-5.4</v>
      </c>
      <c r="D16" s="132">
        <v>-2</v>
      </c>
      <c r="E16" s="132">
        <v>-11.1</v>
      </c>
      <c r="F16" s="132">
        <v>35.25</v>
      </c>
      <c r="G16" s="132">
        <v>25.81</v>
      </c>
      <c r="H16" s="132">
        <v>58.63</v>
      </c>
      <c r="I16" s="136">
        <f t="shared" si="1"/>
        <v>-26.099999999999998</v>
      </c>
      <c r="J16" s="136">
        <f t="shared" si="2"/>
        <v>41.949999999999996</v>
      </c>
      <c r="K16" s="136">
        <f t="shared" si="3"/>
        <v>28.733999999999995</v>
      </c>
      <c r="L16" s="136">
        <f t="shared" si="4"/>
        <v>74.681999999999988</v>
      </c>
      <c r="M16" s="136">
        <f t="shared" si="5"/>
        <v>3.5100000000000016</v>
      </c>
      <c r="N16" s="136">
        <f t="shared" si="6"/>
        <v>-4.4195999999999991</v>
      </c>
      <c r="O16" s="136">
        <f t="shared" si="7"/>
        <v>23.149200000000004</v>
      </c>
      <c r="P16" s="136">
        <f t="shared" si="8"/>
        <v>74.681999999999988</v>
      </c>
      <c r="Q16" s="137">
        <f t="shared" si="9"/>
        <v>-26.099999999999998</v>
      </c>
    </row>
    <row r="17" spans="1:17" ht="30.75" customHeight="1" x14ac:dyDescent="0.25">
      <c r="A17" s="249"/>
      <c r="B17" s="127" t="s">
        <v>409</v>
      </c>
      <c r="C17" s="134">
        <v>5.3</v>
      </c>
      <c r="D17" s="135">
        <v>2.1</v>
      </c>
      <c r="E17" s="135">
        <v>10.8</v>
      </c>
      <c r="F17" s="135">
        <v>-7.4</v>
      </c>
      <c r="G17" s="135">
        <v>-3.32</v>
      </c>
      <c r="H17" s="135">
        <v>-12.06</v>
      </c>
      <c r="I17" s="136">
        <f t="shared" si="1"/>
        <v>25.660000000000004</v>
      </c>
      <c r="J17" s="136">
        <f t="shared" si="2"/>
        <v>-2.9599999999999991</v>
      </c>
      <c r="K17" s="136">
        <f t="shared" si="3"/>
        <v>2.7520000000000007</v>
      </c>
      <c r="L17" s="136">
        <f t="shared" si="4"/>
        <v>-9.484</v>
      </c>
      <c r="M17" s="136">
        <f t="shared" si="5"/>
        <v>19.444000000000003</v>
      </c>
      <c r="N17" s="136">
        <f t="shared" si="6"/>
        <v>22.871200000000005</v>
      </c>
      <c r="O17" s="136">
        <f t="shared" si="7"/>
        <v>15.529600000000004</v>
      </c>
      <c r="P17" s="136">
        <f t="shared" si="8"/>
        <v>25.660000000000004</v>
      </c>
      <c r="Q17" s="137">
        <f t="shared" si="9"/>
        <v>-9.484</v>
      </c>
    </row>
    <row r="18" spans="1:17" ht="30.75" customHeight="1" x14ac:dyDescent="0.25">
      <c r="A18" s="249"/>
      <c r="B18" s="127" t="s">
        <v>410</v>
      </c>
      <c r="C18" s="134">
        <v>9.4</v>
      </c>
      <c r="D18" s="135">
        <v>3.8</v>
      </c>
      <c r="E18" s="135">
        <v>19.2</v>
      </c>
      <c r="F18" s="135">
        <v>-23.78</v>
      </c>
      <c r="G18" s="135">
        <v>-14.64</v>
      </c>
      <c r="H18" s="135">
        <v>-39.21</v>
      </c>
      <c r="I18" s="136">
        <f t="shared" si="1"/>
        <v>45.679999999999993</v>
      </c>
      <c r="J18" s="136">
        <f t="shared" si="2"/>
        <v>-20.092000000000002</v>
      </c>
      <c r="K18" s="136">
        <f t="shared" si="3"/>
        <v>-7.2959999999999994</v>
      </c>
      <c r="L18" s="136">
        <f t="shared" si="4"/>
        <v>-41.694000000000003</v>
      </c>
      <c r="M18" s="136">
        <f t="shared" si="5"/>
        <v>25.704799999999992</v>
      </c>
      <c r="N18" s="136">
        <f t="shared" si="6"/>
        <v>33.38239999999999</v>
      </c>
      <c r="O18" s="136">
        <f t="shared" si="7"/>
        <v>12.743599999999994</v>
      </c>
      <c r="P18" s="136">
        <f t="shared" si="8"/>
        <v>45.679999999999993</v>
      </c>
      <c r="Q18" s="137">
        <f t="shared" si="9"/>
        <v>-41.694000000000003</v>
      </c>
    </row>
    <row r="19" spans="1:17" ht="30.75" customHeight="1" x14ac:dyDescent="0.25">
      <c r="A19" s="249"/>
      <c r="B19" s="127" t="s">
        <v>411</v>
      </c>
      <c r="C19" s="134">
        <v>11</v>
      </c>
      <c r="D19" s="135">
        <v>4.4000000000000004</v>
      </c>
      <c r="E19" s="135">
        <v>22.6</v>
      </c>
      <c r="F19" s="135">
        <v>-30.33</v>
      </c>
      <c r="G19" s="135">
        <v>-19.32</v>
      </c>
      <c r="H19" s="135">
        <v>-50.1</v>
      </c>
      <c r="I19" s="136">
        <f t="shared" si="1"/>
        <v>53.59</v>
      </c>
      <c r="J19" s="136">
        <f t="shared" si="2"/>
        <v>-27.061999999999998</v>
      </c>
      <c r="K19" s="136">
        <f t="shared" si="3"/>
        <v>-11.647999999999998</v>
      </c>
      <c r="L19" s="136">
        <f t="shared" si="4"/>
        <v>-54.74</v>
      </c>
      <c r="M19" s="136">
        <f t="shared" si="5"/>
        <v>28.112800000000007</v>
      </c>
      <c r="N19" s="136">
        <f t="shared" si="6"/>
        <v>37.361200000000004</v>
      </c>
      <c r="O19" s="136">
        <f t="shared" si="7"/>
        <v>11.506</v>
      </c>
      <c r="P19" s="136">
        <f t="shared" si="8"/>
        <v>53.59</v>
      </c>
      <c r="Q19" s="137">
        <f t="shared" si="9"/>
        <v>-54.74</v>
      </c>
    </row>
    <row r="20" spans="1:17" ht="30.75" customHeight="1" x14ac:dyDescent="0.25">
      <c r="A20" s="249"/>
      <c r="B20" s="127" t="s">
        <v>412</v>
      </c>
      <c r="C20" s="134">
        <v>11.3</v>
      </c>
      <c r="D20" s="135">
        <v>4.5999999999999996</v>
      </c>
      <c r="E20" s="135">
        <v>23.2</v>
      </c>
      <c r="F20" s="135">
        <v>-31.61</v>
      </c>
      <c r="G20" s="135">
        <v>-20.440000000000001</v>
      </c>
      <c r="H20" s="135">
        <v>-52.26</v>
      </c>
      <c r="I20" s="136">
        <f t="shared" si="1"/>
        <v>55.134999999999998</v>
      </c>
      <c r="J20" s="136">
        <f t="shared" si="2"/>
        <v>-28.353999999999999</v>
      </c>
      <c r="K20" s="136">
        <f t="shared" si="3"/>
        <v>-12.715999999999999</v>
      </c>
      <c r="L20" s="136">
        <f t="shared" si="4"/>
        <v>-57.263999999999989</v>
      </c>
      <c r="M20" s="136">
        <f t="shared" si="5"/>
        <v>28.582599999999999</v>
      </c>
      <c r="N20" s="136">
        <f t="shared" si="6"/>
        <v>37.965400000000002</v>
      </c>
      <c r="O20" s="136">
        <f t="shared" si="7"/>
        <v>11.236600000000003</v>
      </c>
      <c r="P20" s="136">
        <f t="shared" si="8"/>
        <v>55.134999999999998</v>
      </c>
      <c r="Q20" s="137">
        <f t="shared" si="9"/>
        <v>-57.263999999999989</v>
      </c>
    </row>
    <row r="21" spans="1:17" ht="30.75" customHeight="1" x14ac:dyDescent="0.25">
      <c r="A21" s="249"/>
      <c r="B21" s="127" t="s">
        <v>413</v>
      </c>
      <c r="C21" s="134">
        <v>10.8</v>
      </c>
      <c r="D21" s="135">
        <v>4.4000000000000004</v>
      </c>
      <c r="E21" s="135">
        <v>22.3</v>
      </c>
      <c r="F21" s="135">
        <v>-29.74</v>
      </c>
      <c r="G21" s="135">
        <v>-19.41</v>
      </c>
      <c r="H21" s="135">
        <v>-49.19</v>
      </c>
      <c r="I21" s="136">
        <f t="shared" si="1"/>
        <v>52.89</v>
      </c>
      <c r="J21" s="136">
        <f t="shared" si="2"/>
        <v>-26.435999999999993</v>
      </c>
      <c r="K21" s="136">
        <f t="shared" si="3"/>
        <v>-11.973999999999998</v>
      </c>
      <c r="L21" s="136">
        <f t="shared" si="4"/>
        <v>-53.665999999999983</v>
      </c>
      <c r="M21" s="136">
        <f t="shared" si="5"/>
        <v>27.908400000000004</v>
      </c>
      <c r="N21" s="136">
        <f t="shared" si="6"/>
        <v>36.585599999999999</v>
      </c>
      <c r="O21" s="136">
        <f t="shared" si="7"/>
        <v>11.570400000000006</v>
      </c>
      <c r="P21" s="136">
        <f t="shared" si="8"/>
        <v>52.89</v>
      </c>
      <c r="Q21" s="137">
        <f t="shared" si="9"/>
        <v>-53.665999999999983</v>
      </c>
    </row>
    <row r="22" spans="1:17" ht="30.75" customHeight="1" x14ac:dyDescent="0.25">
      <c r="A22" s="249"/>
      <c r="B22" s="127" t="s">
        <v>414</v>
      </c>
      <c r="C22" s="134">
        <v>10.8</v>
      </c>
      <c r="D22" s="135">
        <v>4.4000000000000004</v>
      </c>
      <c r="E22" s="135">
        <v>22.3</v>
      </c>
      <c r="F22" s="135">
        <v>-29.74</v>
      </c>
      <c r="G22" s="135">
        <v>-14.55</v>
      </c>
      <c r="H22" s="135">
        <v>-44.06</v>
      </c>
      <c r="I22" s="136">
        <f t="shared" si="1"/>
        <v>52.89</v>
      </c>
      <c r="J22" s="136">
        <f t="shared" si="2"/>
        <v>-26.435999999999993</v>
      </c>
      <c r="K22" s="136">
        <f t="shared" si="3"/>
        <v>-5.17</v>
      </c>
      <c r="L22" s="136">
        <f t="shared" si="4"/>
        <v>-46.483999999999995</v>
      </c>
      <c r="M22" s="136">
        <f t="shared" si="5"/>
        <v>27.908400000000004</v>
      </c>
      <c r="N22" s="136">
        <f t="shared" si="6"/>
        <v>40.667999999999999</v>
      </c>
      <c r="O22" s="136">
        <f t="shared" si="7"/>
        <v>15.879600000000003</v>
      </c>
      <c r="P22" s="136">
        <f t="shared" si="8"/>
        <v>52.89</v>
      </c>
      <c r="Q22" s="137">
        <f t="shared" si="9"/>
        <v>-46.483999999999995</v>
      </c>
    </row>
    <row r="23" spans="1:17" ht="30.75" customHeight="1" x14ac:dyDescent="0.25">
      <c r="A23" s="249"/>
      <c r="B23" s="127" t="s">
        <v>415</v>
      </c>
      <c r="C23" s="134">
        <v>11.3</v>
      </c>
      <c r="D23" s="135">
        <v>4.5999999999999996</v>
      </c>
      <c r="E23" s="135">
        <v>23.2</v>
      </c>
      <c r="F23" s="135">
        <v>-31.61</v>
      </c>
      <c r="G23" s="135">
        <v>-14.19</v>
      </c>
      <c r="H23" s="135">
        <v>-45.42</v>
      </c>
      <c r="I23" s="136">
        <f t="shared" si="1"/>
        <v>55.134999999999998</v>
      </c>
      <c r="J23" s="136">
        <f t="shared" si="2"/>
        <v>-28.353999999999999</v>
      </c>
      <c r="K23" s="136">
        <f t="shared" si="3"/>
        <v>-3.9659999999999993</v>
      </c>
      <c r="L23" s="136">
        <f t="shared" si="4"/>
        <v>-47.688000000000002</v>
      </c>
      <c r="M23" s="136">
        <f t="shared" si="5"/>
        <v>28.582599999999999</v>
      </c>
      <c r="N23" s="136">
        <f t="shared" si="6"/>
        <v>43.215400000000002</v>
      </c>
      <c r="O23" s="136">
        <f t="shared" si="7"/>
        <v>16.982199999999999</v>
      </c>
      <c r="P23" s="136">
        <f t="shared" si="8"/>
        <v>55.134999999999998</v>
      </c>
      <c r="Q23" s="137">
        <f t="shared" si="9"/>
        <v>-47.688000000000002</v>
      </c>
    </row>
    <row r="24" spans="1:17" ht="30.75" customHeight="1" x14ac:dyDescent="0.25">
      <c r="A24" s="249"/>
      <c r="B24" s="127" t="s">
        <v>416</v>
      </c>
      <c r="C24" s="134">
        <v>11</v>
      </c>
      <c r="D24" s="135">
        <v>4.4000000000000004</v>
      </c>
      <c r="E24" s="135">
        <v>22.6</v>
      </c>
      <c r="F24" s="135">
        <v>-30.33</v>
      </c>
      <c r="G24" s="135">
        <v>-16.260000000000002</v>
      </c>
      <c r="H24" s="135">
        <v>-45.99</v>
      </c>
      <c r="I24" s="136">
        <f t="shared" si="1"/>
        <v>53.59</v>
      </c>
      <c r="J24" s="136">
        <f t="shared" si="2"/>
        <v>-27.061999999999998</v>
      </c>
      <c r="K24" s="136">
        <f t="shared" si="3"/>
        <v>-7.363999999999999</v>
      </c>
      <c r="L24" s="136">
        <f t="shared" si="4"/>
        <v>-48.985999999999997</v>
      </c>
      <c r="M24" s="136">
        <f t="shared" si="5"/>
        <v>28.112800000000007</v>
      </c>
      <c r="N24" s="136">
        <f t="shared" si="6"/>
        <v>39.931600000000003</v>
      </c>
      <c r="O24" s="136">
        <f t="shared" si="7"/>
        <v>14.958400000000005</v>
      </c>
      <c r="P24" s="136">
        <f t="shared" si="8"/>
        <v>53.59</v>
      </c>
      <c r="Q24" s="137">
        <f t="shared" si="9"/>
        <v>-48.985999999999997</v>
      </c>
    </row>
    <row r="25" spans="1:17" ht="30.75" customHeight="1" x14ac:dyDescent="0.25">
      <c r="A25" s="249"/>
      <c r="B25" s="127" t="s">
        <v>417</v>
      </c>
      <c r="C25" s="134">
        <v>9.4</v>
      </c>
      <c r="D25" s="135">
        <v>3.8</v>
      </c>
      <c r="E25" s="135">
        <v>19.2</v>
      </c>
      <c r="F25" s="135">
        <v>-23.78</v>
      </c>
      <c r="G25" s="135">
        <v>-22.39</v>
      </c>
      <c r="H25" s="135">
        <v>-45.26</v>
      </c>
      <c r="I25" s="136">
        <f t="shared" si="1"/>
        <v>45.679999999999993</v>
      </c>
      <c r="J25" s="136">
        <f t="shared" si="2"/>
        <v>-20.092000000000002</v>
      </c>
      <c r="K25" s="136">
        <f t="shared" si="3"/>
        <v>-18.146000000000001</v>
      </c>
      <c r="L25" s="136">
        <f t="shared" si="4"/>
        <v>-50.163999999999987</v>
      </c>
      <c r="M25" s="136">
        <f t="shared" si="5"/>
        <v>25.704799999999992</v>
      </c>
      <c r="N25" s="136">
        <f t="shared" si="6"/>
        <v>26.872399999999992</v>
      </c>
      <c r="O25" s="136">
        <f t="shared" si="7"/>
        <v>7.6615999999999929</v>
      </c>
      <c r="P25" s="136">
        <f t="shared" si="8"/>
        <v>45.679999999999993</v>
      </c>
      <c r="Q25" s="137">
        <f t="shared" si="9"/>
        <v>-50.163999999999987</v>
      </c>
    </row>
    <row r="26" spans="1:17" ht="30.75" customHeight="1" x14ac:dyDescent="0.25">
      <c r="A26" s="249"/>
      <c r="B26" s="127" t="s">
        <v>396</v>
      </c>
      <c r="C26" s="134">
        <v>5.3</v>
      </c>
      <c r="D26" s="135">
        <v>2.1</v>
      </c>
      <c r="E26" s="135">
        <v>10.8</v>
      </c>
      <c r="F26" s="135">
        <v>-7.4</v>
      </c>
      <c r="G26" s="135">
        <v>-36.07</v>
      </c>
      <c r="H26" s="135">
        <v>-42.08</v>
      </c>
      <c r="I26" s="136">
        <f t="shared" si="1"/>
        <v>25.660000000000004</v>
      </c>
      <c r="J26" s="136">
        <f t="shared" si="2"/>
        <v>-2.9599999999999991</v>
      </c>
      <c r="K26" s="136">
        <f t="shared" si="3"/>
        <v>-43.097999999999999</v>
      </c>
      <c r="L26" s="136">
        <f t="shared" si="4"/>
        <v>-51.511999999999993</v>
      </c>
      <c r="M26" s="136">
        <f t="shared" si="5"/>
        <v>19.444000000000003</v>
      </c>
      <c r="N26" s="136">
        <f t="shared" si="6"/>
        <v>-4.6387999999999963</v>
      </c>
      <c r="O26" s="136">
        <f t="shared" si="7"/>
        <v>-9.68719999999999</v>
      </c>
      <c r="P26" s="136">
        <f t="shared" si="8"/>
        <v>25.660000000000004</v>
      </c>
      <c r="Q26" s="137">
        <f t="shared" si="9"/>
        <v>-51.511999999999993</v>
      </c>
    </row>
    <row r="27" spans="1:17" ht="30.75" customHeight="1" thickBot="1" x14ac:dyDescent="0.3">
      <c r="A27" s="250"/>
      <c r="B27" s="128" t="s">
        <v>418</v>
      </c>
      <c r="C27" s="138">
        <v>-5.4</v>
      </c>
      <c r="D27" s="139">
        <v>-2.2000000000000002</v>
      </c>
      <c r="E27" s="139">
        <v>-11.1</v>
      </c>
      <c r="F27" s="139">
        <v>35.25</v>
      </c>
      <c r="G27" s="139">
        <v>-70.05</v>
      </c>
      <c r="H27" s="139">
        <v>-32.44</v>
      </c>
      <c r="I27" s="139">
        <f t="shared" si="1"/>
        <v>-26.369999999999997</v>
      </c>
      <c r="J27" s="139">
        <f t="shared" si="2"/>
        <v>41.749999999999993</v>
      </c>
      <c r="K27" s="139">
        <f t="shared" si="3"/>
        <v>-105.66999999999999</v>
      </c>
      <c r="L27" s="139">
        <f t="shared" si="4"/>
        <v>-53.015999999999998</v>
      </c>
      <c r="M27" s="139">
        <f t="shared" si="5"/>
        <v>3.240000000000002</v>
      </c>
      <c r="N27" s="139">
        <f t="shared" si="6"/>
        <v>-85.211999999999989</v>
      </c>
      <c r="O27" s="139">
        <f t="shared" si="7"/>
        <v>-53.619599999999991</v>
      </c>
      <c r="P27" s="139">
        <f t="shared" si="8"/>
        <v>41.749999999999993</v>
      </c>
      <c r="Q27" s="140">
        <f t="shared" si="9"/>
        <v>-105.66999999999999</v>
      </c>
    </row>
    <row r="28" spans="1:17" ht="30.75" customHeight="1" x14ac:dyDescent="0.25">
      <c r="A28" s="248" t="s">
        <v>18</v>
      </c>
      <c r="B28" s="129" t="s">
        <v>419</v>
      </c>
      <c r="C28" s="131">
        <v>11.5</v>
      </c>
      <c r="D28" s="132">
        <v>4.7</v>
      </c>
      <c r="E28" s="132">
        <v>23.7</v>
      </c>
      <c r="F28" s="132">
        <v>-46.16</v>
      </c>
      <c r="G28" s="132">
        <v>-31.53</v>
      </c>
      <c r="H28" s="132">
        <v>-76.510000000000005</v>
      </c>
      <c r="I28" s="136">
        <f t="shared" si="1"/>
        <v>56.269999999999996</v>
      </c>
      <c r="J28" s="136">
        <f t="shared" si="2"/>
        <v>-48.423999999999992</v>
      </c>
      <c r="K28" s="136">
        <f t="shared" si="3"/>
        <v>-27.941999999999997</v>
      </c>
      <c r="L28" s="136">
        <f t="shared" si="4"/>
        <v>-90.914000000000001</v>
      </c>
      <c r="M28" s="136">
        <f t="shared" si="5"/>
        <v>17.495600000000003</v>
      </c>
      <c r="N28" s="136">
        <f t="shared" si="6"/>
        <v>29.784799999999997</v>
      </c>
      <c r="O28" s="136">
        <f t="shared" si="7"/>
        <v>-7.9984000000000037</v>
      </c>
      <c r="P28" s="136">
        <f t="shared" si="8"/>
        <v>56.269999999999996</v>
      </c>
      <c r="Q28" s="137">
        <f t="shared" si="9"/>
        <v>-90.914000000000001</v>
      </c>
    </row>
    <row r="29" spans="1:17" ht="30.75" customHeight="1" x14ac:dyDescent="0.25">
      <c r="A29" s="249"/>
      <c r="B29" s="127" t="s">
        <v>420</v>
      </c>
      <c r="C29" s="134">
        <v>4.9000000000000004</v>
      </c>
      <c r="D29" s="135">
        <v>2</v>
      </c>
      <c r="E29" s="135">
        <v>10</v>
      </c>
      <c r="F29" s="135">
        <v>-19.489999999999998</v>
      </c>
      <c r="G29" s="135">
        <v>-13.48</v>
      </c>
      <c r="H29" s="135">
        <v>-32.33</v>
      </c>
      <c r="I29" s="136">
        <f t="shared" si="1"/>
        <v>23.824999999999999</v>
      </c>
      <c r="J29" s="136">
        <f t="shared" si="2"/>
        <v>-20.385999999999996</v>
      </c>
      <c r="K29" s="136">
        <f t="shared" si="3"/>
        <v>-11.972</v>
      </c>
      <c r="L29" s="136">
        <f t="shared" si="4"/>
        <v>-38.361999999999995</v>
      </c>
      <c r="M29" s="136">
        <f t="shared" si="5"/>
        <v>7.453400000000002</v>
      </c>
      <c r="N29" s="136">
        <f t="shared" si="6"/>
        <v>12.501799999999999</v>
      </c>
      <c r="O29" s="136">
        <f t="shared" si="7"/>
        <v>-3.3321999999999967</v>
      </c>
      <c r="P29" s="136">
        <f t="shared" si="8"/>
        <v>23.824999999999999</v>
      </c>
      <c r="Q29" s="137">
        <f t="shared" si="9"/>
        <v>-38.361999999999995</v>
      </c>
    </row>
    <row r="30" spans="1:17" ht="30.75" customHeight="1" x14ac:dyDescent="0.25">
      <c r="A30" s="249"/>
      <c r="B30" s="127" t="s">
        <v>421</v>
      </c>
      <c r="C30" s="134">
        <v>2.1</v>
      </c>
      <c r="D30" s="135">
        <v>0.9</v>
      </c>
      <c r="E30" s="135">
        <v>4.4000000000000004</v>
      </c>
      <c r="F30" s="135">
        <v>-8.52</v>
      </c>
      <c r="G30" s="135">
        <v>-6.09</v>
      </c>
      <c r="H30" s="135">
        <v>-14.16</v>
      </c>
      <c r="I30" s="136">
        <f t="shared" si="1"/>
        <v>10.440000000000001</v>
      </c>
      <c r="J30" s="136">
        <f t="shared" si="2"/>
        <v>-8.927999999999999</v>
      </c>
      <c r="K30" s="136">
        <f t="shared" si="3"/>
        <v>-5.5259999999999998</v>
      </c>
      <c r="L30" s="136">
        <f t="shared" si="4"/>
        <v>-16.823999999999998</v>
      </c>
      <c r="M30" s="136">
        <f t="shared" si="5"/>
        <v>3.2832000000000017</v>
      </c>
      <c r="N30" s="136">
        <f t="shared" si="6"/>
        <v>5.3244000000000016</v>
      </c>
      <c r="O30" s="136">
        <f t="shared" si="7"/>
        <v>-1.4543999999999979</v>
      </c>
      <c r="P30" s="136">
        <f t="shared" si="8"/>
        <v>10.440000000000001</v>
      </c>
      <c r="Q30" s="137">
        <f t="shared" si="9"/>
        <v>-16.823999999999998</v>
      </c>
    </row>
    <row r="31" spans="1:17" ht="30.75" customHeight="1" x14ac:dyDescent="0.25">
      <c r="A31" s="249"/>
      <c r="B31" s="130" t="s">
        <v>422</v>
      </c>
      <c r="C31" s="134">
        <v>0.4</v>
      </c>
      <c r="D31" s="135">
        <v>0.2</v>
      </c>
      <c r="E31" s="135">
        <v>0.9</v>
      </c>
      <c r="F31" s="135">
        <v>-1.83</v>
      </c>
      <c r="G31" s="135">
        <v>-1.59</v>
      </c>
      <c r="H31" s="135">
        <v>-3.08</v>
      </c>
      <c r="I31" s="136">
        <f t="shared" si="1"/>
        <v>2.12</v>
      </c>
      <c r="J31" s="136">
        <f t="shared" si="2"/>
        <v>-1.9619999999999997</v>
      </c>
      <c r="K31" s="136">
        <f t="shared" si="3"/>
        <v>-1.6259999999999999</v>
      </c>
      <c r="L31" s="136">
        <f t="shared" si="4"/>
        <v>-3.7119999999999993</v>
      </c>
      <c r="M31" s="136">
        <f t="shared" si="5"/>
        <v>0.58280000000000021</v>
      </c>
      <c r="N31" s="136">
        <f t="shared" si="6"/>
        <v>0.78439999999999999</v>
      </c>
      <c r="O31" s="136">
        <f t="shared" si="7"/>
        <v>-0.46720000000000006</v>
      </c>
      <c r="P31" s="136">
        <f t="shared" si="8"/>
        <v>2.12</v>
      </c>
      <c r="Q31" s="137">
        <f t="shared" si="9"/>
        <v>-3.7119999999999993</v>
      </c>
    </row>
    <row r="32" spans="1:17" ht="30.75" customHeight="1" x14ac:dyDescent="0.25">
      <c r="A32" s="249"/>
      <c r="B32" s="130" t="s">
        <v>423</v>
      </c>
      <c r="C32" s="134">
        <v>-0.8</v>
      </c>
      <c r="D32" s="135">
        <v>-0.3</v>
      </c>
      <c r="E32" s="135">
        <v>-1.5</v>
      </c>
      <c r="F32" s="135">
        <v>2.93</v>
      </c>
      <c r="G32" s="135">
        <v>1.6</v>
      </c>
      <c r="H32" s="135">
        <v>4.8099999999999996</v>
      </c>
      <c r="I32" s="136">
        <f t="shared" si="1"/>
        <v>-3.6550000000000002</v>
      </c>
      <c r="J32" s="136">
        <f t="shared" si="2"/>
        <v>3.0020000000000002</v>
      </c>
      <c r="K32" s="136">
        <f t="shared" si="3"/>
        <v>1.1399999999999997</v>
      </c>
      <c r="L32" s="136">
        <f t="shared" si="4"/>
        <v>5.6339999999999986</v>
      </c>
      <c r="M32" s="136">
        <f t="shared" si="5"/>
        <v>-1.1938000000000004</v>
      </c>
      <c r="N32" s="136">
        <f t="shared" si="6"/>
        <v>-2.3109999999999999</v>
      </c>
      <c r="O32" s="136">
        <f t="shared" si="7"/>
        <v>0.38539999999999885</v>
      </c>
      <c r="P32" s="136">
        <f t="shared" si="8"/>
        <v>5.6339999999999986</v>
      </c>
      <c r="Q32" s="137">
        <f t="shared" si="9"/>
        <v>-3.6550000000000002</v>
      </c>
    </row>
    <row r="33" spans="1:17" ht="30.75" customHeight="1" x14ac:dyDescent="0.25">
      <c r="A33" s="249"/>
      <c r="B33" s="130" t="s">
        <v>424</v>
      </c>
      <c r="C33" s="134">
        <v>-1.8</v>
      </c>
      <c r="D33" s="135">
        <v>-0.7</v>
      </c>
      <c r="E33" s="135">
        <v>-3.6</v>
      </c>
      <c r="F33" s="135">
        <v>7.05</v>
      </c>
      <c r="G33" s="135">
        <v>4.34</v>
      </c>
      <c r="H33" s="135">
        <v>11.61</v>
      </c>
      <c r="I33" s="136">
        <f t="shared" si="1"/>
        <v>-8.5950000000000006</v>
      </c>
      <c r="J33" s="136">
        <f t="shared" si="2"/>
        <v>7.3699999999999992</v>
      </c>
      <c r="K33" s="136">
        <f t="shared" si="3"/>
        <v>3.5759999999999996</v>
      </c>
      <c r="L33" s="136">
        <f t="shared" si="4"/>
        <v>13.753999999999998</v>
      </c>
      <c r="M33" s="136">
        <f t="shared" si="5"/>
        <v>-2.6730000000000009</v>
      </c>
      <c r="N33" s="136">
        <f t="shared" si="6"/>
        <v>-4.9494000000000007</v>
      </c>
      <c r="O33" s="136">
        <f t="shared" si="7"/>
        <v>1.1573999999999991</v>
      </c>
      <c r="P33" s="136">
        <f t="shared" si="8"/>
        <v>13.753999999999998</v>
      </c>
      <c r="Q33" s="137">
        <f t="shared" si="9"/>
        <v>-8.5950000000000006</v>
      </c>
    </row>
    <row r="34" spans="1:17" ht="30.75" customHeight="1" x14ac:dyDescent="0.25">
      <c r="A34" s="249"/>
      <c r="B34" s="130" t="s">
        <v>425</v>
      </c>
      <c r="C34" s="134">
        <v>-1.8</v>
      </c>
      <c r="D34" s="135">
        <v>-0.7</v>
      </c>
      <c r="E34" s="135">
        <v>-3.6</v>
      </c>
      <c r="F34" s="135">
        <v>7.05</v>
      </c>
      <c r="G34" s="135">
        <v>-3.51</v>
      </c>
      <c r="H34" s="135">
        <v>3.33</v>
      </c>
      <c r="I34" s="136">
        <f t="shared" si="1"/>
        <v>-8.5950000000000006</v>
      </c>
      <c r="J34" s="136">
        <f t="shared" si="2"/>
        <v>7.3699999999999992</v>
      </c>
      <c r="K34" s="136">
        <f t="shared" si="3"/>
        <v>-7.4139999999999997</v>
      </c>
      <c r="L34" s="136">
        <f t="shared" si="4"/>
        <v>2.1619999999999999</v>
      </c>
      <c r="M34" s="136">
        <f t="shared" si="5"/>
        <v>-2.6730000000000009</v>
      </c>
      <c r="N34" s="136">
        <f t="shared" si="6"/>
        <v>-11.5434</v>
      </c>
      <c r="O34" s="136">
        <f t="shared" si="7"/>
        <v>-5.7978000000000005</v>
      </c>
      <c r="P34" s="136">
        <f t="shared" si="8"/>
        <v>7.3699999999999992</v>
      </c>
      <c r="Q34" s="137">
        <f t="shared" si="9"/>
        <v>-11.5434</v>
      </c>
    </row>
    <row r="35" spans="1:17" ht="30.75" customHeight="1" x14ac:dyDescent="0.25">
      <c r="A35" s="249"/>
      <c r="B35" s="130" t="s">
        <v>426</v>
      </c>
      <c r="C35" s="134">
        <v>-0.8</v>
      </c>
      <c r="D35" s="135">
        <v>-0.3</v>
      </c>
      <c r="E35" s="135">
        <v>-1.5</v>
      </c>
      <c r="F35" s="135">
        <v>2.83</v>
      </c>
      <c r="G35" s="135">
        <v>-0.56000000000000005</v>
      </c>
      <c r="H35" s="135">
        <v>2.13</v>
      </c>
      <c r="I35" s="136">
        <f t="shared" si="1"/>
        <v>-3.6550000000000002</v>
      </c>
      <c r="J35" s="136">
        <f t="shared" si="2"/>
        <v>2.8619999999999997</v>
      </c>
      <c r="K35" s="136">
        <f t="shared" si="3"/>
        <v>-1.8840000000000001</v>
      </c>
      <c r="L35" s="136">
        <f t="shared" si="4"/>
        <v>1.8819999999999997</v>
      </c>
      <c r="M35" s="136">
        <f t="shared" si="5"/>
        <v>-1.2778000000000005</v>
      </c>
      <c r="N35" s="136">
        <f t="shared" si="6"/>
        <v>-4.1254</v>
      </c>
      <c r="O35" s="136">
        <f t="shared" si="7"/>
        <v>-1.8658000000000003</v>
      </c>
      <c r="P35" s="136">
        <f t="shared" si="8"/>
        <v>2.8619999999999997</v>
      </c>
      <c r="Q35" s="137">
        <f t="shared" si="9"/>
        <v>-4.1254</v>
      </c>
    </row>
    <row r="36" spans="1:17" ht="30.75" customHeight="1" x14ac:dyDescent="0.25">
      <c r="A36" s="249"/>
      <c r="B36" s="130" t="s">
        <v>427</v>
      </c>
      <c r="C36" s="134">
        <v>0.4</v>
      </c>
      <c r="D36" s="135">
        <v>0.2</v>
      </c>
      <c r="E36" s="135">
        <v>0.9</v>
      </c>
      <c r="F36" s="135">
        <v>-1.83</v>
      </c>
      <c r="G36" s="135">
        <v>2.95</v>
      </c>
      <c r="H36" s="135">
        <v>0.82</v>
      </c>
      <c r="I36" s="136">
        <f t="shared" si="1"/>
        <v>2.12</v>
      </c>
      <c r="J36" s="136">
        <f t="shared" si="2"/>
        <v>-1.9619999999999997</v>
      </c>
      <c r="K36" s="136">
        <f t="shared" si="3"/>
        <v>4.7300000000000004</v>
      </c>
      <c r="L36" s="136">
        <f t="shared" si="4"/>
        <v>1.748</v>
      </c>
      <c r="M36" s="136">
        <f t="shared" si="5"/>
        <v>0.58280000000000021</v>
      </c>
      <c r="N36" s="136">
        <f t="shared" si="6"/>
        <v>4.5980000000000008</v>
      </c>
      <c r="O36" s="136">
        <f t="shared" si="7"/>
        <v>2.8088000000000002</v>
      </c>
      <c r="P36" s="136">
        <f t="shared" si="8"/>
        <v>4.7300000000000004</v>
      </c>
      <c r="Q36" s="137">
        <f t="shared" si="9"/>
        <v>-1.9619999999999997</v>
      </c>
    </row>
    <row r="37" spans="1:17" ht="30.75" customHeight="1" x14ac:dyDescent="0.25">
      <c r="A37" s="249"/>
      <c r="B37" s="127" t="s">
        <v>428</v>
      </c>
      <c r="C37" s="134">
        <v>2.1</v>
      </c>
      <c r="D37" s="135">
        <v>0.9</v>
      </c>
      <c r="E37" s="135">
        <v>4.4000000000000004</v>
      </c>
      <c r="F37" s="135">
        <v>-8.52</v>
      </c>
      <c r="G37" s="135">
        <v>7.97</v>
      </c>
      <c r="H37" s="135">
        <v>-0.96</v>
      </c>
      <c r="I37" s="136">
        <f t="shared" si="1"/>
        <v>10.440000000000001</v>
      </c>
      <c r="J37" s="136">
        <f t="shared" si="2"/>
        <v>-8.927999999999999</v>
      </c>
      <c r="K37" s="136">
        <f t="shared" si="3"/>
        <v>14.157999999999999</v>
      </c>
      <c r="L37" s="136">
        <f t="shared" si="4"/>
        <v>1.6560000000000001</v>
      </c>
      <c r="M37" s="136">
        <f t="shared" si="5"/>
        <v>3.2832000000000017</v>
      </c>
      <c r="N37" s="136">
        <f t="shared" si="6"/>
        <v>17.134800000000002</v>
      </c>
      <c r="O37" s="136">
        <f t="shared" si="7"/>
        <v>9.6336000000000013</v>
      </c>
      <c r="P37" s="136">
        <f t="shared" si="8"/>
        <v>17.134800000000002</v>
      </c>
      <c r="Q37" s="137">
        <f t="shared" si="9"/>
        <v>-8.927999999999999</v>
      </c>
    </row>
    <row r="38" spans="1:17" ht="30.75" customHeight="1" x14ac:dyDescent="0.25">
      <c r="A38" s="249"/>
      <c r="B38" s="127" t="s">
        <v>429</v>
      </c>
      <c r="C38" s="134">
        <v>4.9000000000000004</v>
      </c>
      <c r="D38" s="135">
        <v>2</v>
      </c>
      <c r="E38" s="135">
        <v>10</v>
      </c>
      <c r="F38" s="135">
        <v>-19.489999999999998</v>
      </c>
      <c r="G38" s="135">
        <v>16.29</v>
      </c>
      <c r="H38" s="135">
        <v>-3.78</v>
      </c>
      <c r="I38" s="136">
        <f t="shared" si="1"/>
        <v>23.824999999999999</v>
      </c>
      <c r="J38" s="136">
        <f t="shared" si="2"/>
        <v>-20.385999999999996</v>
      </c>
      <c r="K38" s="136">
        <f t="shared" si="3"/>
        <v>29.705999999999996</v>
      </c>
      <c r="L38" s="136">
        <f t="shared" si="4"/>
        <v>1.6080000000000005</v>
      </c>
      <c r="M38" s="136">
        <f t="shared" si="5"/>
        <v>7.453400000000002</v>
      </c>
      <c r="N38" s="136">
        <f t="shared" si="6"/>
        <v>37.508600000000001</v>
      </c>
      <c r="O38" s="136">
        <f t="shared" si="7"/>
        <v>20.649799999999999</v>
      </c>
      <c r="P38" s="136">
        <f t="shared" si="8"/>
        <v>37.508600000000001</v>
      </c>
      <c r="Q38" s="137">
        <f t="shared" si="9"/>
        <v>-20.385999999999996</v>
      </c>
    </row>
    <row r="39" spans="1:17" ht="30.75" customHeight="1" thickBot="1" x14ac:dyDescent="0.3">
      <c r="A39" s="250"/>
      <c r="B39" s="128" t="s">
        <v>430</v>
      </c>
      <c r="C39" s="138">
        <v>11.5</v>
      </c>
      <c r="D39" s="139">
        <v>4.7</v>
      </c>
      <c r="E39" s="139">
        <v>23.7</v>
      </c>
      <c r="F39" s="139">
        <v>-46.16</v>
      </c>
      <c r="G39" s="139">
        <v>36.78</v>
      </c>
      <c r="H39" s="139">
        <v>-10.43</v>
      </c>
      <c r="I39" s="139">
        <f t="shared" si="1"/>
        <v>56.269999999999996</v>
      </c>
      <c r="J39" s="139">
        <f t="shared" si="2"/>
        <v>-48.423999999999992</v>
      </c>
      <c r="K39" s="139">
        <f t="shared" si="3"/>
        <v>67.691999999999993</v>
      </c>
      <c r="L39" s="139">
        <f t="shared" si="4"/>
        <v>1.5980000000000008</v>
      </c>
      <c r="M39" s="139">
        <f t="shared" si="5"/>
        <v>17.495600000000003</v>
      </c>
      <c r="N39" s="139">
        <f t="shared" si="6"/>
        <v>87.165199999999999</v>
      </c>
      <c r="O39" s="139">
        <f t="shared" si="7"/>
        <v>47.508799999999994</v>
      </c>
      <c r="P39" s="139">
        <f t="shared" si="8"/>
        <v>87.165199999999999</v>
      </c>
      <c r="Q39" s="140">
        <f t="shared" si="9"/>
        <v>-48.423999999999992</v>
      </c>
    </row>
    <row r="40" spans="1:17" ht="30.75" customHeight="1" x14ac:dyDescent="0.25">
      <c r="A40" s="248" t="s">
        <v>19</v>
      </c>
      <c r="B40" s="129" t="s">
        <v>431</v>
      </c>
      <c r="C40" s="131">
        <v>-4.4000000000000004</v>
      </c>
      <c r="D40" s="132">
        <v>-1.8</v>
      </c>
      <c r="E40" s="132">
        <v>-9.1</v>
      </c>
      <c r="F40" s="132">
        <v>17.670000000000002</v>
      </c>
      <c r="G40" s="132">
        <v>12.06</v>
      </c>
      <c r="H40" s="132">
        <v>29.28</v>
      </c>
      <c r="I40" s="136">
        <f t="shared" si="1"/>
        <v>-21.58</v>
      </c>
      <c r="J40" s="136">
        <f t="shared" si="2"/>
        <v>18.538</v>
      </c>
      <c r="K40" s="136">
        <f t="shared" si="3"/>
        <v>10.684000000000001</v>
      </c>
      <c r="L40" s="136">
        <f t="shared" si="4"/>
        <v>34.791999999999994</v>
      </c>
      <c r="M40" s="136">
        <f t="shared" si="5"/>
        <v>-6.7371999999999979</v>
      </c>
      <c r="N40" s="136">
        <f t="shared" si="6"/>
        <v>-11.449599999999998</v>
      </c>
      <c r="O40" s="136">
        <f t="shared" si="7"/>
        <v>3.0152000000000001</v>
      </c>
      <c r="P40" s="136">
        <f t="shared" si="8"/>
        <v>34.791999999999994</v>
      </c>
      <c r="Q40" s="137">
        <f t="shared" si="9"/>
        <v>-21.58</v>
      </c>
    </row>
    <row r="41" spans="1:17" ht="30.75" customHeight="1" x14ac:dyDescent="0.25">
      <c r="A41" s="249"/>
      <c r="B41" s="127" t="s">
        <v>432</v>
      </c>
      <c r="C41" s="134">
        <v>-2.7</v>
      </c>
      <c r="D41" s="135">
        <v>-1.1000000000000001</v>
      </c>
      <c r="E41" s="135">
        <v>-5.4</v>
      </c>
      <c r="F41" s="135">
        <v>10.57</v>
      </c>
      <c r="G41" s="135">
        <v>7.31</v>
      </c>
      <c r="H41" s="135">
        <v>17.54</v>
      </c>
      <c r="I41" s="136">
        <f t="shared" si="1"/>
        <v>-12.96</v>
      </c>
      <c r="J41" s="136">
        <f t="shared" si="2"/>
        <v>10.997999999999999</v>
      </c>
      <c r="K41" s="136">
        <f t="shared" si="3"/>
        <v>6.4339999999999975</v>
      </c>
      <c r="L41" s="136">
        <f t="shared" si="4"/>
        <v>20.755999999999997</v>
      </c>
      <c r="M41" s="136">
        <f t="shared" si="5"/>
        <v>-4.0812000000000008</v>
      </c>
      <c r="N41" s="136">
        <f t="shared" si="6"/>
        <v>-6.8196000000000012</v>
      </c>
      <c r="O41" s="136">
        <f t="shared" si="7"/>
        <v>1.7735999999999983</v>
      </c>
      <c r="P41" s="136">
        <f t="shared" si="8"/>
        <v>20.755999999999997</v>
      </c>
      <c r="Q41" s="137">
        <f t="shared" si="9"/>
        <v>-12.96</v>
      </c>
    </row>
    <row r="42" spans="1:17" ht="30.75" customHeight="1" x14ac:dyDescent="0.25">
      <c r="A42" s="249"/>
      <c r="B42" s="127" t="s">
        <v>433</v>
      </c>
      <c r="C42" s="134">
        <v>-1.4</v>
      </c>
      <c r="D42" s="135">
        <v>-0.6</v>
      </c>
      <c r="E42" s="135">
        <v>-2.8</v>
      </c>
      <c r="F42" s="135">
        <v>5.45</v>
      </c>
      <c r="G42" s="135">
        <v>3.89</v>
      </c>
      <c r="H42" s="135">
        <v>9.0500000000000007</v>
      </c>
      <c r="I42" s="136">
        <f t="shared" si="1"/>
        <v>-6.76</v>
      </c>
      <c r="J42" s="136">
        <f t="shared" si="2"/>
        <v>5.63</v>
      </c>
      <c r="K42" s="136">
        <f t="shared" si="3"/>
        <v>3.4459999999999997</v>
      </c>
      <c r="L42" s="136">
        <f t="shared" si="4"/>
        <v>10.67</v>
      </c>
      <c r="M42" s="136">
        <f t="shared" si="5"/>
        <v>-2.1819999999999995</v>
      </c>
      <c r="N42" s="136">
        <f t="shared" si="6"/>
        <v>-3.4923999999999999</v>
      </c>
      <c r="O42" s="136">
        <f t="shared" si="7"/>
        <v>0.84200000000000053</v>
      </c>
      <c r="P42" s="136">
        <f t="shared" si="8"/>
        <v>10.67</v>
      </c>
      <c r="Q42" s="137">
        <f t="shared" si="9"/>
        <v>-6.76</v>
      </c>
    </row>
    <row r="43" spans="1:17" ht="30.75" customHeight="1" x14ac:dyDescent="0.25">
      <c r="A43" s="249"/>
      <c r="B43" s="130" t="s">
        <v>434</v>
      </c>
      <c r="C43" s="134">
        <v>-0.3</v>
      </c>
      <c r="D43" s="135">
        <v>-0.1</v>
      </c>
      <c r="E43" s="135">
        <v>-0.7</v>
      </c>
      <c r="F43" s="135">
        <v>1.31</v>
      </c>
      <c r="G43" s="135">
        <v>1.1299999999999999</v>
      </c>
      <c r="H43" s="135">
        <v>2.19</v>
      </c>
      <c r="I43" s="136">
        <f t="shared" si="1"/>
        <v>-1.5599999999999998</v>
      </c>
      <c r="J43" s="136">
        <f t="shared" si="2"/>
        <v>1.4339999999999997</v>
      </c>
      <c r="K43" s="136">
        <f t="shared" si="3"/>
        <v>1.1819999999999999</v>
      </c>
      <c r="L43" s="136">
        <f t="shared" si="4"/>
        <v>2.6659999999999999</v>
      </c>
      <c r="M43" s="136">
        <f t="shared" si="5"/>
        <v>-0.45959999999999979</v>
      </c>
      <c r="N43" s="136">
        <f t="shared" si="6"/>
        <v>-0.61080000000000001</v>
      </c>
      <c r="O43" s="136">
        <f t="shared" si="7"/>
        <v>0.27960000000000007</v>
      </c>
      <c r="P43" s="136">
        <f t="shared" si="8"/>
        <v>2.6659999999999999</v>
      </c>
      <c r="Q43" s="137">
        <f t="shared" si="9"/>
        <v>-1.5599999999999998</v>
      </c>
    </row>
    <row r="44" spans="1:17" ht="30.75" customHeight="1" x14ac:dyDescent="0.25">
      <c r="A44" s="249"/>
      <c r="B44" s="130" t="s">
        <v>435</v>
      </c>
      <c r="C44" s="134">
        <v>0.6</v>
      </c>
      <c r="D44" s="135">
        <v>0.2</v>
      </c>
      <c r="E44" s="135">
        <v>1.2</v>
      </c>
      <c r="F44" s="135">
        <v>-2.25</v>
      </c>
      <c r="G44" s="135">
        <v>-1.23</v>
      </c>
      <c r="H44" s="135">
        <v>-3.7</v>
      </c>
      <c r="I44" s="136">
        <f t="shared" si="1"/>
        <v>2.82</v>
      </c>
      <c r="J44" s="136">
        <f t="shared" si="2"/>
        <v>-2.3499999999999996</v>
      </c>
      <c r="K44" s="136">
        <f t="shared" si="3"/>
        <v>-0.92199999999999993</v>
      </c>
      <c r="L44" s="136">
        <f t="shared" si="4"/>
        <v>-4.38</v>
      </c>
      <c r="M44" s="136">
        <f t="shared" si="5"/>
        <v>0.92999999999999994</v>
      </c>
      <c r="N44" s="136">
        <f t="shared" si="6"/>
        <v>1.7867999999999999</v>
      </c>
      <c r="O44" s="136">
        <f t="shared" si="7"/>
        <v>-0.28800000000000026</v>
      </c>
      <c r="P44" s="136">
        <f t="shared" si="8"/>
        <v>2.82</v>
      </c>
      <c r="Q44" s="137">
        <f t="shared" si="9"/>
        <v>-4.38</v>
      </c>
    </row>
    <row r="45" spans="1:17" ht="30.75" customHeight="1" x14ac:dyDescent="0.25">
      <c r="A45" s="249"/>
      <c r="B45" s="130" t="s">
        <v>436</v>
      </c>
      <c r="C45" s="134">
        <v>2.8</v>
      </c>
      <c r="D45" s="135">
        <v>1.1000000000000001</v>
      </c>
      <c r="E45" s="135">
        <v>5.7</v>
      </c>
      <c r="F45" s="135">
        <v>-11.07</v>
      </c>
      <c r="G45" s="135">
        <v>-0.66</v>
      </c>
      <c r="H45" s="135">
        <v>-11.73</v>
      </c>
      <c r="I45" s="136">
        <f t="shared" si="1"/>
        <v>13.535</v>
      </c>
      <c r="J45" s="136">
        <f t="shared" si="2"/>
        <v>-11.597999999999999</v>
      </c>
      <c r="K45" s="136">
        <f t="shared" si="3"/>
        <v>2.976</v>
      </c>
      <c r="L45" s="136">
        <f t="shared" si="4"/>
        <v>-12.522</v>
      </c>
      <c r="M45" s="136">
        <f t="shared" si="5"/>
        <v>4.2362000000000002</v>
      </c>
      <c r="N45" s="136">
        <f t="shared" si="6"/>
        <v>12.980600000000001</v>
      </c>
      <c r="O45" s="136">
        <f t="shared" si="7"/>
        <v>3.6818000000000008</v>
      </c>
      <c r="P45" s="136">
        <f t="shared" si="8"/>
        <v>13.535</v>
      </c>
      <c r="Q45" s="137">
        <f t="shared" si="9"/>
        <v>-12.522</v>
      </c>
    </row>
    <row r="46" spans="1:17" ht="30.75" customHeight="1" x14ac:dyDescent="0.25">
      <c r="A46" s="249"/>
      <c r="B46" s="130" t="s">
        <v>437</v>
      </c>
      <c r="C46" s="134">
        <v>0.6</v>
      </c>
      <c r="D46" s="135">
        <v>0.2</v>
      </c>
      <c r="E46" s="135">
        <v>1.2</v>
      </c>
      <c r="F46" s="135">
        <v>-2.25</v>
      </c>
      <c r="G46" s="135">
        <v>0.43</v>
      </c>
      <c r="H46" s="135">
        <v>-1.64</v>
      </c>
      <c r="I46" s="136">
        <f t="shared" si="1"/>
        <v>2.82</v>
      </c>
      <c r="J46" s="136">
        <f t="shared" si="2"/>
        <v>-2.3499999999999996</v>
      </c>
      <c r="K46" s="136">
        <f t="shared" si="3"/>
        <v>1.4020000000000001</v>
      </c>
      <c r="L46" s="136">
        <f t="shared" si="4"/>
        <v>-1.4959999999999998</v>
      </c>
      <c r="M46" s="136">
        <f t="shared" si="5"/>
        <v>0.92999999999999994</v>
      </c>
      <c r="N46" s="136">
        <f t="shared" si="6"/>
        <v>3.1811999999999996</v>
      </c>
      <c r="O46" s="136">
        <f t="shared" si="7"/>
        <v>1.4423999999999999</v>
      </c>
      <c r="P46" s="136">
        <f t="shared" si="8"/>
        <v>3.1811999999999996</v>
      </c>
      <c r="Q46" s="137">
        <f t="shared" si="9"/>
        <v>-2.3499999999999996</v>
      </c>
    </row>
    <row r="47" spans="1:17" ht="30.75" customHeight="1" x14ac:dyDescent="0.25">
      <c r="A47" s="249"/>
      <c r="B47" s="130" t="s">
        <v>438</v>
      </c>
      <c r="C47" s="134">
        <v>-0.3</v>
      </c>
      <c r="D47" s="135">
        <v>-0.1</v>
      </c>
      <c r="E47" s="135">
        <v>-0.7</v>
      </c>
      <c r="F47" s="135">
        <v>1.31</v>
      </c>
      <c r="G47" s="135">
        <v>-2.11</v>
      </c>
      <c r="H47" s="135">
        <v>-0.59</v>
      </c>
      <c r="I47" s="136">
        <f t="shared" si="1"/>
        <v>-1.5599999999999998</v>
      </c>
      <c r="J47" s="136">
        <f t="shared" si="2"/>
        <v>1.4339999999999997</v>
      </c>
      <c r="K47" s="136">
        <f t="shared" si="3"/>
        <v>-3.3539999999999996</v>
      </c>
      <c r="L47" s="136">
        <f t="shared" si="4"/>
        <v>-1.226</v>
      </c>
      <c r="M47" s="136">
        <f t="shared" si="5"/>
        <v>-0.45959999999999979</v>
      </c>
      <c r="N47" s="136">
        <f t="shared" si="6"/>
        <v>-3.3323999999999998</v>
      </c>
      <c r="O47" s="136">
        <f t="shared" si="7"/>
        <v>-2.0555999999999996</v>
      </c>
      <c r="P47" s="136">
        <f t="shared" si="8"/>
        <v>1.4339999999999997</v>
      </c>
      <c r="Q47" s="137">
        <f t="shared" si="9"/>
        <v>-3.3539999999999996</v>
      </c>
    </row>
    <row r="48" spans="1:17" ht="30.75" customHeight="1" x14ac:dyDescent="0.25">
      <c r="A48" s="249"/>
      <c r="B48" s="127" t="s">
        <v>439</v>
      </c>
      <c r="C48" s="134">
        <v>-1.4</v>
      </c>
      <c r="D48" s="135">
        <v>-0.6</v>
      </c>
      <c r="E48" s="135">
        <v>-2.8</v>
      </c>
      <c r="F48" s="135">
        <v>5.45</v>
      </c>
      <c r="G48" s="135">
        <v>-5.09</v>
      </c>
      <c r="H48" s="135">
        <v>0.61</v>
      </c>
      <c r="I48" s="136">
        <f t="shared" si="1"/>
        <v>-6.76</v>
      </c>
      <c r="J48" s="136">
        <f t="shared" si="2"/>
        <v>5.63</v>
      </c>
      <c r="K48" s="136">
        <f t="shared" si="3"/>
        <v>-9.1259999999999994</v>
      </c>
      <c r="L48" s="136">
        <f t="shared" si="4"/>
        <v>-1.1459999999999999</v>
      </c>
      <c r="M48" s="136">
        <f t="shared" si="5"/>
        <v>-2.1819999999999995</v>
      </c>
      <c r="N48" s="136">
        <f t="shared" si="6"/>
        <v>-11.035599999999999</v>
      </c>
      <c r="O48" s="136">
        <f t="shared" si="7"/>
        <v>-6.2476000000000003</v>
      </c>
      <c r="P48" s="136">
        <f t="shared" si="8"/>
        <v>5.63</v>
      </c>
      <c r="Q48" s="137">
        <f t="shared" si="9"/>
        <v>-11.035599999999999</v>
      </c>
    </row>
    <row r="49" spans="1:17" ht="30.75" customHeight="1" x14ac:dyDescent="0.25">
      <c r="A49" s="249"/>
      <c r="B49" s="127" t="s">
        <v>440</v>
      </c>
      <c r="C49" s="134">
        <v>-2.7</v>
      </c>
      <c r="D49" s="135">
        <v>-1.1000000000000001</v>
      </c>
      <c r="E49" s="135">
        <v>-5.4</v>
      </c>
      <c r="F49" s="135">
        <v>10.57</v>
      </c>
      <c r="G49" s="135">
        <v>-8.84</v>
      </c>
      <c r="H49" s="135">
        <v>2.0499999999999998</v>
      </c>
      <c r="I49" s="136">
        <f t="shared" si="1"/>
        <v>-12.96</v>
      </c>
      <c r="J49" s="136">
        <f t="shared" si="2"/>
        <v>10.997999999999999</v>
      </c>
      <c r="K49" s="136">
        <f t="shared" si="3"/>
        <v>-16.175999999999998</v>
      </c>
      <c r="L49" s="136">
        <f t="shared" si="4"/>
        <v>-0.9300000000000006</v>
      </c>
      <c r="M49" s="136">
        <f t="shared" si="5"/>
        <v>-4.0812000000000008</v>
      </c>
      <c r="N49" s="136">
        <f t="shared" si="6"/>
        <v>-20.3856</v>
      </c>
      <c r="O49" s="136">
        <f t="shared" si="7"/>
        <v>-11.238000000000001</v>
      </c>
      <c r="P49" s="136">
        <f t="shared" si="8"/>
        <v>10.997999999999999</v>
      </c>
      <c r="Q49" s="137">
        <f t="shared" si="9"/>
        <v>-20.3856</v>
      </c>
    </row>
    <row r="50" spans="1:17" ht="30.75" customHeight="1" thickBot="1" x14ac:dyDescent="0.3">
      <c r="A50" s="249"/>
      <c r="B50" s="128" t="s">
        <v>441</v>
      </c>
      <c r="C50" s="138">
        <v>-4.4000000000000004</v>
      </c>
      <c r="D50" s="139">
        <v>-1.8</v>
      </c>
      <c r="E50" s="139">
        <v>-9.1</v>
      </c>
      <c r="F50" s="139">
        <v>17.670000000000002</v>
      </c>
      <c r="G50" s="139">
        <v>-14.07</v>
      </c>
      <c r="H50" s="139">
        <v>3.99</v>
      </c>
      <c r="I50" s="139">
        <f t="shared" si="1"/>
        <v>-21.58</v>
      </c>
      <c r="J50" s="139">
        <f t="shared" si="2"/>
        <v>18.538</v>
      </c>
      <c r="K50" s="139">
        <f t="shared" si="3"/>
        <v>-25.898</v>
      </c>
      <c r="L50" s="139">
        <f t="shared" si="4"/>
        <v>-0.61399999999999988</v>
      </c>
      <c r="M50" s="139">
        <f t="shared" si="5"/>
        <v>-6.7371999999999979</v>
      </c>
      <c r="N50" s="139">
        <f t="shared" si="6"/>
        <v>-33.398799999999994</v>
      </c>
      <c r="O50" s="139">
        <f t="shared" si="7"/>
        <v>-18.228399999999997</v>
      </c>
      <c r="P50" s="139">
        <f t="shared" si="8"/>
        <v>18.538</v>
      </c>
      <c r="Q50" s="140">
        <f t="shared" si="9"/>
        <v>-33.398799999999994</v>
      </c>
    </row>
  </sheetData>
  <mergeCells count="4">
    <mergeCell ref="A4:A15"/>
    <mergeCell ref="A16:A27"/>
    <mergeCell ref="A28:A39"/>
    <mergeCell ref="A40:A50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2"/>
  <dimension ref="A1:M64"/>
  <sheetViews>
    <sheetView zoomScaleNormal="100" workbookViewId="0">
      <selection activeCell="H25" sqref="H25"/>
    </sheetView>
  </sheetViews>
  <sheetFormatPr defaultRowHeight="15" x14ac:dyDescent="0.25"/>
  <cols>
    <col min="1" max="1" width="15" style="60" customWidth="1"/>
    <col min="2" max="2" width="8.85546875" style="60" bestFit="1" customWidth="1"/>
    <col min="6" max="6" width="10.85546875" customWidth="1"/>
  </cols>
  <sheetData>
    <row r="1" spans="1:13" x14ac:dyDescent="0.25">
      <c r="A1" s="60">
        <v>1</v>
      </c>
      <c r="B1" s="60">
        <f t="shared" ref="B1:G1" si="0">A1+1</f>
        <v>2</v>
      </c>
      <c r="C1" s="60">
        <f t="shared" si="0"/>
        <v>3</v>
      </c>
      <c r="D1" s="60">
        <f t="shared" si="0"/>
        <v>4</v>
      </c>
      <c r="E1" s="60">
        <f t="shared" si="0"/>
        <v>5</v>
      </c>
      <c r="F1" s="60">
        <f t="shared" si="0"/>
        <v>6</v>
      </c>
      <c r="G1" s="60">
        <f t="shared" si="0"/>
        <v>7</v>
      </c>
    </row>
    <row r="2" spans="1:13" ht="15.75" thickBot="1" x14ac:dyDescent="0.3">
      <c r="A2" s="68"/>
      <c r="B2" s="68"/>
      <c r="C2" s="59"/>
      <c r="D2" s="59"/>
      <c r="E2" s="59"/>
      <c r="F2" s="59"/>
      <c r="G2" s="59"/>
    </row>
    <row r="3" spans="1:13" ht="48" thickBot="1" x14ac:dyDescent="0.3">
      <c r="A3" s="124" t="s">
        <v>0</v>
      </c>
      <c r="B3" s="124" t="s">
        <v>1</v>
      </c>
      <c r="C3" s="124" t="s">
        <v>364</v>
      </c>
      <c r="D3" s="124" t="s">
        <v>365</v>
      </c>
      <c r="E3" s="124" t="s">
        <v>443</v>
      </c>
      <c r="F3" s="124" t="s">
        <v>444</v>
      </c>
      <c r="G3" s="125" t="s">
        <v>366</v>
      </c>
    </row>
    <row r="4" spans="1:13" ht="15" customHeight="1" x14ac:dyDescent="0.25">
      <c r="A4" s="252" t="s">
        <v>16</v>
      </c>
      <c r="B4" s="142">
        <v>1</v>
      </c>
      <c r="C4" s="147">
        <v>20</v>
      </c>
      <c r="D4" s="151">
        <v>10.666666666666666</v>
      </c>
      <c r="E4" s="152">
        <v>12.727922061357857</v>
      </c>
      <c r="F4" s="152">
        <v>25.738686835190332</v>
      </c>
      <c r="G4" s="153">
        <v>1</v>
      </c>
      <c r="M4" s="251"/>
    </row>
    <row r="5" spans="1:13" ht="15" customHeight="1" x14ac:dyDescent="0.25">
      <c r="A5" s="253"/>
      <c r="B5" s="143" t="s">
        <v>397</v>
      </c>
      <c r="C5" s="148">
        <v>17</v>
      </c>
      <c r="D5" s="154">
        <v>7</v>
      </c>
      <c r="E5" s="155">
        <v>12.727922061357857</v>
      </c>
      <c r="F5" s="155">
        <v>25.738686835190332</v>
      </c>
      <c r="G5" s="156">
        <v>1</v>
      </c>
      <c r="M5" s="251"/>
    </row>
    <row r="6" spans="1:13" ht="15" customHeight="1" x14ac:dyDescent="0.25">
      <c r="A6" s="253"/>
      <c r="B6" s="143" t="s">
        <v>398</v>
      </c>
      <c r="C6" s="148">
        <v>6</v>
      </c>
      <c r="D6" s="154">
        <v>8</v>
      </c>
      <c r="E6" s="155">
        <v>12.727922061357857</v>
      </c>
      <c r="F6" s="155">
        <v>25.738686835190332</v>
      </c>
      <c r="G6" s="156">
        <v>1</v>
      </c>
    </row>
    <row r="7" spans="1:13" ht="15" customHeight="1" x14ac:dyDescent="0.25">
      <c r="A7" s="253"/>
      <c r="B7" s="143" t="s">
        <v>399</v>
      </c>
      <c r="C7" s="148">
        <v>13</v>
      </c>
      <c r="D7" s="154">
        <v>8</v>
      </c>
      <c r="E7" s="155">
        <v>12.727922061357857</v>
      </c>
      <c r="F7" s="155">
        <v>25.738686835190332</v>
      </c>
      <c r="G7" s="156">
        <v>1</v>
      </c>
    </row>
    <row r="8" spans="1:13" ht="15" customHeight="1" x14ac:dyDescent="0.25">
      <c r="A8" s="253"/>
      <c r="B8" s="143" t="s">
        <v>400</v>
      </c>
      <c r="C8" s="148">
        <v>7</v>
      </c>
      <c r="D8" s="154">
        <v>5.333333333333333</v>
      </c>
      <c r="E8" s="155">
        <v>12.727922061357857</v>
      </c>
      <c r="F8" s="155">
        <v>25.738686835190332</v>
      </c>
      <c r="G8" s="156">
        <v>1</v>
      </c>
    </row>
    <row r="9" spans="1:13" ht="15" customHeight="1" x14ac:dyDescent="0.25">
      <c r="A9" s="253"/>
      <c r="B9" s="143" t="s">
        <v>401</v>
      </c>
      <c r="C9" s="148">
        <v>20</v>
      </c>
      <c r="D9" s="154">
        <v>10.666666666666666</v>
      </c>
      <c r="E9" s="155">
        <v>12.727922061357857</v>
      </c>
      <c r="F9" s="155">
        <v>25.738686835190332</v>
      </c>
      <c r="G9" s="156">
        <v>1</v>
      </c>
    </row>
    <row r="10" spans="1:13" ht="15" customHeight="1" x14ac:dyDescent="0.25">
      <c r="A10" s="253"/>
      <c r="B10" s="143" t="s">
        <v>402</v>
      </c>
      <c r="C10" s="148">
        <v>12</v>
      </c>
      <c r="D10" s="154">
        <v>12</v>
      </c>
      <c r="E10" s="155">
        <v>12.727922061357857</v>
      </c>
      <c r="F10" s="155">
        <v>25.738686835190332</v>
      </c>
      <c r="G10" s="156">
        <v>1</v>
      </c>
    </row>
    <row r="11" spans="1:13" ht="15" customHeight="1" x14ac:dyDescent="0.25">
      <c r="A11" s="253"/>
      <c r="B11" s="143" t="s">
        <v>403</v>
      </c>
      <c r="C11" s="148">
        <v>19</v>
      </c>
      <c r="D11" s="154">
        <v>16</v>
      </c>
      <c r="E11" s="155">
        <v>12.727922061357857</v>
      </c>
      <c r="F11" s="155">
        <v>25.738686835190332</v>
      </c>
      <c r="G11" s="156">
        <v>0.91007907703857915</v>
      </c>
    </row>
    <row r="12" spans="1:13" ht="15" customHeight="1" x14ac:dyDescent="0.25">
      <c r="A12" s="253"/>
      <c r="B12" s="143" t="s">
        <v>404</v>
      </c>
      <c r="C12" s="148">
        <v>20</v>
      </c>
      <c r="D12" s="154">
        <v>10.666666666666666</v>
      </c>
      <c r="E12" s="155">
        <v>12.727922061357857</v>
      </c>
      <c r="F12" s="155">
        <v>25.738686835190332</v>
      </c>
      <c r="G12" s="156">
        <v>1</v>
      </c>
    </row>
    <row r="13" spans="1:13" ht="15" customHeight="1" x14ac:dyDescent="0.25">
      <c r="A13" s="253"/>
      <c r="B13" s="143" t="s">
        <v>405</v>
      </c>
      <c r="C13" s="148">
        <v>6</v>
      </c>
      <c r="D13" s="154">
        <v>8</v>
      </c>
      <c r="E13" s="155">
        <v>12.727922061357857</v>
      </c>
      <c r="F13" s="155">
        <v>25.738686835190332</v>
      </c>
      <c r="G13" s="156">
        <v>1</v>
      </c>
    </row>
    <row r="14" spans="1:13" ht="15" customHeight="1" x14ac:dyDescent="0.25">
      <c r="A14" s="253"/>
      <c r="B14" s="143" t="s">
        <v>406</v>
      </c>
      <c r="C14" s="148">
        <v>20</v>
      </c>
      <c r="D14" s="154">
        <v>10.666666666666666</v>
      </c>
      <c r="E14" s="155">
        <v>12.727922061357857</v>
      </c>
      <c r="F14" s="155">
        <v>25.738686835190332</v>
      </c>
      <c r="G14" s="156">
        <v>1</v>
      </c>
    </row>
    <row r="15" spans="1:13" ht="15.75" customHeight="1" thickBot="1" x14ac:dyDescent="0.3">
      <c r="A15" s="254"/>
      <c r="B15" s="144" t="s">
        <v>407</v>
      </c>
      <c r="C15" s="149">
        <v>20</v>
      </c>
      <c r="D15" s="157">
        <v>10.666666666666666</v>
      </c>
      <c r="E15" s="158">
        <v>12.727922061357857</v>
      </c>
      <c r="F15" s="158">
        <v>25.738686835190332</v>
      </c>
      <c r="G15" s="159">
        <v>1</v>
      </c>
    </row>
    <row r="16" spans="1:13" ht="15" customHeight="1" x14ac:dyDescent="0.25">
      <c r="A16" s="252" t="s">
        <v>17</v>
      </c>
      <c r="B16" s="145" t="s">
        <v>408</v>
      </c>
      <c r="C16" s="147">
        <v>4</v>
      </c>
      <c r="D16" s="163">
        <v>7.0015748031496061</v>
      </c>
      <c r="E16" s="164">
        <v>12.727922061357857</v>
      </c>
      <c r="F16" s="164">
        <v>25.738686835190332</v>
      </c>
      <c r="G16" s="165">
        <v>1</v>
      </c>
    </row>
    <row r="17" spans="1:7" x14ac:dyDescent="0.25">
      <c r="A17" s="253"/>
      <c r="B17" s="143" t="s">
        <v>409</v>
      </c>
      <c r="C17" s="148">
        <v>20</v>
      </c>
      <c r="D17" s="154">
        <v>10.666666666666666</v>
      </c>
      <c r="E17" s="155">
        <v>12.727922061357857</v>
      </c>
      <c r="F17" s="155">
        <v>25.738686835190332</v>
      </c>
      <c r="G17" s="156">
        <v>1</v>
      </c>
    </row>
    <row r="18" spans="1:7" x14ac:dyDescent="0.25">
      <c r="A18" s="253"/>
      <c r="B18" s="143" t="s">
        <v>410</v>
      </c>
      <c r="C18" s="148">
        <v>32</v>
      </c>
      <c r="D18" s="154">
        <v>6.8571428571428568</v>
      </c>
      <c r="E18" s="155">
        <v>12.727922061357857</v>
      </c>
      <c r="F18" s="155">
        <v>25.738686835190332</v>
      </c>
      <c r="G18" s="156">
        <v>1</v>
      </c>
    </row>
    <row r="19" spans="1:7" x14ac:dyDescent="0.25">
      <c r="A19" s="253"/>
      <c r="B19" s="143" t="s">
        <v>411</v>
      </c>
      <c r="C19" s="148">
        <v>20</v>
      </c>
      <c r="D19" s="154">
        <v>10.666666666666666</v>
      </c>
      <c r="E19" s="155">
        <v>12.727922061357857</v>
      </c>
      <c r="F19" s="155">
        <v>25.738686835190332</v>
      </c>
      <c r="G19" s="156">
        <v>1</v>
      </c>
    </row>
    <row r="20" spans="1:7" x14ac:dyDescent="0.25">
      <c r="A20" s="253"/>
      <c r="B20" s="143" t="s">
        <v>412</v>
      </c>
      <c r="C20" s="148">
        <v>20</v>
      </c>
      <c r="D20" s="154">
        <v>10.666666666666666</v>
      </c>
      <c r="E20" s="155">
        <v>12.727922061357857</v>
      </c>
      <c r="F20" s="155">
        <v>25.738686835190332</v>
      </c>
      <c r="G20" s="156">
        <v>1</v>
      </c>
    </row>
    <row r="21" spans="1:7" x14ac:dyDescent="0.25">
      <c r="A21" s="253"/>
      <c r="B21" s="143" t="s">
        <v>413</v>
      </c>
      <c r="C21" s="148">
        <v>20</v>
      </c>
      <c r="D21" s="154">
        <v>10.666666666666666</v>
      </c>
      <c r="E21" s="155">
        <v>12.727922061357857</v>
      </c>
      <c r="F21" s="155">
        <v>25.738686835190332</v>
      </c>
      <c r="G21" s="156">
        <v>1</v>
      </c>
    </row>
    <row r="22" spans="1:7" x14ac:dyDescent="0.25">
      <c r="A22" s="253"/>
      <c r="B22" s="143" t="s">
        <v>414</v>
      </c>
      <c r="C22" s="148">
        <v>20</v>
      </c>
      <c r="D22" s="154">
        <v>10.666666666666666</v>
      </c>
      <c r="E22" s="155">
        <v>12.727922061357857</v>
      </c>
      <c r="F22" s="155">
        <v>25.738686835190332</v>
      </c>
      <c r="G22" s="156">
        <v>1</v>
      </c>
    </row>
    <row r="23" spans="1:7" x14ac:dyDescent="0.25">
      <c r="A23" s="253"/>
      <c r="B23" s="143" t="s">
        <v>415</v>
      </c>
      <c r="C23" s="148">
        <v>20</v>
      </c>
      <c r="D23" s="154">
        <v>10.666666666666666</v>
      </c>
      <c r="E23" s="155">
        <v>12.727922061357857</v>
      </c>
      <c r="F23" s="155">
        <v>25.738686835190332</v>
      </c>
      <c r="G23" s="156">
        <v>1</v>
      </c>
    </row>
    <row r="24" spans="1:7" x14ac:dyDescent="0.25">
      <c r="A24" s="253"/>
      <c r="B24" s="143" t="s">
        <v>416</v>
      </c>
      <c r="C24" s="148">
        <v>20</v>
      </c>
      <c r="D24" s="154">
        <v>10.666666666666666</v>
      </c>
      <c r="E24" s="155">
        <v>12.727922061357857</v>
      </c>
      <c r="F24" s="155">
        <v>25.738686835190332</v>
      </c>
      <c r="G24" s="156">
        <v>1</v>
      </c>
    </row>
    <row r="25" spans="1:7" x14ac:dyDescent="0.25">
      <c r="A25" s="253"/>
      <c r="B25" s="143" t="s">
        <v>417</v>
      </c>
      <c r="C25" s="148">
        <v>20</v>
      </c>
      <c r="D25" s="154">
        <v>10.666666666666666</v>
      </c>
      <c r="E25" s="155">
        <v>12.727922061357857</v>
      </c>
      <c r="F25" s="155">
        <v>25.738686835190332</v>
      </c>
      <c r="G25" s="156">
        <v>1</v>
      </c>
    </row>
    <row r="26" spans="1:7" x14ac:dyDescent="0.25">
      <c r="A26" s="253"/>
      <c r="B26" s="143" t="s">
        <v>396</v>
      </c>
      <c r="C26" s="148">
        <v>20</v>
      </c>
      <c r="D26" s="154">
        <v>10.666666666666666</v>
      </c>
      <c r="E26" s="155">
        <v>12.727922061357857</v>
      </c>
      <c r="F26" s="155">
        <v>25.738686835190332</v>
      </c>
      <c r="G26" s="156">
        <v>1</v>
      </c>
    </row>
    <row r="27" spans="1:7" ht="15.75" thickBot="1" x14ac:dyDescent="0.3">
      <c r="A27" s="254"/>
      <c r="B27" s="144" t="s">
        <v>418</v>
      </c>
      <c r="C27" s="148">
        <v>20</v>
      </c>
      <c r="D27" s="160">
        <v>10.666666666666666</v>
      </c>
      <c r="E27" s="161">
        <v>12.727922061357857</v>
      </c>
      <c r="F27" s="161">
        <v>25.738686835190332</v>
      </c>
      <c r="G27" s="162">
        <v>1</v>
      </c>
    </row>
    <row r="28" spans="1:7" ht="15" customHeight="1" x14ac:dyDescent="0.25">
      <c r="A28" s="252" t="s">
        <v>18</v>
      </c>
      <c r="B28" s="145" t="s">
        <v>419</v>
      </c>
      <c r="C28" s="148">
        <v>20</v>
      </c>
      <c r="D28" s="151">
        <v>10.666666666666666</v>
      </c>
      <c r="E28" s="152">
        <v>12.727922061357857</v>
      </c>
      <c r="F28" s="152">
        <v>25.738686835190332</v>
      </c>
      <c r="G28" s="153">
        <v>1</v>
      </c>
    </row>
    <row r="29" spans="1:7" x14ac:dyDescent="0.25">
      <c r="A29" s="253"/>
      <c r="B29" s="143" t="s">
        <v>420</v>
      </c>
      <c r="C29" s="148">
        <v>20</v>
      </c>
      <c r="D29" s="154">
        <v>10.666666666666666</v>
      </c>
      <c r="E29" s="155">
        <v>12.727922061357857</v>
      </c>
      <c r="F29" s="155">
        <v>25.738686835190332</v>
      </c>
      <c r="G29" s="156">
        <v>1</v>
      </c>
    </row>
    <row r="30" spans="1:7" x14ac:dyDescent="0.25">
      <c r="A30" s="253"/>
      <c r="B30" s="143" t="s">
        <v>421</v>
      </c>
      <c r="C30" s="148">
        <v>20</v>
      </c>
      <c r="D30" s="154">
        <v>10.666666666666666</v>
      </c>
      <c r="E30" s="155">
        <v>12.727922061357857</v>
      </c>
      <c r="F30" s="155">
        <v>25.738686835190332</v>
      </c>
      <c r="G30" s="156">
        <v>1</v>
      </c>
    </row>
    <row r="31" spans="1:7" x14ac:dyDescent="0.25">
      <c r="A31" s="253"/>
      <c r="B31" s="141" t="s">
        <v>422</v>
      </c>
      <c r="C31" s="148">
        <v>20</v>
      </c>
      <c r="D31" s="154">
        <v>10.666666666666666</v>
      </c>
      <c r="E31" s="155">
        <v>12.727922061357857</v>
      </c>
      <c r="F31" s="155">
        <v>25.738686835190332</v>
      </c>
      <c r="G31" s="156">
        <v>1</v>
      </c>
    </row>
    <row r="32" spans="1:7" x14ac:dyDescent="0.25">
      <c r="A32" s="253"/>
      <c r="B32" s="141" t="s">
        <v>423</v>
      </c>
      <c r="C32" s="148">
        <v>20</v>
      </c>
      <c r="D32" s="154">
        <v>10.666666666666666</v>
      </c>
      <c r="E32" s="155">
        <v>12.727922061357857</v>
      </c>
      <c r="F32" s="155">
        <v>25.738686835190332</v>
      </c>
      <c r="G32" s="156">
        <v>1</v>
      </c>
    </row>
    <row r="33" spans="1:7" x14ac:dyDescent="0.25">
      <c r="A33" s="253"/>
      <c r="B33" s="141" t="s">
        <v>424</v>
      </c>
      <c r="C33" s="148">
        <v>20</v>
      </c>
      <c r="D33" s="154">
        <v>10.666666666666666</v>
      </c>
      <c r="E33" s="155">
        <v>12.727922061357857</v>
      </c>
      <c r="F33" s="155">
        <v>25.738686835190332</v>
      </c>
      <c r="G33" s="156">
        <v>1</v>
      </c>
    </row>
    <row r="34" spans="1:7" x14ac:dyDescent="0.25">
      <c r="A34" s="253"/>
      <c r="B34" s="141" t="s">
        <v>425</v>
      </c>
      <c r="C34" s="148">
        <v>20</v>
      </c>
      <c r="D34" s="154">
        <v>10.666666666666666</v>
      </c>
      <c r="E34" s="155">
        <v>12.727922061357857</v>
      </c>
      <c r="F34" s="155">
        <v>25.738686835190332</v>
      </c>
      <c r="G34" s="156">
        <v>1</v>
      </c>
    </row>
    <row r="35" spans="1:7" x14ac:dyDescent="0.25">
      <c r="A35" s="253"/>
      <c r="B35" s="141" t="s">
        <v>426</v>
      </c>
      <c r="C35" s="148">
        <v>20</v>
      </c>
      <c r="D35" s="154">
        <v>10.666666666666666</v>
      </c>
      <c r="E35" s="155">
        <v>12.727922061357857</v>
      </c>
      <c r="F35" s="155">
        <v>25.738686835190332</v>
      </c>
      <c r="G35" s="156">
        <v>1</v>
      </c>
    </row>
    <row r="36" spans="1:7" x14ac:dyDescent="0.25">
      <c r="A36" s="253"/>
      <c r="B36" s="141" t="s">
        <v>427</v>
      </c>
      <c r="C36" s="148">
        <v>20</v>
      </c>
      <c r="D36" s="154">
        <v>10.666666666666666</v>
      </c>
      <c r="E36" s="155">
        <v>12.727922061357857</v>
      </c>
      <c r="F36" s="155">
        <v>25.738686835190332</v>
      </c>
      <c r="G36" s="156">
        <v>1</v>
      </c>
    </row>
    <row r="37" spans="1:7" x14ac:dyDescent="0.25">
      <c r="A37" s="253"/>
      <c r="B37" s="143" t="s">
        <v>428</v>
      </c>
      <c r="C37" s="146">
        <v>20</v>
      </c>
      <c r="D37" s="154">
        <v>10.666666666666666</v>
      </c>
      <c r="E37" s="155">
        <v>12.727922061357857</v>
      </c>
      <c r="F37" s="155">
        <v>25.738686835190332</v>
      </c>
      <c r="G37" s="156">
        <v>1</v>
      </c>
    </row>
    <row r="38" spans="1:7" x14ac:dyDescent="0.25">
      <c r="A38" s="253"/>
      <c r="B38" s="143" t="s">
        <v>429</v>
      </c>
      <c r="C38" s="148">
        <v>20</v>
      </c>
      <c r="D38" s="154">
        <v>10.666666666666666</v>
      </c>
      <c r="E38" s="155">
        <v>12.727922061357857</v>
      </c>
      <c r="F38" s="155">
        <v>25.738686835190332</v>
      </c>
      <c r="G38" s="156">
        <v>1</v>
      </c>
    </row>
    <row r="39" spans="1:7" ht="15.75" thickBot="1" x14ac:dyDescent="0.3">
      <c r="A39" s="254"/>
      <c r="B39" s="144" t="s">
        <v>430</v>
      </c>
      <c r="C39" s="149">
        <v>20</v>
      </c>
      <c r="D39" s="157">
        <v>10.666666666666666</v>
      </c>
      <c r="E39" s="158">
        <v>12.727922061357857</v>
      </c>
      <c r="F39" s="158">
        <v>25.738686835190332</v>
      </c>
      <c r="G39" s="159">
        <v>1</v>
      </c>
    </row>
    <row r="40" spans="1:7" ht="15" customHeight="1" x14ac:dyDescent="0.25">
      <c r="A40" s="252" t="s">
        <v>19</v>
      </c>
      <c r="B40" s="145" t="s">
        <v>431</v>
      </c>
      <c r="C40" s="150">
        <v>20</v>
      </c>
      <c r="D40" s="163">
        <v>10.666666666666666</v>
      </c>
      <c r="E40" s="164">
        <v>12.727922061357857</v>
      </c>
      <c r="F40" s="164">
        <v>25.738686835190332</v>
      </c>
      <c r="G40" s="165">
        <v>1</v>
      </c>
    </row>
    <row r="41" spans="1:7" x14ac:dyDescent="0.25">
      <c r="A41" s="253"/>
      <c r="B41" s="143" t="s">
        <v>432</v>
      </c>
      <c r="C41" s="148">
        <v>20</v>
      </c>
      <c r="D41" s="154">
        <v>10.666666666666666</v>
      </c>
      <c r="E41" s="155">
        <v>12.727922061357857</v>
      </c>
      <c r="F41" s="155">
        <v>25.738686835190332</v>
      </c>
      <c r="G41" s="156">
        <v>1</v>
      </c>
    </row>
    <row r="42" spans="1:7" x14ac:dyDescent="0.25">
      <c r="A42" s="253"/>
      <c r="B42" s="143" t="s">
        <v>433</v>
      </c>
      <c r="C42" s="148">
        <v>20</v>
      </c>
      <c r="D42" s="154">
        <v>10.666666666666666</v>
      </c>
      <c r="E42" s="155">
        <v>12.727922061357857</v>
      </c>
      <c r="F42" s="155">
        <v>25.738686835190332</v>
      </c>
      <c r="G42" s="156">
        <v>1</v>
      </c>
    </row>
    <row r="43" spans="1:7" x14ac:dyDescent="0.25">
      <c r="A43" s="253"/>
      <c r="B43" s="141" t="s">
        <v>434</v>
      </c>
      <c r="C43" s="148">
        <v>20</v>
      </c>
      <c r="D43" s="154">
        <v>10.666666666666666</v>
      </c>
      <c r="E43" s="155">
        <v>12.727922061357857</v>
      </c>
      <c r="F43" s="155">
        <v>25.738686835190332</v>
      </c>
      <c r="G43" s="156">
        <v>1</v>
      </c>
    </row>
    <row r="44" spans="1:7" x14ac:dyDescent="0.25">
      <c r="A44" s="253"/>
      <c r="B44" s="141" t="s">
        <v>435</v>
      </c>
      <c r="C44" s="148">
        <v>20</v>
      </c>
      <c r="D44" s="154">
        <v>10.666666666666666</v>
      </c>
      <c r="E44" s="155">
        <v>12.727922061357857</v>
      </c>
      <c r="F44" s="155">
        <v>25.738686835190332</v>
      </c>
      <c r="G44" s="156">
        <v>1</v>
      </c>
    </row>
    <row r="45" spans="1:7" x14ac:dyDescent="0.25">
      <c r="A45" s="253"/>
      <c r="B45" s="141" t="s">
        <v>436</v>
      </c>
      <c r="C45" s="148">
        <v>20</v>
      </c>
      <c r="D45" s="154">
        <v>10.666666666666666</v>
      </c>
      <c r="E45" s="155">
        <v>12.727922061357857</v>
      </c>
      <c r="F45" s="155">
        <v>25.738686835190332</v>
      </c>
      <c r="G45" s="156">
        <v>1</v>
      </c>
    </row>
    <row r="46" spans="1:7" x14ac:dyDescent="0.25">
      <c r="A46" s="253"/>
      <c r="B46" s="141" t="s">
        <v>437</v>
      </c>
      <c r="C46" s="148">
        <v>20</v>
      </c>
      <c r="D46" s="154">
        <v>10.666666666666666</v>
      </c>
      <c r="E46" s="155">
        <v>12.727922061357857</v>
      </c>
      <c r="F46" s="155">
        <v>25.738686835190332</v>
      </c>
      <c r="G46" s="156">
        <v>1</v>
      </c>
    </row>
    <row r="47" spans="1:7" x14ac:dyDescent="0.25">
      <c r="A47" s="253"/>
      <c r="B47" s="141" t="s">
        <v>438</v>
      </c>
      <c r="C47" s="148">
        <v>20</v>
      </c>
      <c r="D47" s="154">
        <v>10.666666666666666</v>
      </c>
      <c r="E47" s="155">
        <v>12.727922061357857</v>
      </c>
      <c r="F47" s="155">
        <v>25.738686835190332</v>
      </c>
      <c r="G47" s="156">
        <v>1</v>
      </c>
    </row>
    <row r="48" spans="1:7" x14ac:dyDescent="0.25">
      <c r="A48" s="253"/>
      <c r="B48" s="143" t="s">
        <v>439</v>
      </c>
      <c r="C48" s="148">
        <v>20</v>
      </c>
      <c r="D48" s="154">
        <v>10.666666666666666</v>
      </c>
      <c r="E48" s="155">
        <v>12.727922061357857</v>
      </c>
      <c r="F48" s="155">
        <v>25.738686835190332</v>
      </c>
      <c r="G48" s="156">
        <v>1</v>
      </c>
    </row>
    <row r="49" spans="1:7" x14ac:dyDescent="0.25">
      <c r="A49" s="253"/>
      <c r="B49" s="143" t="s">
        <v>440</v>
      </c>
      <c r="C49" s="148">
        <v>20</v>
      </c>
      <c r="D49" s="154">
        <v>10.666666666666666</v>
      </c>
      <c r="E49" s="155">
        <v>12.727922061357857</v>
      </c>
      <c r="F49" s="155">
        <v>25.738686835190332</v>
      </c>
      <c r="G49" s="156">
        <v>1</v>
      </c>
    </row>
    <row r="50" spans="1:7" ht="15.75" thickBot="1" x14ac:dyDescent="0.3">
      <c r="A50" s="253"/>
      <c r="B50" s="144" t="s">
        <v>441</v>
      </c>
      <c r="C50" s="149">
        <v>4</v>
      </c>
      <c r="D50" s="157">
        <v>7.0015748031496061</v>
      </c>
      <c r="E50" s="158">
        <v>12.727922061357857</v>
      </c>
      <c r="F50" s="158">
        <v>25.738686835190332</v>
      </c>
      <c r="G50" s="159">
        <v>1</v>
      </c>
    </row>
    <row r="51" spans="1:7" x14ac:dyDescent="0.25">
      <c r="C51" s="58">
        <v>2</v>
      </c>
      <c r="D51" s="57">
        <v>4.9763779527559056</v>
      </c>
      <c r="E51" s="57">
        <v>12.727922061357857</v>
      </c>
      <c r="F51" s="57">
        <v>25.738686835190332</v>
      </c>
      <c r="G51" s="57">
        <v>1</v>
      </c>
    </row>
    <row r="52" spans="1:7" x14ac:dyDescent="0.25">
      <c r="C52" s="58"/>
      <c r="D52" s="57"/>
      <c r="E52" s="57"/>
      <c r="F52" s="57"/>
      <c r="G52" s="57"/>
    </row>
    <row r="53" spans="1:7" x14ac:dyDescent="0.25">
      <c r="C53" s="64"/>
      <c r="D53" s="56"/>
      <c r="E53" s="56"/>
      <c r="F53" s="56"/>
      <c r="G53" s="56"/>
    </row>
    <row r="54" spans="1:7" x14ac:dyDescent="0.25">
      <c r="C54" s="56"/>
      <c r="D54" s="56"/>
      <c r="E54" s="56"/>
      <c r="F54" s="56"/>
      <c r="G54" s="56"/>
    </row>
    <row r="55" spans="1:7" x14ac:dyDescent="0.25">
      <c r="C55" s="56"/>
      <c r="D55" s="56"/>
      <c r="E55" s="56"/>
      <c r="F55" s="56"/>
      <c r="G55" s="56"/>
    </row>
    <row r="56" spans="1:7" x14ac:dyDescent="0.25">
      <c r="C56" s="56"/>
      <c r="D56" s="56"/>
      <c r="E56" s="56"/>
      <c r="F56" s="56"/>
      <c r="G56" s="56"/>
    </row>
    <row r="57" spans="1:7" x14ac:dyDescent="0.25">
      <c r="C57" s="56"/>
      <c r="D57" s="56"/>
      <c r="E57" s="56"/>
      <c r="F57" s="56"/>
      <c r="G57" s="56"/>
    </row>
    <row r="58" spans="1:7" x14ac:dyDescent="0.25">
      <c r="C58" s="56"/>
      <c r="D58" s="56"/>
      <c r="E58" s="56"/>
      <c r="F58" s="56"/>
      <c r="G58" s="56"/>
    </row>
    <row r="59" spans="1:7" x14ac:dyDescent="0.25">
      <c r="C59" s="56"/>
      <c r="D59" s="56"/>
      <c r="E59" s="56"/>
      <c r="F59" s="56"/>
      <c r="G59" s="56"/>
    </row>
    <row r="60" spans="1:7" x14ac:dyDescent="0.25">
      <c r="C60" s="56"/>
      <c r="D60" s="56"/>
      <c r="E60" s="56"/>
      <c r="F60" s="56"/>
      <c r="G60" s="56"/>
    </row>
    <row r="61" spans="1:7" x14ac:dyDescent="0.25">
      <c r="C61" s="56"/>
      <c r="D61" s="56"/>
      <c r="E61" s="56"/>
      <c r="F61" s="56"/>
      <c r="G61" s="56"/>
    </row>
    <row r="62" spans="1:7" x14ac:dyDescent="0.25">
      <c r="C62" s="56"/>
      <c r="D62" s="56"/>
      <c r="E62" s="56"/>
      <c r="F62" s="56"/>
      <c r="G62" s="56"/>
    </row>
    <row r="63" spans="1:7" x14ac:dyDescent="0.25">
      <c r="C63" s="56"/>
      <c r="D63" s="56"/>
      <c r="E63" s="56"/>
      <c r="F63" s="56"/>
      <c r="G63" s="56"/>
    </row>
    <row r="64" spans="1:7" x14ac:dyDescent="0.25">
      <c r="C64" s="56"/>
      <c r="D64" s="56"/>
      <c r="E64" s="56"/>
      <c r="F64" s="56"/>
      <c r="G64" s="56"/>
    </row>
  </sheetData>
  <mergeCells count="5">
    <mergeCell ref="M4:M5"/>
    <mergeCell ref="A4:A15"/>
    <mergeCell ref="A16:A27"/>
    <mergeCell ref="A28:A39"/>
    <mergeCell ref="A40:A5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rQ">
                <anchor moveWithCells="1" sizeWithCells="1">
                  <from>
                    <xdr:col>7</xdr:col>
                    <xdr:colOff>600075</xdr:colOff>
                    <xdr:row>2</xdr:row>
                    <xdr:rowOff>19050</xdr:rowOff>
                  </from>
                  <to>
                    <xdr:col>10</xdr:col>
                    <xdr:colOff>38100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4"/>
  <dimension ref="A1:F63"/>
  <sheetViews>
    <sheetView topLeftCell="A36" workbookViewId="0">
      <selection activeCell="E51" sqref="E51"/>
    </sheetView>
  </sheetViews>
  <sheetFormatPr defaultRowHeight="15" x14ac:dyDescent="0.25"/>
  <cols>
    <col min="1" max="1" width="14.7109375" style="60" customWidth="1"/>
    <col min="2" max="2" width="8.85546875" style="60" bestFit="1" customWidth="1"/>
    <col min="3" max="3" width="9.140625" style="60"/>
    <col min="6" max="6" width="13.5703125" bestFit="1" customWidth="1"/>
  </cols>
  <sheetData>
    <row r="1" spans="1:6" x14ac:dyDescent="0.25">
      <c r="A1" s="60">
        <v>1</v>
      </c>
      <c r="B1" s="60">
        <f>A1+1</f>
        <v>2</v>
      </c>
      <c r="C1" s="60">
        <f>B1+1</f>
        <v>3</v>
      </c>
      <c r="D1" s="60">
        <f>C1+1</f>
        <v>4</v>
      </c>
      <c r="E1" s="60">
        <f>D1+1</f>
        <v>5</v>
      </c>
      <c r="F1" s="60">
        <f>E1+1</f>
        <v>6</v>
      </c>
    </row>
    <row r="2" spans="1:6" ht="15.75" thickBot="1" x14ac:dyDescent="0.3">
      <c r="A2" s="68"/>
      <c r="B2" s="68"/>
      <c r="C2" s="63"/>
      <c r="D2" s="63"/>
      <c r="E2" s="63"/>
      <c r="F2" s="63"/>
    </row>
    <row r="3" spans="1:6" ht="48" thickBot="1" x14ac:dyDescent="0.3">
      <c r="A3" s="124" t="s">
        <v>0</v>
      </c>
      <c r="B3" s="124" t="s">
        <v>1</v>
      </c>
      <c r="C3" s="124" t="s">
        <v>364</v>
      </c>
      <c r="D3" s="124" t="s">
        <v>367</v>
      </c>
      <c r="E3" s="124" t="s">
        <v>368</v>
      </c>
      <c r="F3" s="125" t="s">
        <v>369</v>
      </c>
    </row>
    <row r="4" spans="1:6" ht="15" customHeight="1" x14ac:dyDescent="0.25">
      <c r="A4" s="252" t="s">
        <v>16</v>
      </c>
      <c r="B4" s="142">
        <v>1</v>
      </c>
      <c r="C4" s="147">
        <v>20</v>
      </c>
      <c r="D4" s="151">
        <v>1</v>
      </c>
      <c r="E4" s="152">
        <v>1.72</v>
      </c>
      <c r="F4" s="152">
        <v>156.13</v>
      </c>
    </row>
    <row r="5" spans="1:6" ht="15" customHeight="1" x14ac:dyDescent="0.25">
      <c r="A5" s="253"/>
      <c r="B5" s="143" t="s">
        <v>397</v>
      </c>
      <c r="C5" s="148">
        <v>17</v>
      </c>
      <c r="D5" s="154">
        <v>1</v>
      </c>
      <c r="E5" s="155">
        <v>1.6</v>
      </c>
      <c r="F5" s="155">
        <v>145.72999999999999</v>
      </c>
    </row>
    <row r="6" spans="1:6" ht="15" customHeight="1" x14ac:dyDescent="0.25">
      <c r="A6" s="253"/>
      <c r="B6" s="143" t="s">
        <v>398</v>
      </c>
      <c r="C6" s="148">
        <v>6</v>
      </c>
      <c r="D6" s="154">
        <v>0.8</v>
      </c>
      <c r="E6" s="155">
        <v>1.6</v>
      </c>
      <c r="F6" s="155">
        <v>21.57</v>
      </c>
    </row>
    <row r="7" spans="1:6" ht="15" customHeight="1" x14ac:dyDescent="0.25">
      <c r="A7" s="253"/>
      <c r="B7" s="143" t="s">
        <v>399</v>
      </c>
      <c r="C7" s="148">
        <v>13</v>
      </c>
      <c r="D7" s="154">
        <v>1</v>
      </c>
      <c r="E7" s="155">
        <v>1.6</v>
      </c>
      <c r="F7" s="155">
        <v>70.63</v>
      </c>
    </row>
    <row r="8" spans="1:6" ht="15" customHeight="1" x14ac:dyDescent="0.25">
      <c r="A8" s="253"/>
      <c r="B8" s="143" t="s">
        <v>400</v>
      </c>
      <c r="C8" s="148">
        <v>7</v>
      </c>
      <c r="D8" s="154">
        <v>1.2</v>
      </c>
      <c r="E8" s="155">
        <v>1.6</v>
      </c>
      <c r="F8" s="155">
        <v>13.39</v>
      </c>
    </row>
    <row r="9" spans="1:6" ht="15" customHeight="1" x14ac:dyDescent="0.25">
      <c r="A9" s="253"/>
      <c r="B9" s="143" t="s">
        <v>401</v>
      </c>
      <c r="C9" s="148">
        <v>20</v>
      </c>
      <c r="D9" s="154">
        <v>1</v>
      </c>
      <c r="E9" s="155">
        <v>1.75</v>
      </c>
      <c r="F9" s="155">
        <v>150.82</v>
      </c>
    </row>
    <row r="10" spans="1:6" ht="15" customHeight="1" x14ac:dyDescent="0.25">
      <c r="A10" s="253"/>
      <c r="B10" s="143" t="s">
        <v>402</v>
      </c>
      <c r="C10" s="148">
        <v>12</v>
      </c>
      <c r="D10" s="154">
        <v>1</v>
      </c>
      <c r="E10" s="155">
        <v>1.75</v>
      </c>
      <c r="F10" s="155">
        <v>41.83</v>
      </c>
    </row>
    <row r="11" spans="1:6" ht="15" customHeight="1" x14ac:dyDescent="0.25">
      <c r="A11" s="253"/>
      <c r="B11" s="143" t="s">
        <v>403</v>
      </c>
      <c r="C11" s="148">
        <v>19</v>
      </c>
      <c r="D11" s="154">
        <v>1</v>
      </c>
      <c r="E11" s="155">
        <v>1.6</v>
      </c>
      <c r="F11" s="155">
        <v>121.98</v>
      </c>
    </row>
    <row r="12" spans="1:6" ht="15" customHeight="1" x14ac:dyDescent="0.25">
      <c r="A12" s="253"/>
      <c r="B12" s="143" t="s">
        <v>404</v>
      </c>
      <c r="C12" s="148">
        <v>20</v>
      </c>
      <c r="D12" s="154">
        <v>1</v>
      </c>
      <c r="E12" s="155">
        <v>1.6</v>
      </c>
      <c r="F12" s="155">
        <v>180.43</v>
      </c>
    </row>
    <row r="13" spans="1:6" ht="15" customHeight="1" x14ac:dyDescent="0.25">
      <c r="A13" s="253"/>
      <c r="B13" s="143" t="s">
        <v>405</v>
      </c>
      <c r="C13" s="148">
        <v>6</v>
      </c>
      <c r="D13" s="154">
        <v>1</v>
      </c>
      <c r="E13" s="155">
        <v>1.6</v>
      </c>
      <c r="F13" s="155">
        <v>13.8</v>
      </c>
    </row>
    <row r="14" spans="1:6" ht="15" customHeight="1" x14ac:dyDescent="0.25">
      <c r="A14" s="253"/>
      <c r="B14" s="143" t="s">
        <v>406</v>
      </c>
      <c r="C14" s="148">
        <v>20</v>
      </c>
      <c r="D14" s="154">
        <v>1</v>
      </c>
      <c r="E14" s="155">
        <v>1.6</v>
      </c>
      <c r="F14" s="155">
        <v>180.43</v>
      </c>
    </row>
    <row r="15" spans="1:6" ht="15.75" customHeight="1" thickBot="1" x14ac:dyDescent="0.3">
      <c r="A15" s="254"/>
      <c r="B15" s="144" t="s">
        <v>407</v>
      </c>
      <c r="C15" s="149">
        <v>20</v>
      </c>
      <c r="D15" s="157">
        <v>1</v>
      </c>
      <c r="E15" s="158">
        <v>1.72</v>
      </c>
      <c r="F15" s="158">
        <v>156.13</v>
      </c>
    </row>
    <row r="16" spans="1:6" ht="15" customHeight="1" x14ac:dyDescent="0.25">
      <c r="A16" s="252" t="s">
        <v>17</v>
      </c>
      <c r="B16" s="145" t="s">
        <v>408</v>
      </c>
      <c r="C16" s="147">
        <v>4</v>
      </c>
      <c r="D16" s="163">
        <v>1</v>
      </c>
      <c r="E16" s="164">
        <v>1.7</v>
      </c>
      <c r="F16" s="164">
        <v>7.92</v>
      </c>
    </row>
    <row r="17" spans="1:6" x14ac:dyDescent="0.25">
      <c r="A17" s="253"/>
      <c r="B17" s="143" t="s">
        <v>409</v>
      </c>
      <c r="C17" s="148">
        <v>20</v>
      </c>
      <c r="D17" s="154">
        <v>1</v>
      </c>
      <c r="E17" s="155">
        <v>1.57</v>
      </c>
      <c r="F17" s="155">
        <v>187.39</v>
      </c>
    </row>
    <row r="18" spans="1:6" x14ac:dyDescent="0.25">
      <c r="A18" s="253"/>
      <c r="B18" s="143" t="s">
        <v>410</v>
      </c>
      <c r="C18" s="148">
        <v>32</v>
      </c>
      <c r="D18" s="154">
        <v>1</v>
      </c>
      <c r="E18" s="244">
        <v>1.57</v>
      </c>
      <c r="F18" s="155">
        <v>1329.35</v>
      </c>
    </row>
    <row r="19" spans="1:6" x14ac:dyDescent="0.25">
      <c r="A19" s="253"/>
      <c r="B19" s="143" t="s">
        <v>411</v>
      </c>
      <c r="C19" s="148">
        <v>20</v>
      </c>
      <c r="D19" s="154">
        <v>1</v>
      </c>
      <c r="E19" s="155">
        <v>1.57</v>
      </c>
      <c r="F19" s="155">
        <v>187.39</v>
      </c>
    </row>
    <row r="20" spans="1:6" x14ac:dyDescent="0.25">
      <c r="A20" s="253"/>
      <c r="B20" s="143" t="s">
        <v>412</v>
      </c>
      <c r="C20" s="148">
        <v>20</v>
      </c>
      <c r="D20" s="154">
        <v>1</v>
      </c>
      <c r="E20" s="155">
        <v>1.57</v>
      </c>
      <c r="F20" s="155">
        <v>187.39</v>
      </c>
    </row>
    <row r="21" spans="1:6" x14ac:dyDescent="0.25">
      <c r="A21" s="253"/>
      <c r="B21" s="143" t="s">
        <v>413</v>
      </c>
      <c r="C21" s="148">
        <v>20</v>
      </c>
      <c r="D21" s="154">
        <v>1</v>
      </c>
      <c r="E21" s="155">
        <v>1.72</v>
      </c>
      <c r="F21" s="155">
        <v>156.13</v>
      </c>
    </row>
    <row r="22" spans="1:6" x14ac:dyDescent="0.25">
      <c r="A22" s="253"/>
      <c r="B22" s="143" t="s">
        <v>414</v>
      </c>
      <c r="C22" s="148">
        <v>20</v>
      </c>
      <c r="D22" s="154">
        <v>1</v>
      </c>
      <c r="E22" s="155">
        <v>1.72</v>
      </c>
      <c r="F22" s="155">
        <v>156.13</v>
      </c>
    </row>
    <row r="23" spans="1:6" x14ac:dyDescent="0.25">
      <c r="A23" s="253"/>
      <c r="B23" s="143" t="s">
        <v>415</v>
      </c>
      <c r="C23" s="148">
        <v>20</v>
      </c>
      <c r="D23" s="154">
        <v>1</v>
      </c>
      <c r="E23" s="155">
        <v>1.57</v>
      </c>
      <c r="F23" s="155">
        <v>187.39</v>
      </c>
    </row>
    <row r="24" spans="1:6" x14ac:dyDescent="0.25">
      <c r="A24" s="253"/>
      <c r="B24" s="143" t="s">
        <v>416</v>
      </c>
      <c r="C24" s="148">
        <v>20</v>
      </c>
      <c r="D24" s="154">
        <v>1</v>
      </c>
      <c r="E24" s="155">
        <v>1.57</v>
      </c>
      <c r="F24" s="155">
        <v>187.39</v>
      </c>
    </row>
    <row r="25" spans="1:6" x14ac:dyDescent="0.25">
      <c r="A25" s="253"/>
      <c r="B25" s="143" t="s">
        <v>417</v>
      </c>
      <c r="C25" s="148">
        <v>20</v>
      </c>
      <c r="D25" s="154">
        <v>1</v>
      </c>
      <c r="E25" s="155">
        <v>1.57</v>
      </c>
      <c r="F25" s="155">
        <v>187.39</v>
      </c>
    </row>
    <row r="26" spans="1:6" x14ac:dyDescent="0.25">
      <c r="A26" s="253"/>
      <c r="B26" s="143" t="s">
        <v>396</v>
      </c>
      <c r="C26" s="148">
        <v>20</v>
      </c>
      <c r="D26" s="154">
        <v>1</v>
      </c>
      <c r="E26" s="155">
        <v>1.57</v>
      </c>
      <c r="F26" s="155">
        <v>187.39</v>
      </c>
    </row>
    <row r="27" spans="1:6" ht="15.75" thickBot="1" x14ac:dyDescent="0.3">
      <c r="A27" s="254"/>
      <c r="B27" s="144" t="s">
        <v>418</v>
      </c>
      <c r="C27" s="148">
        <v>20</v>
      </c>
      <c r="D27" s="160">
        <v>1</v>
      </c>
      <c r="E27" s="161">
        <v>1.69</v>
      </c>
      <c r="F27" s="161">
        <v>161.72</v>
      </c>
    </row>
    <row r="28" spans="1:6" ht="15" customHeight="1" x14ac:dyDescent="0.25">
      <c r="A28" s="252" t="s">
        <v>18</v>
      </c>
      <c r="B28" s="145" t="s">
        <v>419</v>
      </c>
      <c r="C28" s="148">
        <v>20</v>
      </c>
      <c r="D28" s="151">
        <v>1</v>
      </c>
      <c r="E28" s="152">
        <v>1.829</v>
      </c>
      <c r="F28" s="152">
        <v>138.08000000000001</v>
      </c>
    </row>
    <row r="29" spans="1:6" x14ac:dyDescent="0.25">
      <c r="A29" s="253"/>
      <c r="B29" s="143" t="s">
        <v>420</v>
      </c>
      <c r="C29" s="148">
        <v>20</v>
      </c>
      <c r="D29" s="154">
        <v>1</v>
      </c>
      <c r="E29" s="155">
        <v>1.869</v>
      </c>
      <c r="F29" s="155">
        <v>132.22999999999999</v>
      </c>
    </row>
    <row r="30" spans="1:6" x14ac:dyDescent="0.25">
      <c r="A30" s="253"/>
      <c r="B30" s="143" t="s">
        <v>421</v>
      </c>
      <c r="C30" s="148">
        <v>20</v>
      </c>
      <c r="D30" s="154">
        <v>1</v>
      </c>
      <c r="E30" s="155">
        <v>2.0419999999999998</v>
      </c>
      <c r="F30" s="155">
        <v>110.77</v>
      </c>
    </row>
    <row r="31" spans="1:6" x14ac:dyDescent="0.25">
      <c r="A31" s="253"/>
      <c r="B31" s="141" t="s">
        <v>422</v>
      </c>
      <c r="C31" s="148">
        <v>20</v>
      </c>
      <c r="D31" s="154">
        <v>1</v>
      </c>
      <c r="E31" s="155">
        <v>2.2400000000000002</v>
      </c>
      <c r="F31" s="155">
        <v>92.06</v>
      </c>
    </row>
    <row r="32" spans="1:6" x14ac:dyDescent="0.25">
      <c r="A32" s="253"/>
      <c r="B32" s="141" t="s">
        <v>423</v>
      </c>
      <c r="C32" s="148">
        <v>20</v>
      </c>
      <c r="D32" s="154">
        <v>1</v>
      </c>
      <c r="E32" s="155">
        <v>2.456</v>
      </c>
      <c r="F32" s="155">
        <v>76.58</v>
      </c>
    </row>
    <row r="33" spans="1:6" x14ac:dyDescent="0.25">
      <c r="A33" s="253"/>
      <c r="B33" s="141" t="s">
        <v>424</v>
      </c>
      <c r="C33" s="148">
        <v>20</v>
      </c>
      <c r="D33" s="154">
        <v>1</v>
      </c>
      <c r="E33" s="155">
        <v>2.7770000000000001</v>
      </c>
      <c r="F33" s="155">
        <v>59.9</v>
      </c>
    </row>
    <row r="34" spans="1:6" x14ac:dyDescent="0.25">
      <c r="A34" s="253"/>
      <c r="B34" s="141" t="s">
        <v>425</v>
      </c>
      <c r="C34" s="148">
        <v>20</v>
      </c>
      <c r="D34" s="154">
        <v>1</v>
      </c>
      <c r="E34" s="155">
        <v>2.7770000000000001</v>
      </c>
      <c r="F34" s="155">
        <v>59.9</v>
      </c>
    </row>
    <row r="35" spans="1:6" x14ac:dyDescent="0.25">
      <c r="A35" s="253"/>
      <c r="B35" s="141" t="s">
        <v>426</v>
      </c>
      <c r="C35" s="148">
        <v>20</v>
      </c>
      <c r="D35" s="154">
        <v>1</v>
      </c>
      <c r="E35" s="155">
        <v>2.456</v>
      </c>
      <c r="F35" s="155">
        <v>76.58</v>
      </c>
    </row>
    <row r="36" spans="1:6" x14ac:dyDescent="0.25">
      <c r="A36" s="253"/>
      <c r="B36" s="141" t="s">
        <v>427</v>
      </c>
      <c r="C36" s="148">
        <v>20</v>
      </c>
      <c r="D36" s="154">
        <v>1</v>
      </c>
      <c r="E36" s="155">
        <v>2.2400000000000002</v>
      </c>
      <c r="F36" s="155">
        <v>92.06</v>
      </c>
    </row>
    <row r="37" spans="1:6" x14ac:dyDescent="0.25">
      <c r="A37" s="253"/>
      <c r="B37" s="143" t="s">
        <v>428</v>
      </c>
      <c r="C37" s="146">
        <v>20</v>
      </c>
      <c r="D37" s="154">
        <v>1</v>
      </c>
      <c r="E37" s="155">
        <v>2.0419999999999998</v>
      </c>
      <c r="F37" s="155">
        <v>110.77</v>
      </c>
    </row>
    <row r="38" spans="1:6" x14ac:dyDescent="0.25">
      <c r="A38" s="253"/>
      <c r="B38" s="143" t="s">
        <v>429</v>
      </c>
      <c r="C38" s="148">
        <v>20</v>
      </c>
      <c r="D38" s="154">
        <v>1</v>
      </c>
      <c r="E38" s="155">
        <v>1.869</v>
      </c>
      <c r="F38" s="155">
        <v>132.22999999999999</v>
      </c>
    </row>
    <row r="39" spans="1:6" ht="15.75" thickBot="1" x14ac:dyDescent="0.3">
      <c r="A39" s="254"/>
      <c r="B39" s="144" t="s">
        <v>430</v>
      </c>
      <c r="C39" s="149">
        <v>20</v>
      </c>
      <c r="D39" s="157">
        <v>1</v>
      </c>
      <c r="E39" s="158">
        <v>1.829</v>
      </c>
      <c r="F39" s="158">
        <v>138.08000000000001</v>
      </c>
    </row>
    <row r="40" spans="1:6" ht="15" customHeight="1" x14ac:dyDescent="0.25">
      <c r="A40" s="252" t="s">
        <v>19</v>
      </c>
      <c r="B40" s="145" t="s">
        <v>431</v>
      </c>
      <c r="C40" s="150">
        <v>20</v>
      </c>
      <c r="D40" s="163">
        <v>1</v>
      </c>
      <c r="E40" s="164">
        <v>1.014</v>
      </c>
      <c r="F40" s="164">
        <v>449.23</v>
      </c>
    </row>
    <row r="41" spans="1:6" x14ac:dyDescent="0.25">
      <c r="A41" s="253"/>
      <c r="B41" s="143" t="s">
        <v>432</v>
      </c>
      <c r="C41" s="148">
        <v>20</v>
      </c>
      <c r="D41" s="154">
        <v>1</v>
      </c>
      <c r="E41" s="155">
        <v>1.306</v>
      </c>
      <c r="F41" s="155">
        <v>270.81</v>
      </c>
    </row>
    <row r="42" spans="1:6" x14ac:dyDescent="0.25">
      <c r="A42" s="253"/>
      <c r="B42" s="143" t="s">
        <v>433</v>
      </c>
      <c r="C42" s="148">
        <v>20</v>
      </c>
      <c r="D42" s="154">
        <v>1</v>
      </c>
      <c r="E42" s="155">
        <v>1.597</v>
      </c>
      <c r="F42" s="155">
        <v>181.11</v>
      </c>
    </row>
    <row r="43" spans="1:6" x14ac:dyDescent="0.25">
      <c r="A43" s="253"/>
      <c r="B43" s="141" t="s">
        <v>434</v>
      </c>
      <c r="C43" s="148">
        <v>20</v>
      </c>
      <c r="D43" s="154">
        <v>1</v>
      </c>
      <c r="E43" s="155">
        <v>1.889</v>
      </c>
      <c r="F43" s="155">
        <v>129.44</v>
      </c>
    </row>
    <row r="44" spans="1:6" x14ac:dyDescent="0.25">
      <c r="A44" s="253"/>
      <c r="B44" s="141" t="s">
        <v>435</v>
      </c>
      <c r="C44" s="148">
        <v>20</v>
      </c>
      <c r="D44" s="154">
        <v>1</v>
      </c>
      <c r="E44" s="155">
        <v>2.1800000000000002</v>
      </c>
      <c r="F44" s="155">
        <v>97.19</v>
      </c>
    </row>
    <row r="45" spans="1:6" x14ac:dyDescent="0.25">
      <c r="A45" s="253"/>
      <c r="B45" s="141" t="s">
        <v>436</v>
      </c>
      <c r="C45" s="148">
        <v>20</v>
      </c>
      <c r="D45" s="154">
        <v>1</v>
      </c>
      <c r="E45" s="155">
        <v>2.5</v>
      </c>
      <c r="F45" s="155">
        <v>73.900000000000006</v>
      </c>
    </row>
    <row r="46" spans="1:6" x14ac:dyDescent="0.25">
      <c r="A46" s="253"/>
      <c r="B46" s="141" t="s">
        <v>437</v>
      </c>
      <c r="C46" s="148">
        <v>20</v>
      </c>
      <c r="D46" s="154">
        <v>1</v>
      </c>
      <c r="E46" s="155">
        <v>2.1800000000000002</v>
      </c>
      <c r="F46" s="155">
        <v>97.19</v>
      </c>
    </row>
    <row r="47" spans="1:6" x14ac:dyDescent="0.25">
      <c r="A47" s="253"/>
      <c r="B47" s="141" t="s">
        <v>438</v>
      </c>
      <c r="C47" s="148">
        <v>20</v>
      </c>
      <c r="D47" s="154">
        <v>1</v>
      </c>
      <c r="E47" s="155">
        <v>1.889</v>
      </c>
      <c r="F47" s="155">
        <v>129.44</v>
      </c>
    </row>
    <row r="48" spans="1:6" x14ac:dyDescent="0.25">
      <c r="A48" s="253"/>
      <c r="B48" s="143" t="s">
        <v>439</v>
      </c>
      <c r="C48" s="148">
        <v>20</v>
      </c>
      <c r="D48" s="154">
        <v>1</v>
      </c>
      <c r="E48" s="155">
        <v>1.597</v>
      </c>
      <c r="F48" s="155">
        <v>181.11</v>
      </c>
    </row>
    <row r="49" spans="1:6" x14ac:dyDescent="0.25">
      <c r="A49" s="253"/>
      <c r="B49" s="143" t="s">
        <v>440</v>
      </c>
      <c r="C49" s="148">
        <v>20</v>
      </c>
      <c r="D49" s="154">
        <v>1</v>
      </c>
      <c r="E49" s="155">
        <v>1.306</v>
      </c>
      <c r="F49" s="155">
        <v>270.81</v>
      </c>
    </row>
    <row r="50" spans="1:6" ht="15.75" thickBot="1" x14ac:dyDescent="0.3">
      <c r="A50" s="253"/>
      <c r="B50" s="144" t="s">
        <v>441</v>
      </c>
      <c r="C50" s="149">
        <v>4</v>
      </c>
      <c r="D50" s="157">
        <v>1</v>
      </c>
      <c r="E50" s="158">
        <v>1.014</v>
      </c>
      <c r="F50" s="158">
        <v>22.27</v>
      </c>
    </row>
    <row r="51" spans="1:6" x14ac:dyDescent="0.25">
      <c r="C51" s="62"/>
      <c r="D51" s="61"/>
      <c r="E51" s="61"/>
      <c r="F51" s="61"/>
    </row>
    <row r="52" spans="1:6" x14ac:dyDescent="0.25">
      <c r="D52" s="60"/>
      <c r="E52" s="60"/>
      <c r="F52" s="60"/>
    </row>
    <row r="53" spans="1:6" x14ac:dyDescent="0.25">
      <c r="D53" s="60"/>
      <c r="E53" s="60"/>
      <c r="F53" s="60"/>
    </row>
    <row r="54" spans="1:6" x14ac:dyDescent="0.25">
      <c r="D54" s="60"/>
      <c r="E54" s="60"/>
      <c r="F54" s="60"/>
    </row>
    <row r="55" spans="1:6" x14ac:dyDescent="0.25">
      <c r="D55" s="60"/>
      <c r="E55" s="60"/>
      <c r="F55" s="60"/>
    </row>
    <row r="56" spans="1:6" x14ac:dyDescent="0.25">
      <c r="D56" s="60"/>
      <c r="E56" s="60"/>
      <c r="F56" s="60"/>
    </row>
    <row r="57" spans="1:6" x14ac:dyDescent="0.25">
      <c r="D57" s="60"/>
      <c r="E57" s="60"/>
      <c r="F57" s="60"/>
    </row>
    <row r="58" spans="1:6" x14ac:dyDescent="0.25">
      <c r="D58" s="60"/>
      <c r="E58" s="60"/>
      <c r="F58" s="60"/>
    </row>
    <row r="59" spans="1:6" x14ac:dyDescent="0.25">
      <c r="D59" s="60"/>
      <c r="E59" s="60"/>
      <c r="F59" s="60"/>
    </row>
    <row r="60" spans="1:6" x14ac:dyDescent="0.25">
      <c r="D60" s="60"/>
      <c r="E60" s="60"/>
      <c r="F60" s="60"/>
    </row>
    <row r="61" spans="1:6" x14ac:dyDescent="0.25">
      <c r="D61" s="60"/>
      <c r="E61" s="60"/>
      <c r="F61" s="60"/>
    </row>
    <row r="62" spans="1:6" x14ac:dyDescent="0.25">
      <c r="D62" s="60"/>
      <c r="E62" s="60"/>
      <c r="F62" s="60"/>
    </row>
    <row r="63" spans="1:6" x14ac:dyDescent="0.25">
      <c r="D63" s="60"/>
      <c r="E63" s="60"/>
      <c r="F63" s="60"/>
    </row>
  </sheetData>
  <mergeCells count="4">
    <mergeCell ref="A4:A15"/>
    <mergeCell ref="A16:A27"/>
    <mergeCell ref="A28:A39"/>
    <mergeCell ref="A40:A50"/>
  </mergeCells>
  <pageMargins left="0.511811024" right="0.511811024" top="0.78740157499999996" bottom="0.78740157499999996" header="0.31496062000000002" footer="0.31496062000000002"/>
  <pageSetup paperSize="9" scale="7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ularNEX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9</xdr:col>
                    <xdr:colOff>285750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5"/>
  <dimension ref="A1:S53"/>
  <sheetViews>
    <sheetView topLeftCell="A39" zoomScale="85" zoomScaleNormal="85" workbookViewId="0">
      <selection activeCell="G50" sqref="G50"/>
    </sheetView>
  </sheetViews>
  <sheetFormatPr defaultRowHeight="15" x14ac:dyDescent="0.25"/>
  <cols>
    <col min="1" max="1" width="18.85546875" style="60" customWidth="1"/>
    <col min="2" max="2" width="8.85546875" style="60" bestFit="1" customWidth="1"/>
    <col min="3" max="3" width="13.7109375" style="60" customWidth="1"/>
    <col min="4" max="5" width="9.140625" style="60"/>
    <col min="6" max="7" width="13.5703125" style="60" bestFit="1" customWidth="1"/>
    <col min="8" max="16384" width="9.140625" style="60"/>
  </cols>
  <sheetData>
    <row r="1" spans="1:19" x14ac:dyDescent="0.25">
      <c r="A1" s="60">
        <v>1</v>
      </c>
      <c r="B1" s="60">
        <f>A1+1</f>
        <v>2</v>
      </c>
      <c r="C1" s="60">
        <f t="shared" ref="C1:S1" si="0">B1+1</f>
        <v>3</v>
      </c>
      <c r="D1" s="60">
        <f t="shared" si="0"/>
        <v>4</v>
      </c>
      <c r="E1" s="60">
        <f t="shared" si="0"/>
        <v>5</v>
      </c>
      <c r="F1" s="60">
        <f t="shared" si="0"/>
        <v>6</v>
      </c>
      <c r="G1" s="60">
        <f t="shared" si="0"/>
        <v>7</v>
      </c>
      <c r="H1" s="60">
        <f t="shared" si="0"/>
        <v>8</v>
      </c>
      <c r="I1" s="60">
        <f t="shared" si="0"/>
        <v>9</v>
      </c>
      <c r="J1" s="60">
        <f t="shared" si="0"/>
        <v>10</v>
      </c>
      <c r="K1" s="60">
        <f t="shared" si="0"/>
        <v>11</v>
      </c>
      <c r="L1" s="60">
        <f t="shared" si="0"/>
        <v>12</v>
      </c>
      <c r="M1" s="60">
        <f t="shared" si="0"/>
        <v>13</v>
      </c>
      <c r="N1" s="60">
        <f t="shared" si="0"/>
        <v>14</v>
      </c>
      <c r="O1" s="60">
        <f t="shared" si="0"/>
        <v>15</v>
      </c>
      <c r="P1" s="60">
        <f t="shared" si="0"/>
        <v>16</v>
      </c>
      <c r="Q1" s="60">
        <f t="shared" si="0"/>
        <v>17</v>
      </c>
      <c r="R1" s="60">
        <f t="shared" si="0"/>
        <v>18</v>
      </c>
      <c r="S1" s="60">
        <f t="shared" si="0"/>
        <v>19</v>
      </c>
    </row>
    <row r="2" spans="1:19" ht="45.75" thickBot="1" x14ac:dyDescent="0.3">
      <c r="A2" s="88" t="s">
        <v>394</v>
      </c>
      <c r="B2" s="68">
        <v>2</v>
      </c>
      <c r="C2" s="68" t="s">
        <v>384</v>
      </c>
      <c r="D2" s="69">
        <v>1</v>
      </c>
      <c r="E2" s="63"/>
      <c r="F2" s="63"/>
      <c r="G2" s="63"/>
    </row>
    <row r="3" spans="1:19" ht="32.25" thickBot="1" x14ac:dyDescent="0.3">
      <c r="A3" s="124" t="s">
        <v>0</v>
      </c>
      <c r="B3" s="124" t="s">
        <v>1</v>
      </c>
      <c r="C3" s="124" t="s">
        <v>364</v>
      </c>
      <c r="D3" s="124" t="s">
        <v>370</v>
      </c>
      <c r="E3" s="124" t="s">
        <v>371</v>
      </c>
      <c r="F3" s="124" t="s">
        <v>373</v>
      </c>
      <c r="G3" s="125" t="s">
        <v>372</v>
      </c>
    </row>
    <row r="4" spans="1:19" ht="22.5" customHeight="1" x14ac:dyDescent="0.25">
      <c r="A4" s="252" t="s">
        <v>16</v>
      </c>
      <c r="B4" s="142">
        <v>1</v>
      </c>
      <c r="C4" s="270">
        <v>20</v>
      </c>
      <c r="D4" s="266">
        <v>1</v>
      </c>
      <c r="E4" s="267">
        <v>3.3200000000000003</v>
      </c>
      <c r="F4" s="267">
        <v>143.1</v>
      </c>
      <c r="G4" s="268">
        <v>88.29</v>
      </c>
      <c r="L4" s="42"/>
    </row>
    <row r="5" spans="1:19" ht="22.5" customHeight="1" x14ac:dyDescent="0.25">
      <c r="A5" s="253"/>
      <c r="B5" s="143" t="s">
        <v>397</v>
      </c>
      <c r="C5" s="262"/>
      <c r="D5" s="256"/>
      <c r="E5" s="258"/>
      <c r="F5" s="258"/>
      <c r="G5" s="260"/>
      <c r="L5" s="42"/>
    </row>
    <row r="6" spans="1:19" ht="22.5" customHeight="1" x14ac:dyDescent="0.25">
      <c r="A6" s="253"/>
      <c r="B6" s="143" t="s">
        <v>398</v>
      </c>
      <c r="C6" s="261">
        <v>6</v>
      </c>
      <c r="D6" s="255">
        <v>1</v>
      </c>
      <c r="E6" s="257">
        <v>3.2</v>
      </c>
      <c r="F6" s="257">
        <v>253.97</v>
      </c>
      <c r="G6" s="259">
        <v>9.06</v>
      </c>
    </row>
    <row r="7" spans="1:19" ht="22.5" customHeight="1" x14ac:dyDescent="0.25">
      <c r="A7" s="253"/>
      <c r="B7" s="143" t="s">
        <v>399</v>
      </c>
      <c r="C7" s="262"/>
      <c r="D7" s="256"/>
      <c r="E7" s="258"/>
      <c r="F7" s="258"/>
      <c r="G7" s="260"/>
      <c r="I7" s="70"/>
    </row>
    <row r="8" spans="1:19" ht="22.5" customHeight="1" x14ac:dyDescent="0.25">
      <c r="A8" s="253"/>
      <c r="B8" s="143" t="s">
        <v>400</v>
      </c>
      <c r="C8" s="261">
        <v>7</v>
      </c>
      <c r="D8" s="255">
        <v>1</v>
      </c>
      <c r="E8" s="257">
        <v>3.35</v>
      </c>
      <c r="F8" s="257">
        <v>259.69</v>
      </c>
      <c r="G8" s="259">
        <v>12.82</v>
      </c>
    </row>
    <row r="9" spans="1:19" ht="22.5" customHeight="1" x14ac:dyDescent="0.25">
      <c r="A9" s="253"/>
      <c r="B9" s="143" t="s">
        <v>401</v>
      </c>
      <c r="C9" s="262"/>
      <c r="D9" s="256"/>
      <c r="E9" s="258"/>
      <c r="F9" s="258"/>
      <c r="G9" s="260"/>
    </row>
    <row r="10" spans="1:19" ht="22.5" customHeight="1" x14ac:dyDescent="0.25">
      <c r="A10" s="253"/>
      <c r="B10" s="143" t="s">
        <v>402</v>
      </c>
      <c r="C10" s="261">
        <v>12</v>
      </c>
      <c r="D10" s="255">
        <v>1</v>
      </c>
      <c r="E10" s="257">
        <v>3.35</v>
      </c>
      <c r="F10" s="257">
        <v>190.34</v>
      </c>
      <c r="G10" s="259">
        <v>25.28</v>
      </c>
    </row>
    <row r="11" spans="1:19" ht="22.5" customHeight="1" x14ac:dyDescent="0.25">
      <c r="A11" s="253"/>
      <c r="B11" s="143" t="s">
        <v>403</v>
      </c>
      <c r="C11" s="262"/>
      <c r="D11" s="256"/>
      <c r="E11" s="258"/>
      <c r="F11" s="258"/>
      <c r="G11" s="260"/>
    </row>
    <row r="12" spans="1:19" ht="22.5" customHeight="1" x14ac:dyDescent="0.25">
      <c r="A12" s="253"/>
      <c r="B12" s="143" t="s">
        <v>404</v>
      </c>
      <c r="C12" s="261">
        <v>20</v>
      </c>
      <c r="D12" s="255">
        <v>1</v>
      </c>
      <c r="E12" s="257">
        <v>3.2</v>
      </c>
      <c r="F12" s="257">
        <v>137.93</v>
      </c>
      <c r="G12" s="259">
        <v>95.04</v>
      </c>
    </row>
    <row r="13" spans="1:19" ht="22.5" customHeight="1" x14ac:dyDescent="0.25">
      <c r="A13" s="253"/>
      <c r="B13" s="143" t="s">
        <v>405</v>
      </c>
      <c r="C13" s="262"/>
      <c r="D13" s="256"/>
      <c r="E13" s="258"/>
      <c r="F13" s="258"/>
      <c r="G13" s="260"/>
    </row>
    <row r="14" spans="1:19" ht="22.5" customHeight="1" x14ac:dyDescent="0.25">
      <c r="A14" s="253"/>
      <c r="B14" s="143" t="s">
        <v>406</v>
      </c>
      <c r="C14" s="261">
        <v>20</v>
      </c>
      <c r="D14" s="255">
        <v>1</v>
      </c>
      <c r="E14" s="257">
        <v>3.3200000000000003</v>
      </c>
      <c r="F14" s="257">
        <v>143.1</v>
      </c>
      <c r="G14" s="259">
        <v>88.29</v>
      </c>
    </row>
    <row r="15" spans="1:19" ht="22.5" customHeight="1" thickBot="1" x14ac:dyDescent="0.3">
      <c r="A15" s="254"/>
      <c r="B15" s="144" t="s">
        <v>407</v>
      </c>
      <c r="C15" s="269"/>
      <c r="D15" s="263"/>
      <c r="E15" s="264"/>
      <c r="F15" s="264"/>
      <c r="G15" s="265"/>
    </row>
    <row r="16" spans="1:19" ht="22.5" customHeight="1" x14ac:dyDescent="0.25">
      <c r="A16" s="252" t="s">
        <v>17</v>
      </c>
      <c r="B16" s="145" t="s">
        <v>408</v>
      </c>
      <c r="C16" s="270">
        <v>4</v>
      </c>
      <c r="D16" s="266">
        <v>1</v>
      </c>
      <c r="E16" s="267">
        <v>3.27</v>
      </c>
      <c r="F16" s="267">
        <v>291.95999999999998</v>
      </c>
      <c r="G16" s="268">
        <v>6.11</v>
      </c>
    </row>
    <row r="17" spans="1:7" ht="22.5" customHeight="1" x14ac:dyDescent="0.25">
      <c r="A17" s="253"/>
      <c r="B17" s="143" t="s">
        <v>409</v>
      </c>
      <c r="C17" s="262"/>
      <c r="D17" s="256"/>
      <c r="E17" s="258"/>
      <c r="F17" s="258"/>
      <c r="G17" s="260"/>
    </row>
    <row r="18" spans="1:7" ht="22.5" customHeight="1" x14ac:dyDescent="0.25">
      <c r="A18" s="253"/>
      <c r="B18" s="143" t="s">
        <v>410</v>
      </c>
      <c r="C18" s="261">
        <v>32</v>
      </c>
      <c r="D18" s="255">
        <v>1</v>
      </c>
      <c r="E18" s="257">
        <v>3.14</v>
      </c>
      <c r="F18" s="257">
        <v>88.45</v>
      </c>
      <c r="G18" s="259">
        <v>790.73</v>
      </c>
    </row>
    <row r="19" spans="1:7" ht="22.5" customHeight="1" x14ac:dyDescent="0.25">
      <c r="A19" s="253"/>
      <c r="B19" s="143" t="s">
        <v>411</v>
      </c>
      <c r="C19" s="262"/>
      <c r="D19" s="256"/>
      <c r="E19" s="258"/>
      <c r="F19" s="258"/>
      <c r="G19" s="260"/>
    </row>
    <row r="20" spans="1:7" ht="22.5" customHeight="1" x14ac:dyDescent="0.25">
      <c r="A20" s="253"/>
      <c r="B20" s="143" t="s">
        <v>412</v>
      </c>
      <c r="C20" s="261">
        <v>20</v>
      </c>
      <c r="D20" s="255">
        <v>1</v>
      </c>
      <c r="E20" s="257">
        <v>3.29</v>
      </c>
      <c r="F20" s="257">
        <v>141.81</v>
      </c>
      <c r="G20" s="259">
        <v>89.91</v>
      </c>
    </row>
    <row r="21" spans="1:7" ht="22.5" customHeight="1" x14ac:dyDescent="0.25">
      <c r="A21" s="253"/>
      <c r="B21" s="143" t="s">
        <v>413</v>
      </c>
      <c r="C21" s="262"/>
      <c r="D21" s="256"/>
      <c r="E21" s="258"/>
      <c r="F21" s="258"/>
      <c r="G21" s="260"/>
    </row>
    <row r="22" spans="1:7" ht="22.5" customHeight="1" x14ac:dyDescent="0.25">
      <c r="A22" s="253"/>
      <c r="B22" s="143" t="s">
        <v>414</v>
      </c>
      <c r="C22" s="261">
        <v>20</v>
      </c>
      <c r="D22" s="255">
        <v>1</v>
      </c>
      <c r="E22" s="257">
        <v>3.29</v>
      </c>
      <c r="F22" s="257">
        <v>141.81</v>
      </c>
      <c r="G22" s="259">
        <v>89.91</v>
      </c>
    </row>
    <row r="23" spans="1:7" ht="22.5" customHeight="1" x14ac:dyDescent="0.25">
      <c r="A23" s="253"/>
      <c r="B23" s="143" t="s">
        <v>415</v>
      </c>
      <c r="C23" s="262"/>
      <c r="D23" s="256"/>
      <c r="E23" s="258"/>
      <c r="F23" s="258"/>
      <c r="G23" s="260"/>
    </row>
    <row r="24" spans="1:7" ht="22.5" customHeight="1" x14ac:dyDescent="0.25">
      <c r="A24" s="253"/>
      <c r="B24" s="143" t="s">
        <v>416</v>
      </c>
      <c r="C24" s="261">
        <v>20</v>
      </c>
      <c r="D24" s="255">
        <v>1</v>
      </c>
      <c r="E24" s="257">
        <v>3.14</v>
      </c>
      <c r="F24" s="257">
        <v>135.34</v>
      </c>
      <c r="G24" s="259">
        <v>98.71</v>
      </c>
    </row>
    <row r="25" spans="1:7" ht="22.5" customHeight="1" x14ac:dyDescent="0.25">
      <c r="A25" s="253"/>
      <c r="B25" s="143" t="s">
        <v>417</v>
      </c>
      <c r="C25" s="262"/>
      <c r="D25" s="256"/>
      <c r="E25" s="258"/>
      <c r="F25" s="258"/>
      <c r="G25" s="260"/>
    </row>
    <row r="26" spans="1:7" ht="22.5" customHeight="1" x14ac:dyDescent="0.25">
      <c r="A26" s="253"/>
      <c r="B26" s="143" t="s">
        <v>396</v>
      </c>
      <c r="C26" s="261">
        <v>20</v>
      </c>
      <c r="D26" s="255">
        <v>1</v>
      </c>
      <c r="E26" s="257">
        <v>3.26</v>
      </c>
      <c r="F26" s="257">
        <v>140.52000000000001</v>
      </c>
      <c r="G26" s="259">
        <v>91.57</v>
      </c>
    </row>
    <row r="27" spans="1:7" ht="22.5" customHeight="1" thickBot="1" x14ac:dyDescent="0.3">
      <c r="A27" s="254"/>
      <c r="B27" s="144" t="s">
        <v>418</v>
      </c>
      <c r="C27" s="262"/>
      <c r="D27" s="263"/>
      <c r="E27" s="264"/>
      <c r="F27" s="264"/>
      <c r="G27" s="265"/>
    </row>
    <row r="28" spans="1:7" ht="22.5" customHeight="1" x14ac:dyDescent="0.25">
      <c r="A28" s="252" t="s">
        <v>18</v>
      </c>
      <c r="B28" s="145" t="s">
        <v>419</v>
      </c>
      <c r="C28" s="148">
        <v>20</v>
      </c>
      <c r="D28" s="151">
        <v>1</v>
      </c>
      <c r="E28" s="152">
        <v>1.829</v>
      </c>
      <c r="F28" s="152">
        <v>78.84</v>
      </c>
      <c r="G28" s="153">
        <v>290.92</v>
      </c>
    </row>
    <row r="29" spans="1:7" ht="22.5" customHeight="1" x14ac:dyDescent="0.25">
      <c r="A29" s="253"/>
      <c r="B29" s="143" t="s">
        <v>420</v>
      </c>
      <c r="C29" s="148">
        <v>20</v>
      </c>
      <c r="D29" s="154">
        <v>1</v>
      </c>
      <c r="E29" s="155">
        <v>1.869</v>
      </c>
      <c r="F29" s="155">
        <v>80.56</v>
      </c>
      <c r="G29" s="156">
        <v>278.60000000000002</v>
      </c>
    </row>
    <row r="30" spans="1:7" ht="22.5" customHeight="1" x14ac:dyDescent="0.25">
      <c r="A30" s="253"/>
      <c r="B30" s="143" t="s">
        <v>421</v>
      </c>
      <c r="C30" s="148">
        <v>20</v>
      </c>
      <c r="D30" s="154">
        <v>1</v>
      </c>
      <c r="E30" s="155">
        <v>2.0419999999999998</v>
      </c>
      <c r="F30" s="155">
        <v>88.02</v>
      </c>
      <c r="G30" s="156">
        <v>233.39</v>
      </c>
    </row>
    <row r="31" spans="1:7" ht="22.5" customHeight="1" x14ac:dyDescent="0.25">
      <c r="A31" s="253"/>
      <c r="B31" s="141" t="s">
        <v>422</v>
      </c>
      <c r="C31" s="148">
        <v>20</v>
      </c>
      <c r="D31" s="154">
        <v>1</v>
      </c>
      <c r="E31" s="155">
        <v>2.2400000000000002</v>
      </c>
      <c r="F31" s="155">
        <v>96.55</v>
      </c>
      <c r="G31" s="156">
        <v>193.96</v>
      </c>
    </row>
    <row r="32" spans="1:7" ht="22.5" customHeight="1" x14ac:dyDescent="0.25">
      <c r="A32" s="253"/>
      <c r="B32" s="141" t="s">
        <v>423</v>
      </c>
      <c r="C32" s="148">
        <v>20</v>
      </c>
      <c r="D32" s="154">
        <v>1</v>
      </c>
      <c r="E32" s="155">
        <v>2.456</v>
      </c>
      <c r="F32" s="155">
        <v>105.86</v>
      </c>
      <c r="G32" s="156">
        <v>161.34</v>
      </c>
    </row>
    <row r="33" spans="1:7" ht="22.5" customHeight="1" x14ac:dyDescent="0.25">
      <c r="A33" s="253"/>
      <c r="B33" s="141" t="s">
        <v>424</v>
      </c>
      <c r="C33" s="148">
        <v>20</v>
      </c>
      <c r="D33" s="154">
        <v>1</v>
      </c>
      <c r="E33" s="155">
        <v>2.7770000000000001</v>
      </c>
      <c r="F33" s="155">
        <v>119.7</v>
      </c>
      <c r="G33" s="156">
        <v>126.2</v>
      </c>
    </row>
    <row r="34" spans="1:7" ht="22.5" customHeight="1" x14ac:dyDescent="0.25">
      <c r="A34" s="253"/>
      <c r="B34" s="141" t="s">
        <v>425</v>
      </c>
      <c r="C34" s="148">
        <v>20</v>
      </c>
      <c r="D34" s="154">
        <v>1</v>
      </c>
      <c r="E34" s="155">
        <v>2.7770000000000001</v>
      </c>
      <c r="F34" s="155">
        <v>119.7</v>
      </c>
      <c r="G34" s="156">
        <v>126.2</v>
      </c>
    </row>
    <row r="35" spans="1:7" ht="22.5" customHeight="1" x14ac:dyDescent="0.25">
      <c r="A35" s="253"/>
      <c r="B35" s="141" t="s">
        <v>426</v>
      </c>
      <c r="C35" s="148">
        <v>20</v>
      </c>
      <c r="D35" s="154">
        <v>1</v>
      </c>
      <c r="E35" s="155">
        <v>2.456</v>
      </c>
      <c r="F35" s="155">
        <v>105.86</v>
      </c>
      <c r="G35" s="156">
        <v>161.34</v>
      </c>
    </row>
    <row r="36" spans="1:7" ht="22.5" customHeight="1" x14ac:dyDescent="0.25">
      <c r="A36" s="253"/>
      <c r="B36" s="141" t="s">
        <v>427</v>
      </c>
      <c r="C36" s="148">
        <v>20</v>
      </c>
      <c r="D36" s="154">
        <v>1</v>
      </c>
      <c r="E36" s="155">
        <v>2.2400000000000002</v>
      </c>
      <c r="F36" s="155">
        <v>96.55</v>
      </c>
      <c r="G36" s="156">
        <v>193.96</v>
      </c>
    </row>
    <row r="37" spans="1:7" ht="22.5" customHeight="1" x14ac:dyDescent="0.25">
      <c r="A37" s="253"/>
      <c r="B37" s="143" t="s">
        <v>428</v>
      </c>
      <c r="C37" s="146">
        <v>20</v>
      </c>
      <c r="D37" s="154">
        <v>1</v>
      </c>
      <c r="E37" s="155">
        <v>2.0419999999999998</v>
      </c>
      <c r="F37" s="155">
        <v>88.02</v>
      </c>
      <c r="G37" s="156">
        <v>233.39</v>
      </c>
    </row>
    <row r="38" spans="1:7" ht="22.5" customHeight="1" x14ac:dyDescent="0.25">
      <c r="A38" s="253"/>
      <c r="B38" s="143" t="s">
        <v>429</v>
      </c>
      <c r="C38" s="148">
        <v>20</v>
      </c>
      <c r="D38" s="154">
        <v>1</v>
      </c>
      <c r="E38" s="155">
        <v>1.869</v>
      </c>
      <c r="F38" s="155">
        <v>80.56</v>
      </c>
      <c r="G38" s="156">
        <v>278.60000000000002</v>
      </c>
    </row>
    <row r="39" spans="1:7" ht="22.5" customHeight="1" thickBot="1" x14ac:dyDescent="0.3">
      <c r="A39" s="254"/>
      <c r="B39" s="144" t="s">
        <v>430</v>
      </c>
      <c r="C39" s="149">
        <v>20</v>
      </c>
      <c r="D39" s="157">
        <v>1</v>
      </c>
      <c r="E39" s="158">
        <v>1.829</v>
      </c>
      <c r="F39" s="158">
        <v>78.84</v>
      </c>
      <c r="G39" s="159">
        <v>290.92</v>
      </c>
    </row>
    <row r="40" spans="1:7" ht="22.5" customHeight="1" x14ac:dyDescent="0.25">
      <c r="A40" s="252" t="s">
        <v>19</v>
      </c>
      <c r="B40" s="145" t="s">
        <v>431</v>
      </c>
      <c r="C40" s="247">
        <v>20</v>
      </c>
      <c r="D40" s="151">
        <v>1</v>
      </c>
      <c r="E40" s="152">
        <v>1.014</v>
      </c>
      <c r="F40" s="152">
        <v>43.71</v>
      </c>
      <c r="G40" s="153">
        <v>946.51</v>
      </c>
    </row>
    <row r="41" spans="1:7" ht="22.5" customHeight="1" x14ac:dyDescent="0.25">
      <c r="A41" s="253"/>
      <c r="B41" s="143" t="s">
        <v>432</v>
      </c>
      <c r="C41" s="148">
        <v>20</v>
      </c>
      <c r="D41" s="154">
        <v>1</v>
      </c>
      <c r="E41" s="155">
        <v>1.306</v>
      </c>
      <c r="F41" s="155">
        <v>56.29</v>
      </c>
      <c r="G41" s="156">
        <v>570.58000000000004</v>
      </c>
    </row>
    <row r="42" spans="1:7" ht="22.5" customHeight="1" x14ac:dyDescent="0.25">
      <c r="A42" s="253"/>
      <c r="B42" s="143" t="s">
        <v>433</v>
      </c>
      <c r="C42" s="148">
        <v>20</v>
      </c>
      <c r="D42" s="154">
        <v>1</v>
      </c>
      <c r="E42" s="155">
        <v>1.597</v>
      </c>
      <c r="F42" s="155">
        <v>68.84</v>
      </c>
      <c r="G42" s="156">
        <v>381.59</v>
      </c>
    </row>
    <row r="43" spans="1:7" ht="22.5" customHeight="1" x14ac:dyDescent="0.25">
      <c r="A43" s="253"/>
      <c r="B43" s="141" t="s">
        <v>434</v>
      </c>
      <c r="C43" s="148">
        <v>20</v>
      </c>
      <c r="D43" s="154">
        <v>1</v>
      </c>
      <c r="E43" s="155">
        <v>1.889</v>
      </c>
      <c r="F43" s="155">
        <v>81.42</v>
      </c>
      <c r="G43" s="156">
        <v>272.73</v>
      </c>
    </row>
    <row r="44" spans="1:7" ht="22.5" customHeight="1" x14ac:dyDescent="0.25">
      <c r="A44" s="253"/>
      <c r="B44" s="141" t="s">
        <v>435</v>
      </c>
      <c r="C44" s="148">
        <v>20</v>
      </c>
      <c r="D44" s="154">
        <v>1</v>
      </c>
      <c r="E44" s="155">
        <v>2.1800000000000002</v>
      </c>
      <c r="F44" s="155">
        <v>93.97</v>
      </c>
      <c r="G44" s="156">
        <v>204.78</v>
      </c>
    </row>
    <row r="45" spans="1:7" ht="22.5" customHeight="1" x14ac:dyDescent="0.25">
      <c r="A45" s="253"/>
      <c r="B45" s="141" t="s">
        <v>436</v>
      </c>
      <c r="C45" s="148">
        <v>20</v>
      </c>
      <c r="D45" s="154">
        <v>1</v>
      </c>
      <c r="E45" s="155">
        <v>2.5</v>
      </c>
      <c r="F45" s="155">
        <v>107.76</v>
      </c>
      <c r="G45" s="156">
        <v>155.71</v>
      </c>
    </row>
    <row r="46" spans="1:7" ht="22.5" customHeight="1" x14ac:dyDescent="0.25">
      <c r="A46" s="253"/>
      <c r="B46" s="141" t="s">
        <v>437</v>
      </c>
      <c r="C46" s="148">
        <v>20</v>
      </c>
      <c r="D46" s="154">
        <v>1</v>
      </c>
      <c r="E46" s="155">
        <v>2.1800000000000002</v>
      </c>
      <c r="F46" s="155">
        <v>93.97</v>
      </c>
      <c r="G46" s="156">
        <v>204.78</v>
      </c>
    </row>
    <row r="47" spans="1:7" ht="22.5" customHeight="1" x14ac:dyDescent="0.25">
      <c r="A47" s="253"/>
      <c r="B47" s="141" t="s">
        <v>438</v>
      </c>
      <c r="C47" s="148">
        <v>20</v>
      </c>
      <c r="D47" s="154">
        <v>1</v>
      </c>
      <c r="E47" s="155">
        <v>1.889</v>
      </c>
      <c r="F47" s="155">
        <v>81.42</v>
      </c>
      <c r="G47" s="156">
        <v>272.73</v>
      </c>
    </row>
    <row r="48" spans="1:7" ht="22.5" customHeight="1" x14ac:dyDescent="0.25">
      <c r="A48" s="253"/>
      <c r="B48" s="143" t="s">
        <v>439</v>
      </c>
      <c r="C48" s="148">
        <v>20</v>
      </c>
      <c r="D48" s="154">
        <v>1</v>
      </c>
      <c r="E48" s="155">
        <v>1.597</v>
      </c>
      <c r="F48" s="155">
        <v>68.84</v>
      </c>
      <c r="G48" s="156">
        <v>381.59</v>
      </c>
    </row>
    <row r="49" spans="1:7" ht="22.5" customHeight="1" x14ac:dyDescent="0.25">
      <c r="A49" s="253"/>
      <c r="B49" s="143" t="s">
        <v>440</v>
      </c>
      <c r="C49" s="148">
        <v>20</v>
      </c>
      <c r="D49" s="154">
        <v>1</v>
      </c>
      <c r="E49" s="155">
        <v>1.306</v>
      </c>
      <c r="F49" s="155">
        <v>56.29</v>
      </c>
      <c r="G49" s="156">
        <v>570.58000000000004</v>
      </c>
    </row>
    <row r="50" spans="1:7" ht="22.5" customHeight="1" thickBot="1" x14ac:dyDescent="0.3">
      <c r="A50" s="253"/>
      <c r="B50" s="144" t="s">
        <v>441</v>
      </c>
      <c r="C50" s="149">
        <v>4</v>
      </c>
      <c r="D50" s="157">
        <v>1</v>
      </c>
      <c r="E50" s="158">
        <v>1.014</v>
      </c>
      <c r="F50" s="158">
        <v>90.54</v>
      </c>
      <c r="G50" s="159">
        <v>63.58</v>
      </c>
    </row>
    <row r="51" spans="1:7" x14ac:dyDescent="0.25">
      <c r="C51" s="71">
        <v>2</v>
      </c>
      <c r="D51" s="72">
        <v>1</v>
      </c>
      <c r="E51" s="72">
        <v>0</v>
      </c>
      <c r="F51" s="72">
        <v>0</v>
      </c>
      <c r="G51" s="72"/>
    </row>
    <row r="52" spans="1:7" x14ac:dyDescent="0.25">
      <c r="C52" s="62"/>
      <c r="D52" s="61"/>
      <c r="E52" s="61"/>
      <c r="F52" s="61"/>
      <c r="G52" s="61"/>
    </row>
    <row r="53" spans="1:7" x14ac:dyDescent="0.25">
      <c r="C53" s="64"/>
    </row>
  </sheetData>
  <mergeCells count="64">
    <mergeCell ref="A4:A15"/>
    <mergeCell ref="A16:A27"/>
    <mergeCell ref="A28:A39"/>
    <mergeCell ref="A40:A50"/>
    <mergeCell ref="C4:C5"/>
    <mergeCell ref="C8:C9"/>
    <mergeCell ref="C12:C13"/>
    <mergeCell ref="C16:C17"/>
    <mergeCell ref="C20:C21"/>
    <mergeCell ref="C24:C25"/>
    <mergeCell ref="D4:D5"/>
    <mergeCell ref="E4:E5"/>
    <mergeCell ref="F4:F5"/>
    <mergeCell ref="G4:G5"/>
    <mergeCell ref="C6:C7"/>
    <mergeCell ref="D6:D7"/>
    <mergeCell ref="E6:E7"/>
    <mergeCell ref="F6:F7"/>
    <mergeCell ref="G6:G7"/>
    <mergeCell ref="D8:D9"/>
    <mergeCell ref="E8:E9"/>
    <mergeCell ref="F8:F9"/>
    <mergeCell ref="G8:G9"/>
    <mergeCell ref="C10:C11"/>
    <mergeCell ref="D10:D11"/>
    <mergeCell ref="E10:E11"/>
    <mergeCell ref="F10:F11"/>
    <mergeCell ref="G10:G11"/>
    <mergeCell ref="D12:D13"/>
    <mergeCell ref="E12:E13"/>
    <mergeCell ref="F12:F13"/>
    <mergeCell ref="G12:G13"/>
    <mergeCell ref="C14:C15"/>
    <mergeCell ref="D14:D15"/>
    <mergeCell ref="E14:E15"/>
    <mergeCell ref="F14:F15"/>
    <mergeCell ref="G14:G15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D24:D25"/>
    <mergeCell ref="E24:E25"/>
    <mergeCell ref="F24:F25"/>
    <mergeCell ref="G24:G25"/>
    <mergeCell ref="C26:C27"/>
    <mergeCell ref="D26:D27"/>
    <mergeCell ref="E26:E27"/>
    <mergeCell ref="F26:F27"/>
    <mergeCell ref="G26:G2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cularNey">
                <anchor moveWithCells="1" sizeWithCells="1">
                  <from>
                    <xdr:col>7</xdr:col>
                    <xdr:colOff>600075</xdr:colOff>
                    <xdr:row>2</xdr:row>
                    <xdr:rowOff>9525</xdr:rowOff>
                  </from>
                  <to>
                    <xdr:col>11</xdr:col>
                    <xdr:colOff>9525</xdr:colOff>
                    <xdr:row>4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6"/>
  <dimension ref="A1:G53"/>
  <sheetViews>
    <sheetView zoomScale="85" zoomScaleNormal="85" workbookViewId="0"/>
  </sheetViews>
  <sheetFormatPr defaultRowHeight="15" x14ac:dyDescent="0.25"/>
  <cols>
    <col min="1" max="1" width="15.28515625" style="60" customWidth="1"/>
    <col min="2" max="2" width="8.85546875" style="60" bestFit="1" customWidth="1"/>
    <col min="3" max="3" width="13" style="60" customWidth="1"/>
    <col min="4" max="7" width="13.5703125" style="67" customWidth="1"/>
  </cols>
  <sheetData>
    <row r="1" spans="1:7" x14ac:dyDescent="0.25">
      <c r="A1" s="60">
        <v>1</v>
      </c>
      <c r="B1" s="60">
        <f t="shared" ref="B1:G1" si="0">A1+1</f>
        <v>2</v>
      </c>
      <c r="C1" s="60">
        <f t="shared" si="0"/>
        <v>3</v>
      </c>
      <c r="D1" s="60">
        <f t="shared" si="0"/>
        <v>4</v>
      </c>
      <c r="E1" s="60">
        <f t="shared" si="0"/>
        <v>5</v>
      </c>
      <c r="F1" s="60">
        <f t="shared" si="0"/>
        <v>6</v>
      </c>
      <c r="G1" s="60">
        <f t="shared" si="0"/>
        <v>7</v>
      </c>
    </row>
    <row r="2" spans="1:7" ht="45.75" thickBot="1" x14ac:dyDescent="0.3">
      <c r="A2" s="88" t="s">
        <v>394</v>
      </c>
      <c r="B2" s="68">
        <f>'Calcular Ney'!B2</f>
        <v>2</v>
      </c>
      <c r="C2" s="68" t="s">
        <v>384</v>
      </c>
      <c r="D2" s="69">
        <f>'Calcular Ney'!D2</f>
        <v>1</v>
      </c>
      <c r="F2"/>
      <c r="G2"/>
    </row>
    <row r="3" spans="1:7" ht="32.25" thickBot="1" x14ac:dyDescent="0.3">
      <c r="A3" s="124" t="s">
        <v>0</v>
      </c>
      <c r="B3" s="124" t="s">
        <v>1</v>
      </c>
      <c r="C3" s="124" t="s">
        <v>364</v>
      </c>
      <c r="D3" s="124" t="s">
        <v>375</v>
      </c>
      <c r="E3" s="124" t="s">
        <v>374</v>
      </c>
      <c r="F3" s="124" t="s">
        <v>376</v>
      </c>
      <c r="G3" s="125" t="s">
        <v>377</v>
      </c>
    </row>
    <row r="4" spans="1:7" ht="15" customHeight="1" x14ac:dyDescent="0.25">
      <c r="A4" s="252" t="s">
        <v>16</v>
      </c>
      <c r="B4" s="142">
        <v>1</v>
      </c>
      <c r="C4" s="147">
        <v>20</v>
      </c>
      <c r="D4" s="151">
        <v>1</v>
      </c>
      <c r="E4" s="152">
        <v>1.72</v>
      </c>
      <c r="F4" s="152">
        <v>54.44</v>
      </c>
      <c r="G4" s="166">
        <v>1463.99</v>
      </c>
    </row>
    <row r="5" spans="1:7" ht="15" customHeight="1" x14ac:dyDescent="0.25">
      <c r="A5" s="253"/>
      <c r="B5" s="143" t="s">
        <v>397</v>
      </c>
      <c r="C5" s="148">
        <v>17</v>
      </c>
      <c r="D5" s="154">
        <v>1</v>
      </c>
      <c r="E5" s="155">
        <v>1.6</v>
      </c>
      <c r="F5" s="155">
        <v>56.82</v>
      </c>
      <c r="G5" s="167">
        <v>3894.29</v>
      </c>
    </row>
    <row r="6" spans="1:7" ht="15" customHeight="1" x14ac:dyDescent="0.25">
      <c r="A6" s="253"/>
      <c r="B6" s="143" t="s">
        <v>398</v>
      </c>
      <c r="C6" s="148">
        <v>20</v>
      </c>
      <c r="D6" s="154">
        <v>1</v>
      </c>
      <c r="E6" s="155">
        <v>1.6</v>
      </c>
      <c r="F6" s="155">
        <v>50.64</v>
      </c>
      <c r="G6" s="167">
        <v>1463.99</v>
      </c>
    </row>
    <row r="7" spans="1:7" ht="15" customHeight="1" x14ac:dyDescent="0.25">
      <c r="A7" s="253"/>
      <c r="B7" s="143" t="s">
        <v>399</v>
      </c>
      <c r="C7" s="148">
        <v>13</v>
      </c>
      <c r="D7" s="154">
        <v>1</v>
      </c>
      <c r="E7" s="155">
        <v>1.6</v>
      </c>
      <c r="F7" s="155">
        <v>66.28</v>
      </c>
      <c r="G7" s="167">
        <v>1903.33</v>
      </c>
    </row>
    <row r="8" spans="1:7" ht="15" customHeight="1" x14ac:dyDescent="0.25">
      <c r="A8" s="253"/>
      <c r="B8" s="143" t="s">
        <v>400</v>
      </c>
      <c r="C8" s="148">
        <v>3</v>
      </c>
      <c r="D8" s="154">
        <v>1</v>
      </c>
      <c r="E8" s="155">
        <v>1.6</v>
      </c>
      <c r="F8" s="155">
        <v>123.7</v>
      </c>
      <c r="G8" s="167">
        <v>997.77</v>
      </c>
    </row>
    <row r="9" spans="1:7" ht="15" customHeight="1" x14ac:dyDescent="0.25">
      <c r="A9" s="253"/>
      <c r="B9" s="143" t="s">
        <v>401</v>
      </c>
      <c r="C9" s="148">
        <v>20</v>
      </c>
      <c r="D9" s="154">
        <v>1</v>
      </c>
      <c r="E9" s="155">
        <v>1.75</v>
      </c>
      <c r="F9" s="155">
        <v>55.39</v>
      </c>
      <c r="G9" s="167">
        <v>1463.99</v>
      </c>
    </row>
    <row r="10" spans="1:7" ht="15" customHeight="1" x14ac:dyDescent="0.25">
      <c r="A10" s="253"/>
      <c r="B10" s="143" t="s">
        <v>402</v>
      </c>
      <c r="C10" s="148">
        <v>12</v>
      </c>
      <c r="D10" s="154">
        <v>1</v>
      </c>
      <c r="E10" s="155">
        <v>1.75</v>
      </c>
      <c r="F10" s="155">
        <v>73.88</v>
      </c>
      <c r="G10" s="167">
        <v>576.36</v>
      </c>
    </row>
    <row r="11" spans="1:7" ht="15" customHeight="1" x14ac:dyDescent="0.25">
      <c r="A11" s="253"/>
      <c r="B11" s="143" t="s">
        <v>403</v>
      </c>
      <c r="C11" s="148">
        <v>19</v>
      </c>
      <c r="D11" s="154">
        <v>1</v>
      </c>
      <c r="E11" s="155">
        <v>1.6</v>
      </c>
      <c r="F11" s="155">
        <v>51.2</v>
      </c>
      <c r="G11" s="167">
        <v>438.08</v>
      </c>
    </row>
    <row r="12" spans="1:7" ht="15" customHeight="1" x14ac:dyDescent="0.25">
      <c r="A12" s="253"/>
      <c r="B12" s="143" t="s">
        <v>404</v>
      </c>
      <c r="C12" s="148">
        <v>20</v>
      </c>
      <c r="D12" s="154">
        <v>1</v>
      </c>
      <c r="E12" s="155">
        <v>1.6</v>
      </c>
      <c r="F12" s="155">
        <v>50.64</v>
      </c>
      <c r="G12" s="167">
        <v>1463.99</v>
      </c>
    </row>
    <row r="13" spans="1:7" ht="15" customHeight="1" x14ac:dyDescent="0.25">
      <c r="A13" s="253"/>
      <c r="B13" s="143" t="s">
        <v>405</v>
      </c>
      <c r="C13" s="148">
        <v>20</v>
      </c>
      <c r="D13" s="154">
        <v>1</v>
      </c>
      <c r="E13" s="155">
        <v>1.6</v>
      </c>
      <c r="F13" s="155">
        <v>50.64</v>
      </c>
      <c r="G13" s="167">
        <v>1463.99</v>
      </c>
    </row>
    <row r="14" spans="1:7" ht="15" customHeight="1" x14ac:dyDescent="0.25">
      <c r="A14" s="253"/>
      <c r="B14" s="143" t="s">
        <v>406</v>
      </c>
      <c r="C14" s="148">
        <v>20</v>
      </c>
      <c r="D14" s="154">
        <v>1</v>
      </c>
      <c r="E14" s="155">
        <v>1.6</v>
      </c>
      <c r="F14" s="155">
        <v>50.64</v>
      </c>
      <c r="G14" s="167">
        <v>1463.99</v>
      </c>
    </row>
    <row r="15" spans="1:7" ht="15.75" customHeight="1" thickBot="1" x14ac:dyDescent="0.3">
      <c r="A15" s="254"/>
      <c r="B15" s="144" t="s">
        <v>407</v>
      </c>
      <c r="C15" s="149">
        <v>20</v>
      </c>
      <c r="D15" s="157">
        <v>1</v>
      </c>
      <c r="E15" s="158">
        <v>1.72</v>
      </c>
      <c r="F15" s="158">
        <v>54.44</v>
      </c>
      <c r="G15" s="168">
        <v>1463.99</v>
      </c>
    </row>
    <row r="16" spans="1:7" ht="15" customHeight="1" x14ac:dyDescent="0.25">
      <c r="A16" s="252" t="s">
        <v>17</v>
      </c>
      <c r="B16" s="145" t="s">
        <v>408</v>
      </c>
      <c r="C16" s="147">
        <v>4</v>
      </c>
      <c r="D16" s="151">
        <v>1</v>
      </c>
      <c r="E16" s="152">
        <v>1.7</v>
      </c>
      <c r="F16" s="152">
        <v>116.6</v>
      </c>
      <c r="G16" s="166">
        <v>908.21</v>
      </c>
    </row>
    <row r="17" spans="1:7" ht="15" customHeight="1" x14ac:dyDescent="0.25">
      <c r="A17" s="253"/>
      <c r="B17" s="143" t="s">
        <v>409</v>
      </c>
      <c r="C17" s="148">
        <v>20</v>
      </c>
      <c r="D17" s="154">
        <v>1</v>
      </c>
      <c r="E17" s="155">
        <v>1.57</v>
      </c>
      <c r="F17" s="155">
        <v>49.69</v>
      </c>
      <c r="G17" s="167">
        <v>1463.99</v>
      </c>
    </row>
    <row r="18" spans="1:7" ht="15" customHeight="1" x14ac:dyDescent="0.25">
      <c r="A18" s="253"/>
      <c r="B18" s="143" t="s">
        <v>410</v>
      </c>
      <c r="C18" s="148">
        <v>32</v>
      </c>
      <c r="D18" s="154">
        <v>1</v>
      </c>
      <c r="E18" s="155">
        <v>1.57</v>
      </c>
      <c r="F18" s="155">
        <v>32.54</v>
      </c>
      <c r="G18" s="167">
        <v>12203.89</v>
      </c>
    </row>
    <row r="19" spans="1:7" ht="15" customHeight="1" x14ac:dyDescent="0.25">
      <c r="A19" s="253"/>
      <c r="B19" s="143" t="s">
        <v>411</v>
      </c>
      <c r="C19" s="148">
        <v>20</v>
      </c>
      <c r="D19" s="154">
        <v>1</v>
      </c>
      <c r="E19" s="155">
        <v>1.57</v>
      </c>
      <c r="F19" s="155">
        <v>49.69</v>
      </c>
      <c r="G19" s="167">
        <v>1463.99</v>
      </c>
    </row>
    <row r="20" spans="1:7" ht="15" customHeight="1" x14ac:dyDescent="0.25">
      <c r="A20" s="253"/>
      <c r="B20" s="143" t="s">
        <v>412</v>
      </c>
      <c r="C20" s="148">
        <v>20</v>
      </c>
      <c r="D20" s="154">
        <v>1</v>
      </c>
      <c r="E20" s="155">
        <v>1.57</v>
      </c>
      <c r="F20" s="155">
        <v>49.69</v>
      </c>
      <c r="G20" s="167">
        <v>1463.99</v>
      </c>
    </row>
    <row r="21" spans="1:7" ht="15" customHeight="1" x14ac:dyDescent="0.25">
      <c r="A21" s="253"/>
      <c r="B21" s="143" t="s">
        <v>413</v>
      </c>
      <c r="C21" s="148">
        <v>20</v>
      </c>
      <c r="D21" s="154">
        <v>1</v>
      </c>
      <c r="E21" s="155">
        <v>1.72</v>
      </c>
      <c r="F21" s="155">
        <v>54.44</v>
      </c>
      <c r="G21" s="167">
        <v>1463.99</v>
      </c>
    </row>
    <row r="22" spans="1:7" ht="15" customHeight="1" x14ac:dyDescent="0.25">
      <c r="A22" s="253"/>
      <c r="B22" s="143" t="s">
        <v>414</v>
      </c>
      <c r="C22" s="148">
        <v>20</v>
      </c>
      <c r="D22" s="154">
        <v>1</v>
      </c>
      <c r="E22" s="155">
        <v>1.72</v>
      </c>
      <c r="F22" s="155">
        <v>54.44</v>
      </c>
      <c r="G22" s="167">
        <v>1463.99</v>
      </c>
    </row>
    <row r="23" spans="1:7" ht="15" customHeight="1" x14ac:dyDescent="0.25">
      <c r="A23" s="253"/>
      <c r="B23" s="143" t="s">
        <v>415</v>
      </c>
      <c r="C23" s="148">
        <v>20</v>
      </c>
      <c r="D23" s="154">
        <v>1</v>
      </c>
      <c r="E23" s="155">
        <v>1.57</v>
      </c>
      <c r="F23" s="155">
        <v>49.69</v>
      </c>
      <c r="G23" s="167">
        <v>1463.99</v>
      </c>
    </row>
    <row r="24" spans="1:7" ht="15" customHeight="1" x14ac:dyDescent="0.25">
      <c r="A24" s="253"/>
      <c r="B24" s="143" t="s">
        <v>416</v>
      </c>
      <c r="C24" s="148">
        <v>20</v>
      </c>
      <c r="D24" s="154">
        <v>1</v>
      </c>
      <c r="E24" s="155">
        <v>1.57</v>
      </c>
      <c r="F24" s="155">
        <v>49.69</v>
      </c>
      <c r="G24" s="167">
        <v>1463.99</v>
      </c>
    </row>
    <row r="25" spans="1:7" ht="15" customHeight="1" x14ac:dyDescent="0.25">
      <c r="A25" s="253"/>
      <c r="B25" s="143" t="s">
        <v>417</v>
      </c>
      <c r="C25" s="148">
        <v>20</v>
      </c>
      <c r="D25" s="154">
        <v>1</v>
      </c>
      <c r="E25" s="155">
        <v>1.57</v>
      </c>
      <c r="F25" s="155">
        <v>49.69</v>
      </c>
      <c r="G25" s="167">
        <v>1463.99</v>
      </c>
    </row>
    <row r="26" spans="1:7" ht="15" customHeight="1" x14ac:dyDescent="0.25">
      <c r="A26" s="253"/>
      <c r="B26" s="143" t="s">
        <v>396</v>
      </c>
      <c r="C26" s="148">
        <v>20</v>
      </c>
      <c r="D26" s="154">
        <v>1</v>
      </c>
      <c r="E26" s="155">
        <v>1.57</v>
      </c>
      <c r="F26" s="155">
        <v>49.69</v>
      </c>
      <c r="G26" s="167">
        <v>1463.99</v>
      </c>
    </row>
    <row r="27" spans="1:7" ht="15.75" customHeight="1" thickBot="1" x14ac:dyDescent="0.3">
      <c r="A27" s="254"/>
      <c r="B27" s="144" t="s">
        <v>418</v>
      </c>
      <c r="C27" s="148">
        <v>20</v>
      </c>
      <c r="D27" s="157">
        <v>1</v>
      </c>
      <c r="E27" s="158">
        <v>1.69</v>
      </c>
      <c r="F27" s="158">
        <v>53.49</v>
      </c>
      <c r="G27" s="168">
        <v>1463.99</v>
      </c>
    </row>
    <row r="28" spans="1:7" ht="15" customHeight="1" x14ac:dyDescent="0.25">
      <c r="A28" s="252" t="s">
        <v>18</v>
      </c>
      <c r="B28" s="145" t="s">
        <v>419</v>
      </c>
      <c r="C28" s="148">
        <v>20</v>
      </c>
      <c r="D28" s="151">
        <v>1</v>
      </c>
      <c r="E28" s="152">
        <v>1.829</v>
      </c>
      <c r="F28" s="152">
        <v>57.89</v>
      </c>
      <c r="G28" s="166">
        <v>1463.99</v>
      </c>
    </row>
    <row r="29" spans="1:7" ht="15" customHeight="1" x14ac:dyDescent="0.25">
      <c r="A29" s="253"/>
      <c r="B29" s="143" t="s">
        <v>420</v>
      </c>
      <c r="C29" s="148">
        <v>20</v>
      </c>
      <c r="D29" s="154">
        <v>1</v>
      </c>
      <c r="E29" s="155">
        <v>1.869</v>
      </c>
      <c r="F29" s="155">
        <v>59.16</v>
      </c>
      <c r="G29" s="167">
        <v>1463.99</v>
      </c>
    </row>
    <row r="30" spans="1:7" ht="15" customHeight="1" x14ac:dyDescent="0.25">
      <c r="A30" s="253"/>
      <c r="B30" s="143" t="s">
        <v>421</v>
      </c>
      <c r="C30" s="148">
        <v>20</v>
      </c>
      <c r="D30" s="154">
        <v>1</v>
      </c>
      <c r="E30" s="155">
        <v>2.0419999999999998</v>
      </c>
      <c r="F30" s="155">
        <v>64.63</v>
      </c>
      <c r="G30" s="167">
        <v>1463.99</v>
      </c>
    </row>
    <row r="31" spans="1:7" ht="15" customHeight="1" x14ac:dyDescent="0.25">
      <c r="A31" s="253"/>
      <c r="B31" s="141" t="s">
        <v>422</v>
      </c>
      <c r="C31" s="148">
        <v>20</v>
      </c>
      <c r="D31" s="154">
        <v>1</v>
      </c>
      <c r="E31" s="155">
        <v>2.2400000000000002</v>
      </c>
      <c r="F31" s="155">
        <v>70.900000000000006</v>
      </c>
      <c r="G31" s="167">
        <v>1463.99</v>
      </c>
    </row>
    <row r="32" spans="1:7" ht="15" customHeight="1" x14ac:dyDescent="0.25">
      <c r="A32" s="253"/>
      <c r="B32" s="141" t="s">
        <v>423</v>
      </c>
      <c r="C32" s="148">
        <v>20</v>
      </c>
      <c r="D32" s="154">
        <v>1</v>
      </c>
      <c r="E32" s="155">
        <v>2.456</v>
      </c>
      <c r="F32" s="155">
        <v>77.739999999999995</v>
      </c>
      <c r="G32" s="167">
        <v>1463.99</v>
      </c>
    </row>
    <row r="33" spans="1:7" ht="15" customHeight="1" x14ac:dyDescent="0.25">
      <c r="A33" s="253"/>
      <c r="B33" s="141" t="s">
        <v>424</v>
      </c>
      <c r="C33" s="148">
        <v>20</v>
      </c>
      <c r="D33" s="154">
        <v>1</v>
      </c>
      <c r="E33" s="155">
        <v>2.7770000000000001</v>
      </c>
      <c r="F33" s="155">
        <v>87.9</v>
      </c>
      <c r="G33" s="167">
        <v>1463.99</v>
      </c>
    </row>
    <row r="34" spans="1:7" ht="15" customHeight="1" x14ac:dyDescent="0.25">
      <c r="A34" s="253"/>
      <c r="B34" s="141" t="s">
        <v>425</v>
      </c>
      <c r="C34" s="148">
        <v>20</v>
      </c>
      <c r="D34" s="154">
        <v>1</v>
      </c>
      <c r="E34" s="155">
        <v>2.7770000000000001</v>
      </c>
      <c r="F34" s="155">
        <v>87.9</v>
      </c>
      <c r="G34" s="167">
        <v>1463.99</v>
      </c>
    </row>
    <row r="35" spans="1:7" ht="15" customHeight="1" x14ac:dyDescent="0.25">
      <c r="A35" s="253"/>
      <c r="B35" s="141" t="s">
        <v>426</v>
      </c>
      <c r="C35" s="148">
        <v>20</v>
      </c>
      <c r="D35" s="154">
        <v>1</v>
      </c>
      <c r="E35" s="155">
        <v>2.456</v>
      </c>
      <c r="F35" s="155">
        <v>77.739999999999995</v>
      </c>
      <c r="G35" s="167">
        <v>1463.99</v>
      </c>
    </row>
    <row r="36" spans="1:7" ht="15" customHeight="1" x14ac:dyDescent="0.25">
      <c r="A36" s="253"/>
      <c r="B36" s="141" t="s">
        <v>427</v>
      </c>
      <c r="C36" s="148">
        <v>20</v>
      </c>
      <c r="D36" s="154">
        <v>1</v>
      </c>
      <c r="E36" s="155">
        <v>2.2400000000000002</v>
      </c>
      <c r="F36" s="155">
        <v>70.900000000000006</v>
      </c>
      <c r="G36" s="167">
        <v>1463.99</v>
      </c>
    </row>
    <row r="37" spans="1:7" ht="15" customHeight="1" x14ac:dyDescent="0.25">
      <c r="A37" s="253"/>
      <c r="B37" s="143" t="s">
        <v>428</v>
      </c>
      <c r="C37" s="146">
        <v>20</v>
      </c>
      <c r="D37" s="154">
        <v>1</v>
      </c>
      <c r="E37" s="155">
        <v>2.0419999999999998</v>
      </c>
      <c r="F37" s="155">
        <v>64.63</v>
      </c>
      <c r="G37" s="167">
        <v>1463.99</v>
      </c>
    </row>
    <row r="38" spans="1:7" ht="15" customHeight="1" x14ac:dyDescent="0.25">
      <c r="A38" s="253"/>
      <c r="B38" s="143" t="s">
        <v>429</v>
      </c>
      <c r="C38" s="148">
        <v>20</v>
      </c>
      <c r="D38" s="154">
        <v>1</v>
      </c>
      <c r="E38" s="155">
        <v>1.869</v>
      </c>
      <c r="F38" s="155">
        <v>59.16</v>
      </c>
      <c r="G38" s="167">
        <v>1463.99</v>
      </c>
    </row>
    <row r="39" spans="1:7" ht="15.75" customHeight="1" thickBot="1" x14ac:dyDescent="0.3">
      <c r="A39" s="254"/>
      <c r="B39" s="144" t="s">
        <v>430</v>
      </c>
      <c r="C39" s="149">
        <v>20</v>
      </c>
      <c r="D39" s="157">
        <v>1</v>
      </c>
      <c r="E39" s="158">
        <v>1.829</v>
      </c>
      <c r="F39" s="158">
        <v>57.89</v>
      </c>
      <c r="G39" s="168">
        <v>1463.99</v>
      </c>
    </row>
    <row r="40" spans="1:7" ht="15" customHeight="1" x14ac:dyDescent="0.25">
      <c r="A40" s="252" t="s">
        <v>19</v>
      </c>
      <c r="B40" s="145" t="s">
        <v>431</v>
      </c>
      <c r="C40" s="150">
        <v>20</v>
      </c>
      <c r="D40" s="151">
        <v>1</v>
      </c>
      <c r="E40" s="152">
        <v>1.014</v>
      </c>
      <c r="F40" s="152">
        <v>32.1</v>
      </c>
      <c r="G40" s="166">
        <v>1463.99</v>
      </c>
    </row>
    <row r="41" spans="1:7" ht="15" customHeight="1" x14ac:dyDescent="0.25">
      <c r="A41" s="253"/>
      <c r="B41" s="143" t="s">
        <v>432</v>
      </c>
      <c r="C41" s="148">
        <v>20</v>
      </c>
      <c r="D41" s="154">
        <v>1</v>
      </c>
      <c r="E41" s="155">
        <v>1.306</v>
      </c>
      <c r="F41" s="155">
        <v>41.34</v>
      </c>
      <c r="G41" s="167">
        <v>1463.99</v>
      </c>
    </row>
    <row r="42" spans="1:7" ht="15" customHeight="1" x14ac:dyDescent="0.25">
      <c r="A42" s="253"/>
      <c r="B42" s="143" t="s">
        <v>433</v>
      </c>
      <c r="C42" s="148">
        <v>20</v>
      </c>
      <c r="D42" s="154">
        <v>1</v>
      </c>
      <c r="E42" s="155">
        <v>1.597</v>
      </c>
      <c r="F42" s="155">
        <v>50.55</v>
      </c>
      <c r="G42" s="167">
        <v>1463.99</v>
      </c>
    </row>
    <row r="43" spans="1:7" ht="15" customHeight="1" x14ac:dyDescent="0.25">
      <c r="A43" s="253"/>
      <c r="B43" s="141" t="s">
        <v>434</v>
      </c>
      <c r="C43" s="148">
        <v>20</v>
      </c>
      <c r="D43" s="154">
        <v>1</v>
      </c>
      <c r="E43" s="155">
        <v>1.889</v>
      </c>
      <c r="F43" s="155">
        <v>59.79</v>
      </c>
      <c r="G43" s="167">
        <v>1463.99</v>
      </c>
    </row>
    <row r="44" spans="1:7" ht="15" customHeight="1" x14ac:dyDescent="0.25">
      <c r="A44" s="253"/>
      <c r="B44" s="141" t="s">
        <v>435</v>
      </c>
      <c r="C44" s="148">
        <v>20</v>
      </c>
      <c r="D44" s="154">
        <v>1</v>
      </c>
      <c r="E44" s="155">
        <v>2.1800000000000002</v>
      </c>
      <c r="F44" s="155">
        <v>69</v>
      </c>
      <c r="G44" s="167">
        <v>1463.99</v>
      </c>
    </row>
    <row r="45" spans="1:7" ht="15" customHeight="1" x14ac:dyDescent="0.25">
      <c r="A45" s="253"/>
      <c r="B45" s="141" t="s">
        <v>436</v>
      </c>
      <c r="C45" s="148">
        <v>20</v>
      </c>
      <c r="D45" s="154">
        <v>1</v>
      </c>
      <c r="E45" s="155">
        <v>2.5</v>
      </c>
      <c r="F45" s="155">
        <v>79.13</v>
      </c>
      <c r="G45" s="167">
        <v>1463.99</v>
      </c>
    </row>
    <row r="46" spans="1:7" ht="15" customHeight="1" x14ac:dyDescent="0.25">
      <c r="A46" s="253"/>
      <c r="B46" s="141" t="s">
        <v>437</v>
      </c>
      <c r="C46" s="148">
        <v>20</v>
      </c>
      <c r="D46" s="154">
        <v>1</v>
      </c>
      <c r="E46" s="155">
        <v>2.1800000000000002</v>
      </c>
      <c r="F46" s="155">
        <v>69</v>
      </c>
      <c r="G46" s="167">
        <v>1463.99</v>
      </c>
    </row>
    <row r="47" spans="1:7" ht="15" customHeight="1" x14ac:dyDescent="0.25">
      <c r="A47" s="253"/>
      <c r="B47" s="141" t="s">
        <v>438</v>
      </c>
      <c r="C47" s="148">
        <v>20</v>
      </c>
      <c r="D47" s="154">
        <v>1</v>
      </c>
      <c r="E47" s="155">
        <v>1.889</v>
      </c>
      <c r="F47" s="155">
        <v>59.79</v>
      </c>
      <c r="G47" s="167">
        <v>1463.99</v>
      </c>
    </row>
    <row r="48" spans="1:7" ht="15" customHeight="1" x14ac:dyDescent="0.25">
      <c r="A48" s="253"/>
      <c r="B48" s="143" t="s">
        <v>439</v>
      </c>
      <c r="C48" s="148">
        <v>20</v>
      </c>
      <c r="D48" s="154">
        <v>1</v>
      </c>
      <c r="E48" s="155">
        <v>1.597</v>
      </c>
      <c r="F48" s="155">
        <v>50.55</v>
      </c>
      <c r="G48" s="167">
        <v>1463.99</v>
      </c>
    </row>
    <row r="49" spans="1:7" ht="15" customHeight="1" x14ac:dyDescent="0.25">
      <c r="A49" s="253"/>
      <c r="B49" s="143" t="s">
        <v>440</v>
      </c>
      <c r="C49" s="148">
        <v>20</v>
      </c>
      <c r="D49" s="154">
        <v>1</v>
      </c>
      <c r="E49" s="155">
        <v>1.306</v>
      </c>
      <c r="F49" s="155">
        <v>41.34</v>
      </c>
      <c r="G49" s="167">
        <v>1463.99</v>
      </c>
    </row>
    <row r="50" spans="1:7" ht="15.75" customHeight="1" thickBot="1" x14ac:dyDescent="0.3">
      <c r="A50" s="253"/>
      <c r="B50" s="144" t="s">
        <v>441</v>
      </c>
      <c r="C50" s="149">
        <v>4</v>
      </c>
      <c r="D50" s="157">
        <v>1</v>
      </c>
      <c r="E50" s="158">
        <v>1.014</v>
      </c>
      <c r="F50" s="158">
        <v>69.55</v>
      </c>
      <c r="G50" s="168">
        <v>908.21</v>
      </c>
    </row>
    <row r="51" spans="1:7" x14ac:dyDescent="0.25">
      <c r="C51" s="75"/>
      <c r="D51" s="73"/>
      <c r="E51" s="73"/>
      <c r="F51" s="73"/>
      <c r="G51" s="73"/>
    </row>
    <row r="52" spans="1:7" x14ac:dyDescent="0.25">
      <c r="C52" s="62"/>
      <c r="D52" s="66"/>
      <c r="E52" s="66"/>
      <c r="F52" s="66"/>
      <c r="G52" s="66"/>
    </row>
    <row r="53" spans="1:7" x14ac:dyDescent="0.25">
      <c r="C53" s="64"/>
    </row>
  </sheetData>
  <mergeCells count="4">
    <mergeCell ref="A4:A15"/>
    <mergeCell ref="A16:A27"/>
    <mergeCell ref="A28:A39"/>
    <mergeCell ref="A40:A5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alcularNez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552450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7"/>
  <dimension ref="A1:G53"/>
  <sheetViews>
    <sheetView topLeftCell="A41" workbookViewId="0">
      <selection activeCell="O65" sqref="O65"/>
    </sheetView>
  </sheetViews>
  <sheetFormatPr defaultRowHeight="15" x14ac:dyDescent="0.25"/>
  <cols>
    <col min="1" max="1" width="15.28515625" style="60" customWidth="1"/>
    <col min="2" max="2" width="8.85546875" style="60" bestFit="1" customWidth="1"/>
    <col min="3" max="3" width="9.140625" style="60"/>
    <col min="5" max="5" width="10.140625" customWidth="1"/>
    <col min="6" max="6" width="12.28515625" customWidth="1"/>
    <col min="7" max="7" width="9.140625" style="60"/>
  </cols>
  <sheetData>
    <row r="1" spans="1:7" x14ac:dyDescent="0.25">
      <c r="A1" s="60">
        <v>1</v>
      </c>
      <c r="B1" s="60">
        <f>A1+1</f>
        <v>2</v>
      </c>
      <c r="C1" s="60">
        <f>B1+1</f>
        <v>3</v>
      </c>
      <c r="D1">
        <v>4</v>
      </c>
      <c r="E1">
        <v>5</v>
      </c>
      <c r="F1">
        <v>6</v>
      </c>
      <c r="G1" s="60">
        <v>7</v>
      </c>
    </row>
    <row r="2" spans="1:7" ht="45.75" thickBot="1" x14ac:dyDescent="0.3">
      <c r="A2" s="88" t="s">
        <v>394</v>
      </c>
      <c r="B2" s="68">
        <f>'Calcular Ney'!B2</f>
        <v>2</v>
      </c>
      <c r="C2" s="68" t="s">
        <v>384</v>
      </c>
      <c r="D2" s="69">
        <f>'Calcular Ney'!D2</f>
        <v>1</v>
      </c>
    </row>
    <row r="3" spans="1:7" ht="48" thickBot="1" x14ac:dyDescent="0.3">
      <c r="A3" s="124" t="s">
        <v>0</v>
      </c>
      <c r="B3" s="124" t="s">
        <v>1</v>
      </c>
      <c r="C3" s="171" t="s">
        <v>364</v>
      </c>
      <c r="D3" s="171" t="s">
        <v>372</v>
      </c>
      <c r="E3" s="171" t="s">
        <v>377</v>
      </c>
      <c r="F3" s="171" t="s">
        <v>37</v>
      </c>
      <c r="G3" s="172" t="s">
        <v>378</v>
      </c>
    </row>
    <row r="4" spans="1:7" ht="15" customHeight="1" x14ac:dyDescent="0.25">
      <c r="A4" s="252" t="s">
        <v>16</v>
      </c>
      <c r="B4" s="142">
        <v>1</v>
      </c>
      <c r="C4" s="279">
        <v>20</v>
      </c>
      <c r="D4" s="280">
        <v>88.29</v>
      </c>
      <c r="E4" s="280">
        <v>1463.99</v>
      </c>
      <c r="F4" s="280">
        <v>0.78935609589933176</v>
      </c>
      <c r="G4" s="281">
        <v>87.13</v>
      </c>
    </row>
    <row r="5" spans="1:7" ht="15" customHeight="1" x14ac:dyDescent="0.25">
      <c r="A5" s="253"/>
      <c r="B5" s="143" t="s">
        <v>397</v>
      </c>
      <c r="C5" s="278"/>
      <c r="D5" s="275"/>
      <c r="E5" s="275"/>
      <c r="F5" s="275"/>
      <c r="G5" s="276"/>
    </row>
    <row r="6" spans="1:7" ht="15" customHeight="1" x14ac:dyDescent="0.25">
      <c r="A6" s="253"/>
      <c r="B6" s="143" t="s">
        <v>398</v>
      </c>
      <c r="C6" s="277">
        <v>20</v>
      </c>
      <c r="D6" s="271">
        <v>95.04</v>
      </c>
      <c r="E6" s="271">
        <v>1463.99</v>
      </c>
      <c r="F6" s="271">
        <v>0.78935609589933176</v>
      </c>
      <c r="G6" s="273">
        <v>93.69</v>
      </c>
    </row>
    <row r="7" spans="1:7" ht="15" customHeight="1" x14ac:dyDescent="0.25">
      <c r="A7" s="253"/>
      <c r="B7" s="143" t="s">
        <v>399</v>
      </c>
      <c r="C7" s="278"/>
      <c r="D7" s="275"/>
      <c r="E7" s="275"/>
      <c r="F7" s="275"/>
      <c r="G7" s="276"/>
    </row>
    <row r="8" spans="1:7" ht="15" customHeight="1" x14ac:dyDescent="0.25">
      <c r="A8" s="253"/>
      <c r="B8" s="143" t="s">
        <v>400</v>
      </c>
      <c r="C8" s="277">
        <v>3</v>
      </c>
      <c r="D8" s="271">
        <v>3.9</v>
      </c>
      <c r="E8" s="271">
        <v>997.77</v>
      </c>
      <c r="F8" s="271">
        <v>0.79193066347878061</v>
      </c>
      <c r="G8" s="273">
        <v>3.9</v>
      </c>
    </row>
    <row r="9" spans="1:7" ht="15" customHeight="1" x14ac:dyDescent="0.25">
      <c r="A9" s="253"/>
      <c r="B9" s="143" t="s">
        <v>401</v>
      </c>
      <c r="C9" s="278"/>
      <c r="D9" s="275"/>
      <c r="E9" s="275"/>
      <c r="F9" s="275"/>
      <c r="G9" s="276"/>
    </row>
    <row r="10" spans="1:7" ht="15" customHeight="1" x14ac:dyDescent="0.25">
      <c r="A10" s="253"/>
      <c r="B10" s="143" t="s">
        <v>402</v>
      </c>
      <c r="C10" s="277">
        <v>12</v>
      </c>
      <c r="D10" s="271">
        <v>25.28</v>
      </c>
      <c r="E10" s="271">
        <v>576.36</v>
      </c>
      <c r="F10" s="271">
        <v>0.79596892041201839</v>
      </c>
      <c r="G10" s="273">
        <v>25.05</v>
      </c>
    </row>
    <row r="11" spans="1:7" ht="15" customHeight="1" x14ac:dyDescent="0.25">
      <c r="A11" s="253"/>
      <c r="B11" s="143" t="s">
        <v>403</v>
      </c>
      <c r="C11" s="278"/>
      <c r="D11" s="275"/>
      <c r="E11" s="275"/>
      <c r="F11" s="275"/>
      <c r="G11" s="276"/>
    </row>
    <row r="12" spans="1:7" ht="15" customHeight="1" x14ac:dyDescent="0.25">
      <c r="A12" s="253"/>
      <c r="B12" s="143" t="s">
        <v>404</v>
      </c>
      <c r="C12" s="277">
        <v>20</v>
      </c>
      <c r="D12" s="271">
        <v>95.04</v>
      </c>
      <c r="E12" s="271">
        <v>1463.99</v>
      </c>
      <c r="F12" s="271">
        <v>0.78935609589933176</v>
      </c>
      <c r="G12" s="273">
        <v>93.69</v>
      </c>
    </row>
    <row r="13" spans="1:7" ht="15" customHeight="1" x14ac:dyDescent="0.25">
      <c r="A13" s="253"/>
      <c r="B13" s="143" t="s">
        <v>405</v>
      </c>
      <c r="C13" s="278"/>
      <c r="D13" s="275"/>
      <c r="E13" s="275"/>
      <c r="F13" s="275"/>
      <c r="G13" s="276"/>
    </row>
    <row r="14" spans="1:7" ht="15" customHeight="1" x14ac:dyDescent="0.25">
      <c r="A14" s="253"/>
      <c r="B14" s="143" t="s">
        <v>406</v>
      </c>
      <c r="C14" s="277">
        <v>20</v>
      </c>
      <c r="D14" s="271">
        <v>88.29</v>
      </c>
      <c r="E14" s="271">
        <v>1463.99</v>
      </c>
      <c r="F14" s="271">
        <v>0.78935609589933176</v>
      </c>
      <c r="G14" s="273">
        <v>87.13</v>
      </c>
    </row>
    <row r="15" spans="1:7" ht="15.75" customHeight="1" thickBot="1" x14ac:dyDescent="0.3">
      <c r="A15" s="254"/>
      <c r="B15" s="144" t="s">
        <v>407</v>
      </c>
      <c r="C15" s="282"/>
      <c r="D15" s="272"/>
      <c r="E15" s="272"/>
      <c r="F15" s="272"/>
      <c r="G15" s="274"/>
    </row>
    <row r="16" spans="1:7" ht="15" customHeight="1" x14ac:dyDescent="0.25">
      <c r="A16" s="252" t="s">
        <v>17</v>
      </c>
      <c r="B16" s="145" t="s">
        <v>408</v>
      </c>
      <c r="C16" s="279">
        <v>4</v>
      </c>
      <c r="D16" s="280">
        <v>6.11</v>
      </c>
      <c r="E16" s="280">
        <v>908.21</v>
      </c>
      <c r="F16" s="280">
        <v>0.79506962739932252</v>
      </c>
      <c r="G16" s="281">
        <v>6.1</v>
      </c>
    </row>
    <row r="17" spans="1:7" ht="15" customHeight="1" x14ac:dyDescent="0.25">
      <c r="A17" s="253"/>
      <c r="B17" s="143" t="s">
        <v>409</v>
      </c>
      <c r="C17" s="278"/>
      <c r="D17" s="275"/>
      <c r="E17" s="275"/>
      <c r="F17" s="275"/>
      <c r="G17" s="276"/>
    </row>
    <row r="18" spans="1:7" ht="15" customHeight="1" x14ac:dyDescent="0.25">
      <c r="A18" s="253"/>
      <c r="B18" s="143" t="s">
        <v>410</v>
      </c>
      <c r="C18" s="277">
        <v>32</v>
      </c>
      <c r="D18" s="271">
        <v>790.73</v>
      </c>
      <c r="E18" s="271">
        <v>12203.89</v>
      </c>
      <c r="F18" s="271">
        <v>0.77073388701035894</v>
      </c>
      <c r="G18" s="273">
        <v>778.57</v>
      </c>
    </row>
    <row r="19" spans="1:7" ht="15" customHeight="1" x14ac:dyDescent="0.25">
      <c r="A19" s="253"/>
      <c r="B19" s="143" t="s">
        <v>411</v>
      </c>
      <c r="C19" s="278"/>
      <c r="D19" s="275"/>
      <c r="E19" s="275"/>
      <c r="F19" s="275"/>
      <c r="G19" s="276"/>
    </row>
    <row r="20" spans="1:7" ht="15" customHeight="1" x14ac:dyDescent="0.25">
      <c r="A20" s="253"/>
      <c r="B20" s="143" t="s">
        <v>412</v>
      </c>
      <c r="C20" s="277">
        <v>20</v>
      </c>
      <c r="D20" s="271">
        <v>89.91</v>
      </c>
      <c r="E20" s="271">
        <v>1463.99</v>
      </c>
      <c r="F20" s="271">
        <v>0.78935609589933176</v>
      </c>
      <c r="G20" s="273">
        <v>88.7</v>
      </c>
    </row>
    <row r="21" spans="1:7" ht="15" customHeight="1" x14ac:dyDescent="0.25">
      <c r="A21" s="253"/>
      <c r="B21" s="143" t="s">
        <v>413</v>
      </c>
      <c r="C21" s="278"/>
      <c r="D21" s="275"/>
      <c r="E21" s="275"/>
      <c r="F21" s="275"/>
      <c r="G21" s="276"/>
    </row>
    <row r="22" spans="1:7" ht="15" customHeight="1" x14ac:dyDescent="0.25">
      <c r="A22" s="253"/>
      <c r="B22" s="143" t="s">
        <v>414</v>
      </c>
      <c r="C22" s="277">
        <v>20</v>
      </c>
      <c r="D22" s="271">
        <v>89.91</v>
      </c>
      <c r="E22" s="271">
        <v>1463.99</v>
      </c>
      <c r="F22" s="271">
        <v>0.78935609589933176</v>
      </c>
      <c r="G22" s="273">
        <v>88.7</v>
      </c>
    </row>
    <row r="23" spans="1:7" ht="15" customHeight="1" x14ac:dyDescent="0.25">
      <c r="A23" s="253"/>
      <c r="B23" s="143" t="s">
        <v>415</v>
      </c>
      <c r="C23" s="278"/>
      <c r="D23" s="275"/>
      <c r="E23" s="275"/>
      <c r="F23" s="275"/>
      <c r="G23" s="276"/>
    </row>
    <row r="24" spans="1:7" ht="15" customHeight="1" x14ac:dyDescent="0.25">
      <c r="A24" s="253"/>
      <c r="B24" s="143" t="s">
        <v>416</v>
      </c>
      <c r="C24" s="277">
        <v>20</v>
      </c>
      <c r="D24" s="271">
        <v>98.71</v>
      </c>
      <c r="E24" s="271">
        <v>1463.99</v>
      </c>
      <c r="F24" s="271">
        <v>0.78935609589933176</v>
      </c>
      <c r="G24" s="273">
        <v>97.25</v>
      </c>
    </row>
    <row r="25" spans="1:7" ht="15" customHeight="1" x14ac:dyDescent="0.25">
      <c r="A25" s="253"/>
      <c r="B25" s="143" t="s">
        <v>417</v>
      </c>
      <c r="C25" s="278"/>
      <c r="D25" s="275"/>
      <c r="E25" s="275"/>
      <c r="F25" s="275"/>
      <c r="G25" s="276"/>
    </row>
    <row r="26" spans="1:7" ht="15" customHeight="1" x14ac:dyDescent="0.25">
      <c r="A26" s="253"/>
      <c r="B26" s="143" t="s">
        <v>396</v>
      </c>
      <c r="C26" s="277">
        <v>20</v>
      </c>
      <c r="D26" s="271">
        <v>91.57</v>
      </c>
      <c r="E26" s="271">
        <v>1463.99</v>
      </c>
      <c r="F26" s="271">
        <v>0.78935609589933176</v>
      </c>
      <c r="G26" s="273">
        <v>90.32</v>
      </c>
    </row>
    <row r="27" spans="1:7" ht="15.75" customHeight="1" thickBot="1" x14ac:dyDescent="0.3">
      <c r="A27" s="254"/>
      <c r="B27" s="144" t="s">
        <v>418</v>
      </c>
      <c r="C27" s="282"/>
      <c r="D27" s="272"/>
      <c r="E27" s="272"/>
      <c r="F27" s="272"/>
      <c r="G27" s="274"/>
    </row>
    <row r="28" spans="1:7" ht="15" customHeight="1" x14ac:dyDescent="0.25">
      <c r="A28" s="252" t="s">
        <v>18</v>
      </c>
      <c r="B28" s="145" t="s">
        <v>419</v>
      </c>
      <c r="C28" s="179">
        <v>20</v>
      </c>
      <c r="D28" s="180">
        <v>290.92</v>
      </c>
      <c r="E28" s="180">
        <v>1463.99</v>
      </c>
      <c r="F28" s="180">
        <v>0.78935609589933176</v>
      </c>
      <c r="G28" s="181">
        <v>277.27</v>
      </c>
    </row>
    <row r="29" spans="1:7" ht="15" customHeight="1" x14ac:dyDescent="0.25">
      <c r="A29" s="253"/>
      <c r="B29" s="143" t="s">
        <v>420</v>
      </c>
      <c r="C29" s="174">
        <v>20</v>
      </c>
      <c r="D29" s="173">
        <v>278.60000000000002</v>
      </c>
      <c r="E29" s="173">
        <v>1463.99</v>
      </c>
      <c r="F29" s="173">
        <v>0.78935609589933176</v>
      </c>
      <c r="G29" s="175">
        <v>266.14</v>
      </c>
    </row>
    <row r="30" spans="1:7" ht="15" customHeight="1" x14ac:dyDescent="0.25">
      <c r="A30" s="253"/>
      <c r="B30" s="143" t="s">
        <v>421</v>
      </c>
      <c r="C30" s="174">
        <v>20</v>
      </c>
      <c r="D30" s="173">
        <v>233.39</v>
      </c>
      <c r="E30" s="173">
        <v>1463.99</v>
      </c>
      <c r="F30" s="173">
        <v>0.78935609589933176</v>
      </c>
      <c r="G30" s="175">
        <v>224.8</v>
      </c>
    </row>
    <row r="31" spans="1:7" ht="15" customHeight="1" x14ac:dyDescent="0.25">
      <c r="A31" s="253"/>
      <c r="B31" s="141" t="s">
        <v>422</v>
      </c>
      <c r="C31" s="174">
        <v>20</v>
      </c>
      <c r="D31" s="173">
        <v>193.96</v>
      </c>
      <c r="E31" s="173">
        <v>1463.99</v>
      </c>
      <c r="F31" s="173">
        <v>0.78935609589933176</v>
      </c>
      <c r="G31" s="175">
        <v>188.12</v>
      </c>
    </row>
    <row r="32" spans="1:7" ht="15" customHeight="1" x14ac:dyDescent="0.25">
      <c r="A32" s="253"/>
      <c r="B32" s="141" t="s">
        <v>423</v>
      </c>
      <c r="C32" s="174">
        <v>20</v>
      </c>
      <c r="D32" s="173">
        <v>161.34</v>
      </c>
      <c r="E32" s="173">
        <v>1463.99</v>
      </c>
      <c r="F32" s="173">
        <v>0.78935609589933176</v>
      </c>
      <c r="G32" s="175">
        <v>157.35</v>
      </c>
    </row>
    <row r="33" spans="1:7" ht="15" customHeight="1" x14ac:dyDescent="0.25">
      <c r="A33" s="253"/>
      <c r="B33" s="141" t="s">
        <v>424</v>
      </c>
      <c r="C33" s="174">
        <v>20</v>
      </c>
      <c r="D33" s="173">
        <v>126.2</v>
      </c>
      <c r="E33" s="173">
        <v>1463.99</v>
      </c>
      <c r="F33" s="173">
        <v>0.78935609589933176</v>
      </c>
      <c r="G33" s="175">
        <v>123.79</v>
      </c>
    </row>
    <row r="34" spans="1:7" ht="15" customHeight="1" x14ac:dyDescent="0.25">
      <c r="A34" s="253"/>
      <c r="B34" s="141" t="s">
        <v>425</v>
      </c>
      <c r="C34" s="174">
        <v>20</v>
      </c>
      <c r="D34" s="173">
        <v>126.2</v>
      </c>
      <c r="E34" s="173">
        <v>1463.99</v>
      </c>
      <c r="F34" s="173">
        <v>0.78935609589933176</v>
      </c>
      <c r="G34" s="175">
        <v>123.79</v>
      </c>
    </row>
    <row r="35" spans="1:7" ht="15" customHeight="1" x14ac:dyDescent="0.25">
      <c r="A35" s="253"/>
      <c r="B35" s="141" t="s">
        <v>426</v>
      </c>
      <c r="C35" s="174">
        <v>20</v>
      </c>
      <c r="D35" s="173">
        <v>161.34</v>
      </c>
      <c r="E35" s="173">
        <v>1463.99</v>
      </c>
      <c r="F35" s="173">
        <v>0.78935609589933176</v>
      </c>
      <c r="G35" s="175">
        <v>157.35</v>
      </c>
    </row>
    <row r="36" spans="1:7" ht="15" customHeight="1" x14ac:dyDescent="0.25">
      <c r="A36" s="253"/>
      <c r="B36" s="141" t="s">
        <v>427</v>
      </c>
      <c r="C36" s="174">
        <v>20</v>
      </c>
      <c r="D36" s="173">
        <v>193.96</v>
      </c>
      <c r="E36" s="173">
        <v>1463.99</v>
      </c>
      <c r="F36" s="173">
        <v>0.78935609589933176</v>
      </c>
      <c r="G36" s="175">
        <v>188.12</v>
      </c>
    </row>
    <row r="37" spans="1:7" ht="15" customHeight="1" x14ac:dyDescent="0.25">
      <c r="A37" s="253"/>
      <c r="B37" s="143" t="s">
        <v>428</v>
      </c>
      <c r="C37" s="174">
        <v>20</v>
      </c>
      <c r="D37" s="173">
        <v>233.39</v>
      </c>
      <c r="E37" s="173">
        <v>1463.99</v>
      </c>
      <c r="F37" s="173">
        <v>0.78935609589933176</v>
      </c>
      <c r="G37" s="175">
        <v>224.8</v>
      </c>
    </row>
    <row r="38" spans="1:7" ht="15" customHeight="1" x14ac:dyDescent="0.25">
      <c r="A38" s="253"/>
      <c r="B38" s="143" t="s">
        <v>429</v>
      </c>
      <c r="C38" s="174">
        <v>20</v>
      </c>
      <c r="D38" s="173">
        <v>278.60000000000002</v>
      </c>
      <c r="E38" s="173">
        <v>1463.99</v>
      </c>
      <c r="F38" s="173">
        <v>0.78935609589933176</v>
      </c>
      <c r="G38" s="175">
        <v>266.14</v>
      </c>
    </row>
    <row r="39" spans="1:7" ht="15.75" customHeight="1" thickBot="1" x14ac:dyDescent="0.3">
      <c r="A39" s="254"/>
      <c r="B39" s="144" t="s">
        <v>430</v>
      </c>
      <c r="C39" s="176">
        <v>20</v>
      </c>
      <c r="D39" s="177">
        <v>290.92</v>
      </c>
      <c r="E39" s="177">
        <v>1463.99</v>
      </c>
      <c r="F39" s="177">
        <v>0.78935609589933176</v>
      </c>
      <c r="G39" s="178">
        <v>277.27</v>
      </c>
    </row>
    <row r="40" spans="1:7" ht="15" customHeight="1" x14ac:dyDescent="0.25">
      <c r="A40" s="252" t="s">
        <v>19</v>
      </c>
      <c r="B40" s="145" t="s">
        <v>431</v>
      </c>
      <c r="C40" s="179">
        <v>20</v>
      </c>
      <c r="D40" s="180">
        <v>946.51</v>
      </c>
      <c r="E40" s="180">
        <v>1463.99</v>
      </c>
      <c r="F40" s="180">
        <v>0.78935609589933176</v>
      </c>
      <c r="G40" s="181">
        <v>768</v>
      </c>
    </row>
    <row r="41" spans="1:7" ht="15" customHeight="1" x14ac:dyDescent="0.25">
      <c r="A41" s="253"/>
      <c r="B41" s="143" t="s">
        <v>432</v>
      </c>
      <c r="C41" s="174">
        <v>20</v>
      </c>
      <c r="D41" s="173">
        <v>570.58000000000004</v>
      </c>
      <c r="E41" s="173">
        <v>1463.99</v>
      </c>
      <c r="F41" s="173">
        <v>0.78935609589933176</v>
      </c>
      <c r="G41" s="175">
        <v>512.45000000000005</v>
      </c>
    </row>
    <row r="42" spans="1:7" ht="15" customHeight="1" x14ac:dyDescent="0.25">
      <c r="A42" s="253"/>
      <c r="B42" s="143" t="s">
        <v>433</v>
      </c>
      <c r="C42" s="174">
        <v>20</v>
      </c>
      <c r="D42" s="173">
        <v>381.59</v>
      </c>
      <c r="E42" s="173">
        <v>1463.99</v>
      </c>
      <c r="F42" s="173">
        <v>0.78935609589933176</v>
      </c>
      <c r="G42" s="175">
        <v>357.29</v>
      </c>
    </row>
    <row r="43" spans="1:7" ht="15" customHeight="1" x14ac:dyDescent="0.25">
      <c r="A43" s="253"/>
      <c r="B43" s="141" t="s">
        <v>434</v>
      </c>
      <c r="C43" s="174">
        <v>20</v>
      </c>
      <c r="D43" s="173">
        <v>272.73</v>
      </c>
      <c r="E43" s="173">
        <v>1463.99</v>
      </c>
      <c r="F43" s="173">
        <v>0.78935609589933176</v>
      </c>
      <c r="G43" s="175">
        <v>260.82</v>
      </c>
    </row>
    <row r="44" spans="1:7" ht="15" customHeight="1" x14ac:dyDescent="0.25">
      <c r="A44" s="253"/>
      <c r="B44" s="141" t="s">
        <v>435</v>
      </c>
      <c r="C44" s="174">
        <v>20</v>
      </c>
      <c r="D44" s="173">
        <v>204.78</v>
      </c>
      <c r="E44" s="173">
        <v>1463.99</v>
      </c>
      <c r="F44" s="173">
        <v>0.78935609589933176</v>
      </c>
      <c r="G44" s="175">
        <v>198.24</v>
      </c>
    </row>
    <row r="45" spans="1:7" ht="15" customHeight="1" x14ac:dyDescent="0.25">
      <c r="A45" s="253"/>
      <c r="B45" s="141" t="s">
        <v>436</v>
      </c>
      <c r="C45" s="174">
        <v>20</v>
      </c>
      <c r="D45" s="173">
        <v>155.71</v>
      </c>
      <c r="E45" s="173">
        <v>1463.99</v>
      </c>
      <c r="F45" s="173">
        <v>0.78935609589933176</v>
      </c>
      <c r="G45" s="175">
        <v>152</v>
      </c>
    </row>
    <row r="46" spans="1:7" ht="15" customHeight="1" x14ac:dyDescent="0.25">
      <c r="A46" s="253"/>
      <c r="B46" s="141" t="s">
        <v>437</v>
      </c>
      <c r="C46" s="174">
        <v>20</v>
      </c>
      <c r="D46" s="173">
        <v>204.78</v>
      </c>
      <c r="E46" s="173">
        <v>1463.99</v>
      </c>
      <c r="F46" s="173">
        <v>0.78935609589933176</v>
      </c>
      <c r="G46" s="175">
        <v>198.24</v>
      </c>
    </row>
    <row r="47" spans="1:7" ht="15" customHeight="1" x14ac:dyDescent="0.25">
      <c r="A47" s="253"/>
      <c r="B47" s="141" t="s">
        <v>438</v>
      </c>
      <c r="C47" s="174">
        <v>20</v>
      </c>
      <c r="D47" s="173">
        <v>272.73</v>
      </c>
      <c r="E47" s="173">
        <v>1463.99</v>
      </c>
      <c r="F47" s="173">
        <v>0.78935609589933176</v>
      </c>
      <c r="G47" s="175">
        <v>260.82</v>
      </c>
    </row>
    <row r="48" spans="1:7" ht="15" customHeight="1" x14ac:dyDescent="0.25">
      <c r="A48" s="253"/>
      <c r="B48" s="143" t="s">
        <v>439</v>
      </c>
      <c r="C48" s="174">
        <v>20</v>
      </c>
      <c r="D48" s="173">
        <v>381.59</v>
      </c>
      <c r="E48" s="173">
        <v>1463.99</v>
      </c>
      <c r="F48" s="173">
        <v>0.78935609589933176</v>
      </c>
      <c r="G48" s="175">
        <v>357.29</v>
      </c>
    </row>
    <row r="49" spans="1:7" ht="15" customHeight="1" x14ac:dyDescent="0.25">
      <c r="A49" s="253"/>
      <c r="B49" s="143" t="s">
        <v>440</v>
      </c>
      <c r="C49" s="174">
        <v>20</v>
      </c>
      <c r="D49" s="173">
        <v>570.58000000000004</v>
      </c>
      <c r="E49" s="173">
        <v>1463.99</v>
      </c>
      <c r="F49" s="173">
        <v>0.78935609589933176</v>
      </c>
      <c r="G49" s="175">
        <v>512.45000000000005</v>
      </c>
    </row>
    <row r="50" spans="1:7" ht="15.75" customHeight="1" thickBot="1" x14ac:dyDescent="0.3">
      <c r="A50" s="253"/>
      <c r="B50" s="144" t="s">
        <v>441</v>
      </c>
      <c r="C50" s="176">
        <v>4</v>
      </c>
      <c r="D50" s="177">
        <v>63.58</v>
      </c>
      <c r="E50" s="177">
        <v>908.21</v>
      </c>
      <c r="F50" s="177">
        <v>0.79506962739932252</v>
      </c>
      <c r="G50" s="178">
        <v>62.63</v>
      </c>
    </row>
    <row r="51" spans="1:7" x14ac:dyDescent="0.25">
      <c r="C51" s="75"/>
      <c r="D51" s="74"/>
      <c r="E51" s="74"/>
      <c r="F51" s="74"/>
      <c r="G51" s="74"/>
    </row>
    <row r="52" spans="1:7" x14ac:dyDescent="0.25">
      <c r="C52" s="62"/>
    </row>
    <row r="53" spans="1:7" x14ac:dyDescent="0.25">
      <c r="C53" s="64"/>
    </row>
  </sheetData>
  <mergeCells count="64">
    <mergeCell ref="D18:D19"/>
    <mergeCell ref="G14:G15"/>
    <mergeCell ref="A16:A27"/>
    <mergeCell ref="A28:A39"/>
    <mergeCell ref="A40:A50"/>
    <mergeCell ref="C20:C21"/>
    <mergeCell ref="D20:D21"/>
    <mergeCell ref="C26:C27"/>
    <mergeCell ref="D26:D27"/>
    <mergeCell ref="A4:A15"/>
    <mergeCell ref="C18:C19"/>
    <mergeCell ref="E8:E9"/>
    <mergeCell ref="F8:F9"/>
    <mergeCell ref="G8:G9"/>
    <mergeCell ref="E10:E11"/>
    <mergeCell ref="F10:F11"/>
    <mergeCell ref="C8:C9"/>
    <mergeCell ref="D8:D9"/>
    <mergeCell ref="C12:C13"/>
    <mergeCell ref="D12:D13"/>
    <mergeCell ref="C10:C11"/>
    <mergeCell ref="D10:D11"/>
    <mergeCell ref="E4:E5"/>
    <mergeCell ref="F4:F5"/>
    <mergeCell ref="G4:G5"/>
    <mergeCell ref="C6:C7"/>
    <mergeCell ref="D6:D7"/>
    <mergeCell ref="E6:E7"/>
    <mergeCell ref="F6:F7"/>
    <mergeCell ref="G6:G7"/>
    <mergeCell ref="C4:C5"/>
    <mergeCell ref="D4:D5"/>
    <mergeCell ref="E18:E19"/>
    <mergeCell ref="F18:F19"/>
    <mergeCell ref="G18:G19"/>
    <mergeCell ref="G10:G11"/>
    <mergeCell ref="C16:C17"/>
    <mergeCell ref="D16:D17"/>
    <mergeCell ref="E16:E17"/>
    <mergeCell ref="F16:F17"/>
    <mergeCell ref="G16:G17"/>
    <mergeCell ref="E12:E13"/>
    <mergeCell ref="F12:F13"/>
    <mergeCell ref="G12:G13"/>
    <mergeCell ref="C14:C15"/>
    <mergeCell ref="D14:D15"/>
    <mergeCell ref="E14:E15"/>
    <mergeCell ref="F14:F15"/>
    <mergeCell ref="C24:C25"/>
    <mergeCell ref="D24:D25"/>
    <mergeCell ref="E24:E25"/>
    <mergeCell ref="F24:F25"/>
    <mergeCell ref="G24:G25"/>
    <mergeCell ref="C22:C23"/>
    <mergeCell ref="D22:D23"/>
    <mergeCell ref="E22:E23"/>
    <mergeCell ref="F22:F23"/>
    <mergeCell ref="G22:G23"/>
    <mergeCell ref="E26:E27"/>
    <mergeCell ref="F26:F27"/>
    <mergeCell ref="G26:G27"/>
    <mergeCell ref="E20:E21"/>
    <mergeCell ref="F20:F21"/>
    <mergeCell ref="G20:G2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alcularNeyz">
                <anchor moveWithCells="1" sizeWithCells="1">
                  <from>
                    <xdr:col>7</xdr:col>
                    <xdr:colOff>600075</xdr:colOff>
                    <xdr:row>2</xdr:row>
                    <xdr:rowOff>19050</xdr:rowOff>
                  </from>
                  <to>
                    <xdr:col>9</xdr:col>
                    <xdr:colOff>590550</xdr:colOff>
                    <xdr:row>2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8"/>
  <dimension ref="A1:G53"/>
  <sheetViews>
    <sheetView workbookViewId="0">
      <selection activeCell="O27" sqref="O27"/>
    </sheetView>
  </sheetViews>
  <sheetFormatPr defaultRowHeight="15" x14ac:dyDescent="0.25"/>
  <cols>
    <col min="1" max="1" width="15.28515625" style="60" customWidth="1"/>
    <col min="2" max="2" width="8.85546875" style="60" bestFit="1" customWidth="1"/>
    <col min="3" max="4" width="9.140625" style="60"/>
    <col min="5" max="5" width="10.140625" style="60" customWidth="1"/>
    <col min="6" max="6" width="12.28515625" style="60" customWidth="1"/>
    <col min="7" max="7" width="11.85546875" style="60" customWidth="1"/>
  </cols>
  <sheetData>
    <row r="1" spans="1:7" x14ac:dyDescent="0.25">
      <c r="A1" s="60">
        <v>1</v>
      </c>
      <c r="B1" s="60">
        <f>A1+1</f>
        <v>2</v>
      </c>
      <c r="C1" s="60">
        <f>B1+1</f>
        <v>3</v>
      </c>
      <c r="D1" s="60">
        <v>4</v>
      </c>
      <c r="E1" s="60">
        <v>5</v>
      </c>
      <c r="F1" s="60">
        <v>6</v>
      </c>
      <c r="G1" s="60">
        <v>7</v>
      </c>
    </row>
    <row r="2" spans="1:7" ht="15.75" thickBot="1" x14ac:dyDescent="0.3">
      <c r="A2" s="65"/>
      <c r="C2" s="63"/>
    </row>
    <row r="3" spans="1:7" ht="63.75" thickBot="1" x14ac:dyDescent="0.3">
      <c r="A3" s="124" t="s">
        <v>0</v>
      </c>
      <c r="B3" s="124" t="s">
        <v>1</v>
      </c>
      <c r="C3" s="124" t="s">
        <v>364</v>
      </c>
      <c r="D3" s="124" t="s">
        <v>379</v>
      </c>
      <c r="E3" s="124" t="s">
        <v>380</v>
      </c>
      <c r="F3" s="124" t="s">
        <v>381</v>
      </c>
      <c r="G3" s="125" t="s">
        <v>382</v>
      </c>
    </row>
    <row r="4" spans="1:7" ht="15" customHeight="1" x14ac:dyDescent="0.25">
      <c r="A4" s="252" t="s">
        <v>16</v>
      </c>
      <c r="B4" s="142">
        <v>1</v>
      </c>
      <c r="C4" s="147">
        <v>20</v>
      </c>
      <c r="D4" s="193">
        <v>1</v>
      </c>
      <c r="E4" s="180">
        <v>9.16</v>
      </c>
      <c r="F4" s="180">
        <v>87.13</v>
      </c>
      <c r="G4" s="194">
        <v>1.62</v>
      </c>
    </row>
    <row r="5" spans="1:7" ht="15" customHeight="1" x14ac:dyDescent="0.25">
      <c r="A5" s="253"/>
      <c r="B5" s="143" t="s">
        <v>397</v>
      </c>
      <c r="C5" s="148">
        <v>17</v>
      </c>
      <c r="D5" s="195">
        <v>1</v>
      </c>
      <c r="E5" s="173">
        <v>10.44</v>
      </c>
      <c r="F5" s="173">
        <v>87.13</v>
      </c>
      <c r="G5" s="196">
        <v>1.73</v>
      </c>
    </row>
    <row r="6" spans="1:7" ht="15" customHeight="1" x14ac:dyDescent="0.25">
      <c r="A6" s="253"/>
      <c r="B6" s="143" t="s">
        <v>398</v>
      </c>
      <c r="C6" s="148">
        <v>20</v>
      </c>
      <c r="D6" s="195">
        <v>1</v>
      </c>
      <c r="E6" s="173">
        <v>9.16</v>
      </c>
      <c r="F6" s="173">
        <v>93.69</v>
      </c>
      <c r="G6" s="196">
        <v>1.56</v>
      </c>
    </row>
    <row r="7" spans="1:7" ht="15" customHeight="1" x14ac:dyDescent="0.25">
      <c r="A7" s="253"/>
      <c r="B7" s="143" t="s">
        <v>399</v>
      </c>
      <c r="C7" s="148">
        <v>13</v>
      </c>
      <c r="D7" s="195">
        <v>1</v>
      </c>
      <c r="E7" s="173">
        <v>6.84</v>
      </c>
      <c r="F7" s="173">
        <v>70.63</v>
      </c>
      <c r="G7" s="196">
        <v>1.56</v>
      </c>
    </row>
    <row r="8" spans="1:7" ht="15" customHeight="1" x14ac:dyDescent="0.25">
      <c r="A8" s="253"/>
      <c r="B8" s="143" t="s">
        <v>400</v>
      </c>
      <c r="C8" s="148">
        <v>3</v>
      </c>
      <c r="D8" s="195">
        <v>1</v>
      </c>
      <c r="E8" s="173">
        <v>2.2200000000000002</v>
      </c>
      <c r="F8" s="173">
        <v>3.86</v>
      </c>
      <c r="G8" s="196">
        <v>3.79</v>
      </c>
    </row>
    <row r="9" spans="1:7" ht="15" customHeight="1" x14ac:dyDescent="0.25">
      <c r="A9" s="253"/>
      <c r="B9" s="143" t="s">
        <v>401</v>
      </c>
      <c r="C9" s="148">
        <v>20</v>
      </c>
      <c r="D9" s="195">
        <v>1</v>
      </c>
      <c r="E9" s="173">
        <v>9.16</v>
      </c>
      <c r="F9" s="173">
        <v>3.9</v>
      </c>
      <c r="G9" s="196">
        <v>7.66</v>
      </c>
    </row>
    <row r="10" spans="1:7" ht="15" customHeight="1" x14ac:dyDescent="0.25">
      <c r="A10" s="253"/>
      <c r="B10" s="143" t="s">
        <v>402</v>
      </c>
      <c r="C10" s="148">
        <v>12</v>
      </c>
      <c r="D10" s="195">
        <v>1</v>
      </c>
      <c r="E10" s="173">
        <v>4.6399999999999997</v>
      </c>
      <c r="F10" s="173">
        <v>25.05</v>
      </c>
      <c r="G10" s="196">
        <v>2.15</v>
      </c>
    </row>
    <row r="11" spans="1:7" ht="15" customHeight="1" x14ac:dyDescent="0.25">
      <c r="A11" s="253"/>
      <c r="B11" s="143" t="s">
        <v>403</v>
      </c>
      <c r="C11" s="148">
        <v>19</v>
      </c>
      <c r="D11" s="195">
        <v>0.91007907703857915</v>
      </c>
      <c r="E11" s="173">
        <v>6.2</v>
      </c>
      <c r="F11" s="173">
        <v>25.05</v>
      </c>
      <c r="G11" s="196">
        <v>2.37</v>
      </c>
    </row>
    <row r="12" spans="1:7" ht="15" customHeight="1" x14ac:dyDescent="0.25">
      <c r="A12" s="253"/>
      <c r="B12" s="143" t="s">
        <v>404</v>
      </c>
      <c r="C12" s="148">
        <v>20</v>
      </c>
      <c r="D12" s="195">
        <v>1</v>
      </c>
      <c r="E12" s="173">
        <v>9.16</v>
      </c>
      <c r="F12" s="173">
        <v>93.69</v>
      </c>
      <c r="G12" s="196">
        <v>1.56</v>
      </c>
    </row>
    <row r="13" spans="1:7" ht="15" customHeight="1" x14ac:dyDescent="0.25">
      <c r="A13" s="253"/>
      <c r="B13" s="143" t="s">
        <v>405</v>
      </c>
      <c r="C13" s="148">
        <v>20</v>
      </c>
      <c r="D13" s="195">
        <v>1</v>
      </c>
      <c r="E13" s="173">
        <v>9.16</v>
      </c>
      <c r="F13" s="173">
        <v>93.69</v>
      </c>
      <c r="G13" s="196">
        <v>1.56</v>
      </c>
    </row>
    <row r="14" spans="1:7" ht="15" customHeight="1" x14ac:dyDescent="0.25">
      <c r="A14" s="253"/>
      <c r="B14" s="143" t="s">
        <v>406</v>
      </c>
      <c r="C14" s="148">
        <v>20</v>
      </c>
      <c r="D14" s="195">
        <v>1</v>
      </c>
      <c r="E14" s="173">
        <v>9.16</v>
      </c>
      <c r="F14" s="173">
        <v>87.13</v>
      </c>
      <c r="G14" s="196">
        <v>1.62</v>
      </c>
    </row>
    <row r="15" spans="1:7" ht="15.75" customHeight="1" thickBot="1" x14ac:dyDescent="0.3">
      <c r="A15" s="254"/>
      <c r="B15" s="144" t="s">
        <v>407</v>
      </c>
      <c r="C15" s="149">
        <v>20</v>
      </c>
      <c r="D15" s="197">
        <v>1</v>
      </c>
      <c r="E15" s="177">
        <v>9.16</v>
      </c>
      <c r="F15" s="177">
        <v>87.13</v>
      </c>
      <c r="G15" s="198">
        <v>1.62</v>
      </c>
    </row>
    <row r="16" spans="1:7" ht="15" customHeight="1" x14ac:dyDescent="0.25">
      <c r="A16" s="252" t="s">
        <v>17</v>
      </c>
      <c r="B16" s="145" t="s">
        <v>408</v>
      </c>
      <c r="C16" s="147">
        <v>4</v>
      </c>
      <c r="D16" s="193">
        <v>1</v>
      </c>
      <c r="E16" s="180">
        <v>2.64</v>
      </c>
      <c r="F16" s="180">
        <v>6.1</v>
      </c>
      <c r="G16" s="194">
        <v>3.29</v>
      </c>
    </row>
    <row r="17" spans="1:7" x14ac:dyDescent="0.25">
      <c r="A17" s="253"/>
      <c r="B17" s="143" t="s">
        <v>409</v>
      </c>
      <c r="C17" s="148">
        <v>20</v>
      </c>
      <c r="D17" s="195">
        <v>1</v>
      </c>
      <c r="E17" s="173">
        <v>9.16</v>
      </c>
      <c r="F17" s="173">
        <v>6.1</v>
      </c>
      <c r="G17" s="196">
        <v>6.13</v>
      </c>
    </row>
    <row r="18" spans="1:7" x14ac:dyDescent="0.25">
      <c r="A18" s="253"/>
      <c r="B18" s="143" t="s">
        <v>410</v>
      </c>
      <c r="C18" s="148">
        <v>32</v>
      </c>
      <c r="D18" s="195">
        <v>1</v>
      </c>
      <c r="E18" s="173">
        <v>31.34</v>
      </c>
      <c r="F18" s="173">
        <v>778.57</v>
      </c>
      <c r="G18" s="196">
        <v>1</v>
      </c>
    </row>
    <row r="19" spans="1:7" x14ac:dyDescent="0.25">
      <c r="A19" s="253"/>
      <c r="B19" s="143" t="s">
        <v>411</v>
      </c>
      <c r="C19" s="148">
        <v>20</v>
      </c>
      <c r="D19" s="195">
        <v>1</v>
      </c>
      <c r="E19" s="173">
        <v>9.16</v>
      </c>
      <c r="F19" s="173">
        <v>187.39</v>
      </c>
      <c r="G19" s="196">
        <v>1.1100000000000001</v>
      </c>
    </row>
    <row r="20" spans="1:7" x14ac:dyDescent="0.25">
      <c r="A20" s="253"/>
      <c r="B20" s="143" t="s">
        <v>412</v>
      </c>
      <c r="C20" s="148">
        <v>20</v>
      </c>
      <c r="D20" s="195">
        <v>1</v>
      </c>
      <c r="E20" s="173">
        <v>9.16</v>
      </c>
      <c r="F20" s="173">
        <v>88.7</v>
      </c>
      <c r="G20" s="196">
        <v>1.61</v>
      </c>
    </row>
    <row r="21" spans="1:7" x14ac:dyDescent="0.25">
      <c r="A21" s="253"/>
      <c r="B21" s="143" t="s">
        <v>413</v>
      </c>
      <c r="C21" s="148">
        <v>20</v>
      </c>
      <c r="D21" s="195">
        <v>1</v>
      </c>
      <c r="E21" s="173">
        <v>9.16</v>
      </c>
      <c r="F21" s="173">
        <v>88.7</v>
      </c>
      <c r="G21" s="196">
        <v>1.61</v>
      </c>
    </row>
    <row r="22" spans="1:7" x14ac:dyDescent="0.25">
      <c r="A22" s="253"/>
      <c r="B22" s="143" t="s">
        <v>414</v>
      </c>
      <c r="C22" s="148">
        <v>20</v>
      </c>
      <c r="D22" s="195">
        <v>1</v>
      </c>
      <c r="E22" s="173">
        <v>9.16</v>
      </c>
      <c r="F22" s="173">
        <v>88.7</v>
      </c>
      <c r="G22" s="196">
        <v>1.61</v>
      </c>
    </row>
    <row r="23" spans="1:7" x14ac:dyDescent="0.25">
      <c r="A23" s="253"/>
      <c r="B23" s="143" t="s">
        <v>415</v>
      </c>
      <c r="C23" s="148">
        <v>20</v>
      </c>
      <c r="D23" s="195">
        <v>1</v>
      </c>
      <c r="E23" s="173">
        <v>9.16</v>
      </c>
      <c r="F23" s="173">
        <v>88.7</v>
      </c>
      <c r="G23" s="196">
        <v>1.61</v>
      </c>
    </row>
    <row r="24" spans="1:7" x14ac:dyDescent="0.25">
      <c r="A24" s="253"/>
      <c r="B24" s="143" t="s">
        <v>416</v>
      </c>
      <c r="C24" s="148">
        <v>20</v>
      </c>
      <c r="D24" s="195">
        <v>1</v>
      </c>
      <c r="E24" s="173">
        <v>9.16</v>
      </c>
      <c r="F24" s="173">
        <v>97.25</v>
      </c>
      <c r="G24" s="196">
        <v>1.53</v>
      </c>
    </row>
    <row r="25" spans="1:7" x14ac:dyDescent="0.25">
      <c r="A25" s="253"/>
      <c r="B25" s="143" t="s">
        <v>417</v>
      </c>
      <c r="C25" s="148">
        <v>20</v>
      </c>
      <c r="D25" s="195">
        <v>1</v>
      </c>
      <c r="E25" s="173">
        <v>9.16</v>
      </c>
      <c r="F25" s="173">
        <v>97.25</v>
      </c>
      <c r="G25" s="196">
        <v>1.53</v>
      </c>
    </row>
    <row r="26" spans="1:7" x14ac:dyDescent="0.25">
      <c r="A26" s="253"/>
      <c r="B26" s="143" t="s">
        <v>396</v>
      </c>
      <c r="C26" s="148">
        <v>20</v>
      </c>
      <c r="D26" s="195">
        <v>1</v>
      </c>
      <c r="E26" s="173">
        <v>9.16</v>
      </c>
      <c r="F26" s="173">
        <v>90.32</v>
      </c>
      <c r="G26" s="196">
        <v>1.59</v>
      </c>
    </row>
    <row r="27" spans="1:7" ht="15.75" thickBot="1" x14ac:dyDescent="0.3">
      <c r="A27" s="254"/>
      <c r="B27" s="144" t="s">
        <v>418</v>
      </c>
      <c r="C27" s="148">
        <v>20</v>
      </c>
      <c r="D27" s="197">
        <v>1</v>
      </c>
      <c r="E27" s="177">
        <v>9.16</v>
      </c>
      <c r="F27" s="177">
        <v>90.32</v>
      </c>
      <c r="G27" s="198">
        <v>1.59</v>
      </c>
    </row>
    <row r="28" spans="1:7" ht="15" customHeight="1" x14ac:dyDescent="0.25">
      <c r="A28" s="252" t="s">
        <v>18</v>
      </c>
      <c r="B28" s="145" t="s">
        <v>419</v>
      </c>
      <c r="C28" s="182">
        <v>20</v>
      </c>
      <c r="D28" s="193">
        <v>1</v>
      </c>
      <c r="E28" s="180">
        <v>9.16</v>
      </c>
      <c r="F28" s="180">
        <v>138.08000000000001</v>
      </c>
      <c r="G28" s="194">
        <v>1.29</v>
      </c>
    </row>
    <row r="29" spans="1:7" x14ac:dyDescent="0.25">
      <c r="A29" s="253"/>
      <c r="B29" s="143" t="s">
        <v>420</v>
      </c>
      <c r="C29" s="182">
        <v>20</v>
      </c>
      <c r="D29" s="195">
        <v>1</v>
      </c>
      <c r="E29" s="173">
        <v>9.16</v>
      </c>
      <c r="F29" s="173">
        <v>132.22999999999999</v>
      </c>
      <c r="G29" s="196">
        <v>1.32</v>
      </c>
    </row>
    <row r="30" spans="1:7" x14ac:dyDescent="0.25">
      <c r="A30" s="253"/>
      <c r="B30" s="143" t="s">
        <v>421</v>
      </c>
      <c r="C30" s="182">
        <v>20</v>
      </c>
      <c r="D30" s="195">
        <v>1</v>
      </c>
      <c r="E30" s="173">
        <v>9.16</v>
      </c>
      <c r="F30" s="173">
        <v>110.77</v>
      </c>
      <c r="G30" s="196">
        <v>1.44</v>
      </c>
    </row>
    <row r="31" spans="1:7" x14ac:dyDescent="0.25">
      <c r="A31" s="253"/>
      <c r="B31" s="141" t="s">
        <v>422</v>
      </c>
      <c r="C31" s="182">
        <v>20</v>
      </c>
      <c r="D31" s="195">
        <v>1</v>
      </c>
      <c r="E31" s="173">
        <v>9.16</v>
      </c>
      <c r="F31" s="173">
        <v>92.06</v>
      </c>
      <c r="G31" s="196">
        <v>1.58</v>
      </c>
    </row>
    <row r="32" spans="1:7" x14ac:dyDescent="0.25">
      <c r="A32" s="253"/>
      <c r="B32" s="141" t="s">
        <v>423</v>
      </c>
      <c r="C32" s="182">
        <v>20</v>
      </c>
      <c r="D32" s="195">
        <v>1</v>
      </c>
      <c r="E32" s="173">
        <v>9.16</v>
      </c>
      <c r="F32" s="173">
        <v>76.58</v>
      </c>
      <c r="G32" s="196">
        <v>1.73</v>
      </c>
    </row>
    <row r="33" spans="1:7" x14ac:dyDescent="0.25">
      <c r="A33" s="253"/>
      <c r="B33" s="141" t="s">
        <v>424</v>
      </c>
      <c r="C33" s="182">
        <v>20</v>
      </c>
      <c r="D33" s="195">
        <v>1</v>
      </c>
      <c r="E33" s="173">
        <v>9.16</v>
      </c>
      <c r="F33" s="173">
        <v>59.9</v>
      </c>
      <c r="G33" s="196">
        <v>1.96</v>
      </c>
    </row>
    <row r="34" spans="1:7" x14ac:dyDescent="0.25">
      <c r="A34" s="253"/>
      <c r="B34" s="141" t="s">
        <v>425</v>
      </c>
      <c r="C34" s="182">
        <v>20</v>
      </c>
      <c r="D34" s="195">
        <v>1</v>
      </c>
      <c r="E34" s="173">
        <v>9.16</v>
      </c>
      <c r="F34" s="173">
        <v>59.9</v>
      </c>
      <c r="G34" s="196">
        <v>1.96</v>
      </c>
    </row>
    <row r="35" spans="1:7" x14ac:dyDescent="0.25">
      <c r="A35" s="253"/>
      <c r="B35" s="141" t="s">
        <v>426</v>
      </c>
      <c r="C35" s="182">
        <v>20</v>
      </c>
      <c r="D35" s="195">
        <v>1</v>
      </c>
      <c r="E35" s="173">
        <v>9.16</v>
      </c>
      <c r="F35" s="173">
        <v>76.58</v>
      </c>
      <c r="G35" s="196">
        <v>1.73</v>
      </c>
    </row>
    <row r="36" spans="1:7" x14ac:dyDescent="0.25">
      <c r="A36" s="253"/>
      <c r="B36" s="141" t="s">
        <v>427</v>
      </c>
      <c r="C36" s="182">
        <v>20</v>
      </c>
      <c r="D36" s="195">
        <v>1</v>
      </c>
      <c r="E36" s="173">
        <v>9.16</v>
      </c>
      <c r="F36" s="173">
        <v>92.06</v>
      </c>
      <c r="G36" s="196">
        <v>1.58</v>
      </c>
    </row>
    <row r="37" spans="1:7" x14ac:dyDescent="0.25">
      <c r="A37" s="253"/>
      <c r="B37" s="143" t="s">
        <v>428</v>
      </c>
      <c r="C37" s="146">
        <v>20</v>
      </c>
      <c r="D37" s="195">
        <v>1</v>
      </c>
      <c r="E37" s="173">
        <v>9.16</v>
      </c>
      <c r="F37" s="173">
        <v>110.77</v>
      </c>
      <c r="G37" s="196">
        <v>1.44</v>
      </c>
    </row>
    <row r="38" spans="1:7" x14ac:dyDescent="0.25">
      <c r="A38" s="253"/>
      <c r="B38" s="143" t="s">
        <v>429</v>
      </c>
      <c r="C38" s="182">
        <v>20</v>
      </c>
      <c r="D38" s="195">
        <v>1</v>
      </c>
      <c r="E38" s="173">
        <v>9.16</v>
      </c>
      <c r="F38" s="173">
        <v>132.22999999999999</v>
      </c>
      <c r="G38" s="196">
        <v>1.32</v>
      </c>
    </row>
    <row r="39" spans="1:7" ht="15.75" thickBot="1" x14ac:dyDescent="0.3">
      <c r="A39" s="254"/>
      <c r="B39" s="144" t="s">
        <v>430</v>
      </c>
      <c r="C39" s="183">
        <v>20</v>
      </c>
      <c r="D39" s="197">
        <v>1</v>
      </c>
      <c r="E39" s="177">
        <v>9.16</v>
      </c>
      <c r="F39" s="177">
        <v>138.08000000000001</v>
      </c>
      <c r="G39" s="198">
        <v>1.29</v>
      </c>
    </row>
    <row r="40" spans="1:7" ht="15" customHeight="1" x14ac:dyDescent="0.25">
      <c r="A40" s="252" t="s">
        <v>19</v>
      </c>
      <c r="B40" s="145" t="s">
        <v>431</v>
      </c>
      <c r="C40" s="150">
        <v>20</v>
      </c>
      <c r="D40" s="169">
        <v>1</v>
      </c>
      <c r="E40" s="169">
        <v>9.16</v>
      </c>
      <c r="F40" s="169">
        <v>449.23</v>
      </c>
      <c r="G40" s="199">
        <v>0.71</v>
      </c>
    </row>
    <row r="41" spans="1:7" x14ac:dyDescent="0.25">
      <c r="A41" s="253"/>
      <c r="B41" s="143" t="s">
        <v>432</v>
      </c>
      <c r="C41" s="148">
        <v>20</v>
      </c>
      <c r="D41" s="173">
        <v>1</v>
      </c>
      <c r="E41" s="173">
        <v>9.16</v>
      </c>
      <c r="F41" s="173">
        <v>270.81</v>
      </c>
      <c r="G41" s="196">
        <v>0.92</v>
      </c>
    </row>
    <row r="42" spans="1:7" x14ac:dyDescent="0.25">
      <c r="A42" s="253"/>
      <c r="B42" s="143" t="s">
        <v>433</v>
      </c>
      <c r="C42" s="148">
        <v>20</v>
      </c>
      <c r="D42" s="173">
        <v>1</v>
      </c>
      <c r="E42" s="173">
        <v>9.16</v>
      </c>
      <c r="F42" s="173">
        <v>181.11</v>
      </c>
      <c r="G42" s="196">
        <v>1.1200000000000001</v>
      </c>
    </row>
    <row r="43" spans="1:7" x14ac:dyDescent="0.25">
      <c r="A43" s="253"/>
      <c r="B43" s="141" t="s">
        <v>434</v>
      </c>
      <c r="C43" s="148">
        <v>20</v>
      </c>
      <c r="D43" s="173">
        <v>1</v>
      </c>
      <c r="E43" s="173">
        <v>9.16</v>
      </c>
      <c r="F43" s="173">
        <v>129.44</v>
      </c>
      <c r="G43" s="196">
        <v>1.33</v>
      </c>
    </row>
    <row r="44" spans="1:7" x14ac:dyDescent="0.25">
      <c r="A44" s="253"/>
      <c r="B44" s="141" t="s">
        <v>435</v>
      </c>
      <c r="C44" s="148">
        <v>20</v>
      </c>
      <c r="D44" s="173">
        <v>1</v>
      </c>
      <c r="E44" s="173">
        <v>9.16</v>
      </c>
      <c r="F44" s="173">
        <v>97.19</v>
      </c>
      <c r="G44" s="196">
        <v>1.53</v>
      </c>
    </row>
    <row r="45" spans="1:7" x14ac:dyDescent="0.25">
      <c r="A45" s="253"/>
      <c r="B45" s="141" t="s">
        <v>436</v>
      </c>
      <c r="C45" s="148">
        <v>20</v>
      </c>
      <c r="D45" s="173">
        <v>1</v>
      </c>
      <c r="E45" s="173">
        <v>9.16</v>
      </c>
      <c r="F45" s="173">
        <v>73.900000000000006</v>
      </c>
      <c r="G45" s="196">
        <v>1.76</v>
      </c>
    </row>
    <row r="46" spans="1:7" x14ac:dyDescent="0.25">
      <c r="A46" s="253"/>
      <c r="B46" s="141" t="s">
        <v>437</v>
      </c>
      <c r="C46" s="148">
        <v>20</v>
      </c>
      <c r="D46" s="173">
        <v>1</v>
      </c>
      <c r="E46" s="173">
        <v>9.16</v>
      </c>
      <c r="F46" s="173">
        <v>97.19</v>
      </c>
      <c r="G46" s="196">
        <v>1.53</v>
      </c>
    </row>
    <row r="47" spans="1:7" x14ac:dyDescent="0.25">
      <c r="A47" s="253"/>
      <c r="B47" s="141" t="s">
        <v>438</v>
      </c>
      <c r="C47" s="148">
        <v>20</v>
      </c>
      <c r="D47" s="173">
        <v>1</v>
      </c>
      <c r="E47" s="173">
        <v>9.16</v>
      </c>
      <c r="F47" s="173">
        <v>129.44</v>
      </c>
      <c r="G47" s="196">
        <v>1.33</v>
      </c>
    </row>
    <row r="48" spans="1:7" x14ac:dyDescent="0.25">
      <c r="A48" s="253"/>
      <c r="B48" s="143" t="s">
        <v>439</v>
      </c>
      <c r="C48" s="148">
        <v>20</v>
      </c>
      <c r="D48" s="173">
        <v>1</v>
      </c>
      <c r="E48" s="173">
        <v>9.16</v>
      </c>
      <c r="F48" s="173">
        <v>181.11</v>
      </c>
      <c r="G48" s="196">
        <v>1.1200000000000001</v>
      </c>
    </row>
    <row r="49" spans="1:7" x14ac:dyDescent="0.25">
      <c r="A49" s="253"/>
      <c r="B49" s="143" t="s">
        <v>440</v>
      </c>
      <c r="C49" s="148">
        <v>20</v>
      </c>
      <c r="D49" s="173">
        <v>1</v>
      </c>
      <c r="E49" s="173">
        <v>9.16</v>
      </c>
      <c r="F49" s="173">
        <v>270.81</v>
      </c>
      <c r="G49" s="196">
        <v>0.92</v>
      </c>
    </row>
    <row r="50" spans="1:7" ht="15.75" thickBot="1" x14ac:dyDescent="0.3">
      <c r="A50" s="253"/>
      <c r="B50" s="144" t="s">
        <v>441</v>
      </c>
      <c r="C50" s="149">
        <v>4</v>
      </c>
      <c r="D50" s="177">
        <v>1</v>
      </c>
      <c r="E50" s="177">
        <v>2.64</v>
      </c>
      <c r="F50" s="177">
        <v>22.27</v>
      </c>
      <c r="G50" s="198">
        <v>1.72</v>
      </c>
    </row>
    <row r="51" spans="1:7" x14ac:dyDescent="0.25">
      <c r="C51" s="62"/>
    </row>
    <row r="52" spans="1:7" x14ac:dyDescent="0.25">
      <c r="C52" s="62"/>
    </row>
    <row r="53" spans="1:7" x14ac:dyDescent="0.25">
      <c r="C53" s="64"/>
    </row>
  </sheetData>
  <mergeCells count="4">
    <mergeCell ref="A4:A15"/>
    <mergeCell ref="A16:A27"/>
    <mergeCell ref="A28:A39"/>
    <mergeCell ref="A40:A5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lcularEsbeltez">
                <anchor moveWithCells="1" sizeWithCells="1">
                  <from>
                    <xdr:col>8</xdr:col>
                    <xdr:colOff>9525</xdr:colOff>
                    <xdr:row>2</xdr:row>
                    <xdr:rowOff>19050</xdr:rowOff>
                  </from>
                  <to>
                    <xdr:col>9</xdr:col>
                    <xdr:colOff>561975</xdr:colOff>
                    <xdr:row>2</xdr:row>
                    <xdr:rowOff>781050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9"/>
  <dimension ref="A1:E53"/>
  <sheetViews>
    <sheetView workbookViewId="0"/>
  </sheetViews>
  <sheetFormatPr defaultRowHeight="15" x14ac:dyDescent="0.25"/>
  <cols>
    <col min="1" max="1" width="15.28515625" style="60" customWidth="1"/>
    <col min="2" max="2" width="8.85546875" style="60" bestFit="1" customWidth="1"/>
    <col min="3" max="3" width="9.140625" style="60"/>
    <col min="4" max="4" width="13.140625" style="60" customWidth="1"/>
    <col min="5" max="5" width="10.140625" style="60" customWidth="1"/>
  </cols>
  <sheetData>
    <row r="1" spans="1:5" x14ac:dyDescent="0.25">
      <c r="A1" s="60">
        <v>1</v>
      </c>
      <c r="B1" s="60">
        <f>A1+1</f>
        <v>2</v>
      </c>
      <c r="C1" s="60">
        <f>B1+1</f>
        <v>3</v>
      </c>
      <c r="D1" s="60">
        <v>4</v>
      </c>
      <c r="E1" s="60">
        <v>5</v>
      </c>
    </row>
    <row r="2" spans="1:5" ht="15.75" thickBot="1" x14ac:dyDescent="0.3">
      <c r="A2" s="65"/>
      <c r="C2" s="63"/>
    </row>
    <row r="3" spans="1:5" ht="48" thickBot="1" x14ac:dyDescent="0.3">
      <c r="A3" s="124" t="s">
        <v>0</v>
      </c>
      <c r="B3" s="124" t="s">
        <v>1</v>
      </c>
      <c r="C3" s="124" t="s">
        <v>364</v>
      </c>
      <c r="D3" s="124" t="s">
        <v>382</v>
      </c>
      <c r="E3" s="125" t="s">
        <v>383</v>
      </c>
    </row>
    <row r="4" spans="1:5" ht="15" customHeight="1" x14ac:dyDescent="0.25">
      <c r="A4" s="252" t="s">
        <v>16</v>
      </c>
      <c r="B4" s="142">
        <v>1</v>
      </c>
      <c r="C4" s="147">
        <v>20</v>
      </c>
      <c r="D4" s="193">
        <v>1.62</v>
      </c>
      <c r="E4" s="181">
        <v>0.33</v>
      </c>
    </row>
    <row r="5" spans="1:5" ht="15" customHeight="1" x14ac:dyDescent="0.25">
      <c r="A5" s="253"/>
      <c r="B5" s="143" t="s">
        <v>397</v>
      </c>
      <c r="C5" s="148">
        <v>17</v>
      </c>
      <c r="D5" s="195">
        <v>1.73</v>
      </c>
      <c r="E5" s="175">
        <v>0.28999999999999998</v>
      </c>
    </row>
    <row r="6" spans="1:5" ht="15" customHeight="1" x14ac:dyDescent="0.25">
      <c r="A6" s="253"/>
      <c r="B6" s="143" t="s">
        <v>398</v>
      </c>
      <c r="C6" s="148">
        <v>20</v>
      </c>
      <c r="D6" s="195">
        <v>1.56</v>
      </c>
      <c r="E6" s="175">
        <v>0.36</v>
      </c>
    </row>
    <row r="7" spans="1:5" ht="15" customHeight="1" x14ac:dyDescent="0.25">
      <c r="A7" s="253"/>
      <c r="B7" s="143" t="s">
        <v>399</v>
      </c>
      <c r="C7" s="148">
        <v>13</v>
      </c>
      <c r="D7" s="195">
        <v>1.56</v>
      </c>
      <c r="E7" s="175">
        <v>0.36</v>
      </c>
    </row>
    <row r="8" spans="1:5" ht="15" customHeight="1" x14ac:dyDescent="0.25">
      <c r="A8" s="253"/>
      <c r="B8" s="143" t="s">
        <v>400</v>
      </c>
      <c r="C8" s="148">
        <v>3</v>
      </c>
      <c r="D8" s="195">
        <v>3.79</v>
      </c>
      <c r="E8" s="175">
        <v>0.06</v>
      </c>
    </row>
    <row r="9" spans="1:5" ht="15" customHeight="1" x14ac:dyDescent="0.25">
      <c r="A9" s="253"/>
      <c r="B9" s="143" t="s">
        <v>401</v>
      </c>
      <c r="C9" s="148">
        <v>20</v>
      </c>
      <c r="D9" s="195">
        <v>7.66</v>
      </c>
      <c r="E9" s="175">
        <v>0.01</v>
      </c>
    </row>
    <row r="10" spans="1:5" ht="15" customHeight="1" x14ac:dyDescent="0.25">
      <c r="A10" s="253"/>
      <c r="B10" s="143" t="s">
        <v>402</v>
      </c>
      <c r="C10" s="148">
        <v>12</v>
      </c>
      <c r="D10" s="195">
        <v>2.15</v>
      </c>
      <c r="E10" s="175">
        <v>0.19</v>
      </c>
    </row>
    <row r="11" spans="1:5" ht="15" customHeight="1" x14ac:dyDescent="0.25">
      <c r="A11" s="253"/>
      <c r="B11" s="143" t="s">
        <v>403</v>
      </c>
      <c r="C11" s="148">
        <v>19</v>
      </c>
      <c r="D11" s="195">
        <v>2.37</v>
      </c>
      <c r="E11" s="175">
        <v>0.16</v>
      </c>
    </row>
    <row r="12" spans="1:5" ht="15" customHeight="1" x14ac:dyDescent="0.25">
      <c r="A12" s="253"/>
      <c r="B12" s="143" t="s">
        <v>404</v>
      </c>
      <c r="C12" s="148">
        <v>20</v>
      </c>
      <c r="D12" s="195">
        <v>1.56</v>
      </c>
      <c r="E12" s="175">
        <v>0.36</v>
      </c>
    </row>
    <row r="13" spans="1:5" ht="15" customHeight="1" x14ac:dyDescent="0.25">
      <c r="A13" s="253"/>
      <c r="B13" s="143" t="s">
        <v>405</v>
      </c>
      <c r="C13" s="148">
        <v>20</v>
      </c>
      <c r="D13" s="195">
        <v>1.56</v>
      </c>
      <c r="E13" s="175">
        <v>0.36</v>
      </c>
    </row>
    <row r="14" spans="1:5" ht="15" customHeight="1" x14ac:dyDescent="0.25">
      <c r="A14" s="253"/>
      <c r="B14" s="143" t="s">
        <v>406</v>
      </c>
      <c r="C14" s="148">
        <v>20</v>
      </c>
      <c r="D14" s="195">
        <v>1.62</v>
      </c>
      <c r="E14" s="175">
        <v>0.33</v>
      </c>
    </row>
    <row r="15" spans="1:5" ht="15.75" customHeight="1" thickBot="1" x14ac:dyDescent="0.3">
      <c r="A15" s="254"/>
      <c r="B15" s="144" t="s">
        <v>407</v>
      </c>
      <c r="C15" s="149">
        <v>20</v>
      </c>
      <c r="D15" s="197">
        <v>1.62</v>
      </c>
      <c r="E15" s="178">
        <v>0.33</v>
      </c>
    </row>
    <row r="16" spans="1:5" ht="15" customHeight="1" x14ac:dyDescent="0.25">
      <c r="A16" s="252" t="s">
        <v>17</v>
      </c>
      <c r="B16" s="145" t="s">
        <v>408</v>
      </c>
      <c r="C16" s="147">
        <v>4</v>
      </c>
      <c r="D16" s="193">
        <v>3.29</v>
      </c>
      <c r="E16" s="181">
        <v>0.08</v>
      </c>
    </row>
    <row r="17" spans="1:5" x14ac:dyDescent="0.25">
      <c r="A17" s="253"/>
      <c r="B17" s="143" t="s">
        <v>409</v>
      </c>
      <c r="C17" s="148">
        <v>20</v>
      </c>
      <c r="D17" s="195">
        <v>6.13</v>
      </c>
      <c r="E17" s="175">
        <v>0.02</v>
      </c>
    </row>
    <row r="18" spans="1:5" x14ac:dyDescent="0.25">
      <c r="A18" s="253"/>
      <c r="B18" s="143" t="s">
        <v>410</v>
      </c>
      <c r="C18" s="148">
        <v>32</v>
      </c>
      <c r="D18" s="195">
        <v>1</v>
      </c>
      <c r="E18" s="175">
        <v>0.66</v>
      </c>
    </row>
    <row r="19" spans="1:5" x14ac:dyDescent="0.25">
      <c r="A19" s="253"/>
      <c r="B19" s="143" t="s">
        <v>411</v>
      </c>
      <c r="C19" s="148">
        <v>20</v>
      </c>
      <c r="D19" s="195">
        <v>1.1100000000000001</v>
      </c>
      <c r="E19" s="175">
        <v>0.6</v>
      </c>
    </row>
    <row r="20" spans="1:5" x14ac:dyDescent="0.25">
      <c r="A20" s="253"/>
      <c r="B20" s="143" t="s">
        <v>412</v>
      </c>
      <c r="C20" s="148">
        <v>20</v>
      </c>
      <c r="D20" s="195">
        <v>1.61</v>
      </c>
      <c r="E20" s="175">
        <v>0.34</v>
      </c>
    </row>
    <row r="21" spans="1:5" x14ac:dyDescent="0.25">
      <c r="A21" s="253"/>
      <c r="B21" s="143" t="s">
        <v>413</v>
      </c>
      <c r="C21" s="148">
        <v>20</v>
      </c>
      <c r="D21" s="195">
        <v>1.61</v>
      </c>
      <c r="E21" s="175">
        <v>0.34</v>
      </c>
    </row>
    <row r="22" spans="1:5" x14ac:dyDescent="0.25">
      <c r="A22" s="253"/>
      <c r="B22" s="143" t="s">
        <v>414</v>
      </c>
      <c r="C22" s="148">
        <v>20</v>
      </c>
      <c r="D22" s="195">
        <v>1.61</v>
      </c>
      <c r="E22" s="175">
        <v>0.34</v>
      </c>
    </row>
    <row r="23" spans="1:5" x14ac:dyDescent="0.25">
      <c r="A23" s="253"/>
      <c r="B23" s="143" t="s">
        <v>415</v>
      </c>
      <c r="C23" s="148">
        <v>20</v>
      </c>
      <c r="D23" s="195">
        <v>1.61</v>
      </c>
      <c r="E23" s="175">
        <v>0.34</v>
      </c>
    </row>
    <row r="24" spans="1:5" x14ac:dyDescent="0.25">
      <c r="A24" s="253"/>
      <c r="B24" s="143" t="s">
        <v>416</v>
      </c>
      <c r="C24" s="148">
        <v>20</v>
      </c>
      <c r="D24" s="195">
        <v>1.53</v>
      </c>
      <c r="E24" s="175">
        <v>0.37</v>
      </c>
    </row>
    <row r="25" spans="1:5" x14ac:dyDescent="0.25">
      <c r="A25" s="253"/>
      <c r="B25" s="143" t="s">
        <v>417</v>
      </c>
      <c r="C25" s="148">
        <v>20</v>
      </c>
      <c r="D25" s="195">
        <v>1.53</v>
      </c>
      <c r="E25" s="175">
        <v>0.37</v>
      </c>
    </row>
    <row r="26" spans="1:5" x14ac:dyDescent="0.25">
      <c r="A26" s="253"/>
      <c r="B26" s="143" t="s">
        <v>396</v>
      </c>
      <c r="C26" s="148">
        <v>20</v>
      </c>
      <c r="D26" s="195">
        <v>1.59</v>
      </c>
      <c r="E26" s="175">
        <v>0.35</v>
      </c>
    </row>
    <row r="27" spans="1:5" ht="15.75" thickBot="1" x14ac:dyDescent="0.3">
      <c r="A27" s="254"/>
      <c r="B27" s="144" t="s">
        <v>418</v>
      </c>
      <c r="C27" s="148">
        <v>20</v>
      </c>
      <c r="D27" s="197">
        <v>1.59</v>
      </c>
      <c r="E27" s="178">
        <v>0.35</v>
      </c>
    </row>
    <row r="28" spans="1:5" ht="15" customHeight="1" x14ac:dyDescent="0.25">
      <c r="A28" s="252" t="s">
        <v>18</v>
      </c>
      <c r="B28" s="145" t="s">
        <v>419</v>
      </c>
      <c r="C28" s="182">
        <v>20</v>
      </c>
      <c r="D28" s="193">
        <v>1.29</v>
      </c>
      <c r="E28" s="181">
        <v>0.5</v>
      </c>
    </row>
    <row r="29" spans="1:5" x14ac:dyDescent="0.25">
      <c r="A29" s="253"/>
      <c r="B29" s="143" t="s">
        <v>420</v>
      </c>
      <c r="C29" s="182">
        <v>20</v>
      </c>
      <c r="D29" s="195">
        <v>1.32</v>
      </c>
      <c r="E29" s="175">
        <v>0.48</v>
      </c>
    </row>
    <row r="30" spans="1:5" x14ac:dyDescent="0.25">
      <c r="A30" s="253"/>
      <c r="B30" s="143" t="s">
        <v>421</v>
      </c>
      <c r="C30" s="182">
        <v>20</v>
      </c>
      <c r="D30" s="195">
        <v>1.44</v>
      </c>
      <c r="E30" s="175">
        <v>0.42</v>
      </c>
    </row>
    <row r="31" spans="1:5" x14ac:dyDescent="0.25">
      <c r="A31" s="253"/>
      <c r="B31" s="141" t="s">
        <v>422</v>
      </c>
      <c r="C31" s="182">
        <v>20</v>
      </c>
      <c r="D31" s="195">
        <v>1.58</v>
      </c>
      <c r="E31" s="175">
        <v>0.35</v>
      </c>
    </row>
    <row r="32" spans="1:5" x14ac:dyDescent="0.25">
      <c r="A32" s="253"/>
      <c r="B32" s="141" t="s">
        <v>423</v>
      </c>
      <c r="C32" s="182">
        <v>20</v>
      </c>
      <c r="D32" s="195">
        <v>1.73</v>
      </c>
      <c r="E32" s="175">
        <v>0.28999999999999998</v>
      </c>
    </row>
    <row r="33" spans="1:5" x14ac:dyDescent="0.25">
      <c r="A33" s="253"/>
      <c r="B33" s="141" t="s">
        <v>424</v>
      </c>
      <c r="C33" s="182">
        <v>20</v>
      </c>
      <c r="D33" s="195">
        <v>1.96</v>
      </c>
      <c r="E33" s="175">
        <v>0.23</v>
      </c>
    </row>
    <row r="34" spans="1:5" x14ac:dyDescent="0.25">
      <c r="A34" s="253"/>
      <c r="B34" s="141" t="s">
        <v>425</v>
      </c>
      <c r="C34" s="182">
        <v>20</v>
      </c>
      <c r="D34" s="195">
        <v>1.96</v>
      </c>
      <c r="E34" s="175">
        <v>0.23</v>
      </c>
    </row>
    <row r="35" spans="1:5" x14ac:dyDescent="0.25">
      <c r="A35" s="253"/>
      <c r="B35" s="141" t="s">
        <v>426</v>
      </c>
      <c r="C35" s="182">
        <v>20</v>
      </c>
      <c r="D35" s="195">
        <v>1.73</v>
      </c>
      <c r="E35" s="175">
        <v>0.28999999999999998</v>
      </c>
    </row>
    <row r="36" spans="1:5" x14ac:dyDescent="0.25">
      <c r="A36" s="253"/>
      <c r="B36" s="141" t="s">
        <v>427</v>
      </c>
      <c r="C36" s="182">
        <v>20</v>
      </c>
      <c r="D36" s="195">
        <v>1.58</v>
      </c>
      <c r="E36" s="175">
        <v>0.35</v>
      </c>
    </row>
    <row r="37" spans="1:5" x14ac:dyDescent="0.25">
      <c r="A37" s="253"/>
      <c r="B37" s="143" t="s">
        <v>428</v>
      </c>
      <c r="C37" s="146">
        <v>20</v>
      </c>
      <c r="D37" s="195">
        <v>1.44</v>
      </c>
      <c r="E37" s="175">
        <v>0.42</v>
      </c>
    </row>
    <row r="38" spans="1:5" x14ac:dyDescent="0.25">
      <c r="A38" s="253"/>
      <c r="B38" s="143" t="s">
        <v>429</v>
      </c>
      <c r="C38" s="182">
        <v>20</v>
      </c>
      <c r="D38" s="195">
        <v>1.32</v>
      </c>
      <c r="E38" s="175">
        <v>0.48</v>
      </c>
    </row>
    <row r="39" spans="1:5" ht="15.75" thickBot="1" x14ac:dyDescent="0.3">
      <c r="A39" s="254"/>
      <c r="B39" s="144" t="s">
        <v>430</v>
      </c>
      <c r="C39" s="183">
        <v>20</v>
      </c>
      <c r="D39" s="197">
        <v>1.29</v>
      </c>
      <c r="E39" s="178">
        <v>0.5</v>
      </c>
    </row>
    <row r="40" spans="1:5" ht="15" customHeight="1" x14ac:dyDescent="0.25">
      <c r="A40" s="252" t="s">
        <v>19</v>
      </c>
      <c r="B40" s="145" t="s">
        <v>431</v>
      </c>
      <c r="C40" s="150">
        <v>20</v>
      </c>
      <c r="D40" s="169">
        <v>0.71</v>
      </c>
      <c r="E40" s="170">
        <v>0.81</v>
      </c>
    </row>
    <row r="41" spans="1:5" x14ac:dyDescent="0.25">
      <c r="A41" s="253"/>
      <c r="B41" s="143" t="s">
        <v>432</v>
      </c>
      <c r="C41" s="148">
        <v>20</v>
      </c>
      <c r="D41" s="173">
        <v>0.92</v>
      </c>
      <c r="E41" s="175">
        <v>0.7</v>
      </c>
    </row>
    <row r="42" spans="1:5" x14ac:dyDescent="0.25">
      <c r="A42" s="253"/>
      <c r="B42" s="143" t="s">
        <v>433</v>
      </c>
      <c r="C42" s="148">
        <v>20</v>
      </c>
      <c r="D42" s="173">
        <v>1.1200000000000001</v>
      </c>
      <c r="E42" s="175">
        <v>0.59</v>
      </c>
    </row>
    <row r="43" spans="1:5" x14ac:dyDescent="0.25">
      <c r="A43" s="253"/>
      <c r="B43" s="141" t="s">
        <v>434</v>
      </c>
      <c r="C43" s="148">
        <v>20</v>
      </c>
      <c r="D43" s="173">
        <v>1.33</v>
      </c>
      <c r="E43" s="175">
        <v>0.48</v>
      </c>
    </row>
    <row r="44" spans="1:5" x14ac:dyDescent="0.25">
      <c r="A44" s="253"/>
      <c r="B44" s="141" t="s">
        <v>435</v>
      </c>
      <c r="C44" s="148">
        <v>20</v>
      </c>
      <c r="D44" s="173">
        <v>1.53</v>
      </c>
      <c r="E44" s="175">
        <v>0.37</v>
      </c>
    </row>
    <row r="45" spans="1:5" x14ac:dyDescent="0.25">
      <c r="A45" s="253"/>
      <c r="B45" s="141" t="s">
        <v>436</v>
      </c>
      <c r="C45" s="148">
        <v>20</v>
      </c>
      <c r="D45" s="173">
        <v>1.76</v>
      </c>
      <c r="E45" s="175">
        <v>0.28000000000000003</v>
      </c>
    </row>
    <row r="46" spans="1:5" x14ac:dyDescent="0.25">
      <c r="A46" s="253"/>
      <c r="B46" s="141" t="s">
        <v>437</v>
      </c>
      <c r="C46" s="148">
        <v>20</v>
      </c>
      <c r="D46" s="173">
        <v>1.53</v>
      </c>
      <c r="E46" s="175">
        <v>0.37</v>
      </c>
    </row>
    <row r="47" spans="1:5" x14ac:dyDescent="0.25">
      <c r="A47" s="253"/>
      <c r="B47" s="141" t="s">
        <v>438</v>
      </c>
      <c r="C47" s="148">
        <v>20</v>
      </c>
      <c r="D47" s="173">
        <v>1.33</v>
      </c>
      <c r="E47" s="175">
        <v>0.48</v>
      </c>
    </row>
    <row r="48" spans="1:5" x14ac:dyDescent="0.25">
      <c r="A48" s="253"/>
      <c r="B48" s="143" t="s">
        <v>439</v>
      </c>
      <c r="C48" s="148">
        <v>20</v>
      </c>
      <c r="D48" s="173">
        <v>1.1200000000000001</v>
      </c>
      <c r="E48" s="175">
        <v>0.59</v>
      </c>
    </row>
    <row r="49" spans="1:5" x14ac:dyDescent="0.25">
      <c r="A49" s="253"/>
      <c r="B49" s="143" t="s">
        <v>440</v>
      </c>
      <c r="C49" s="148">
        <v>20</v>
      </c>
      <c r="D49" s="173">
        <v>0.92</v>
      </c>
      <c r="E49" s="175">
        <v>0.7</v>
      </c>
    </row>
    <row r="50" spans="1:5" ht="15.75" thickBot="1" x14ac:dyDescent="0.3">
      <c r="A50" s="253"/>
      <c r="B50" s="144" t="s">
        <v>441</v>
      </c>
      <c r="C50" s="149">
        <v>4</v>
      </c>
      <c r="D50" s="177">
        <v>1.72</v>
      </c>
      <c r="E50" s="178">
        <v>0.3</v>
      </c>
    </row>
    <row r="51" spans="1:5" x14ac:dyDescent="0.25">
      <c r="C51" s="62"/>
    </row>
    <row r="52" spans="1:5" x14ac:dyDescent="0.25">
      <c r="C52" s="62"/>
    </row>
    <row r="53" spans="1:5" x14ac:dyDescent="0.25">
      <c r="C53" s="64"/>
    </row>
  </sheetData>
  <mergeCells count="4">
    <mergeCell ref="A4:A15"/>
    <mergeCell ref="A16:A27"/>
    <mergeCell ref="A28:A39"/>
    <mergeCell ref="A40:A5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alcularX">
                <anchor moveWithCells="1" sizeWithCells="1">
                  <from>
                    <xdr:col>5</xdr:col>
                    <xdr:colOff>590550</xdr:colOff>
                    <xdr:row>1</xdr:row>
                    <xdr:rowOff>180975</xdr:rowOff>
                  </from>
                  <to>
                    <xdr:col>8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10"/>
  <dimension ref="A1:G53"/>
  <sheetViews>
    <sheetView workbookViewId="0"/>
  </sheetViews>
  <sheetFormatPr defaultRowHeight="15" x14ac:dyDescent="0.25"/>
  <cols>
    <col min="1" max="1" width="15.28515625" style="60" customWidth="1"/>
    <col min="2" max="2" width="8.85546875" style="60" bestFit="1" customWidth="1"/>
    <col min="3" max="4" width="9.140625" style="60"/>
    <col min="5" max="5" width="10.140625" style="60" customWidth="1"/>
    <col min="6" max="6" width="12.28515625" style="60" customWidth="1"/>
    <col min="7" max="7" width="11.85546875" style="60" customWidth="1"/>
  </cols>
  <sheetData>
    <row r="1" spans="1:7" x14ac:dyDescent="0.25">
      <c r="A1" s="60">
        <v>1</v>
      </c>
      <c r="B1" s="60">
        <f>A1+1</f>
        <v>2</v>
      </c>
      <c r="C1" s="60">
        <f>B1+1</f>
        <v>3</v>
      </c>
      <c r="D1" s="60">
        <v>4</v>
      </c>
      <c r="E1" s="60">
        <v>5</v>
      </c>
      <c r="F1" s="60">
        <v>6</v>
      </c>
      <c r="G1" s="60">
        <v>7</v>
      </c>
    </row>
    <row r="2" spans="1:7" ht="15.75" thickBot="1" x14ac:dyDescent="0.3">
      <c r="A2" s="65"/>
      <c r="C2" s="63"/>
    </row>
    <row r="3" spans="1:7" ht="48" thickBot="1" x14ac:dyDescent="0.3">
      <c r="A3" s="124" t="s">
        <v>0</v>
      </c>
      <c r="B3" s="124" t="s">
        <v>1</v>
      </c>
      <c r="C3" s="124" t="s">
        <v>364</v>
      </c>
      <c r="D3" s="124" t="s">
        <v>383</v>
      </c>
      <c r="E3" s="124" t="s">
        <v>379</v>
      </c>
      <c r="F3" s="124" t="s">
        <v>380</v>
      </c>
      <c r="G3" s="125" t="s">
        <v>445</v>
      </c>
    </row>
    <row r="4" spans="1:7" ht="15" customHeight="1" x14ac:dyDescent="0.25">
      <c r="A4" s="283" t="s">
        <v>16</v>
      </c>
      <c r="B4" s="185">
        <v>1</v>
      </c>
      <c r="C4" s="200">
        <v>20</v>
      </c>
      <c r="D4" s="206">
        <v>0.33</v>
      </c>
      <c r="E4" s="206">
        <v>1</v>
      </c>
      <c r="F4" s="206">
        <v>9.16</v>
      </c>
      <c r="G4" s="207">
        <v>68.7</v>
      </c>
    </row>
    <row r="5" spans="1:7" x14ac:dyDescent="0.25">
      <c r="A5" s="284"/>
      <c r="B5" s="186" t="s">
        <v>397</v>
      </c>
      <c r="C5" s="202">
        <v>17</v>
      </c>
      <c r="D5" s="189">
        <v>0.28999999999999998</v>
      </c>
      <c r="E5" s="189">
        <v>1</v>
      </c>
      <c r="F5" s="189">
        <v>10.44</v>
      </c>
      <c r="G5" s="190">
        <v>68.81</v>
      </c>
    </row>
    <row r="6" spans="1:7" x14ac:dyDescent="0.25">
      <c r="A6" s="284"/>
      <c r="B6" s="186" t="s">
        <v>398</v>
      </c>
      <c r="C6" s="202">
        <v>20</v>
      </c>
      <c r="D6" s="189">
        <v>0.36</v>
      </c>
      <c r="E6" s="189">
        <v>1</v>
      </c>
      <c r="F6" s="189">
        <v>9.16</v>
      </c>
      <c r="G6" s="190">
        <v>74.95</v>
      </c>
    </row>
    <row r="7" spans="1:7" x14ac:dyDescent="0.25">
      <c r="A7" s="284"/>
      <c r="B7" s="186" t="s">
        <v>399</v>
      </c>
      <c r="C7" s="202">
        <v>13</v>
      </c>
      <c r="D7" s="189">
        <v>0.36</v>
      </c>
      <c r="E7" s="189">
        <v>1</v>
      </c>
      <c r="F7" s="189">
        <v>6.84</v>
      </c>
      <c r="G7" s="190">
        <v>55.96</v>
      </c>
    </row>
    <row r="8" spans="1:7" x14ac:dyDescent="0.25">
      <c r="A8" s="284"/>
      <c r="B8" s="186" t="s">
        <v>400</v>
      </c>
      <c r="C8" s="202">
        <v>3</v>
      </c>
      <c r="D8" s="189">
        <v>0.06</v>
      </c>
      <c r="E8" s="189">
        <v>1</v>
      </c>
      <c r="F8" s="189">
        <v>2.2200000000000002</v>
      </c>
      <c r="G8" s="190">
        <v>3.03</v>
      </c>
    </row>
    <row r="9" spans="1:7" x14ac:dyDescent="0.25">
      <c r="A9" s="284"/>
      <c r="B9" s="186" t="s">
        <v>401</v>
      </c>
      <c r="C9" s="202">
        <v>20</v>
      </c>
      <c r="D9" s="189">
        <v>0.01</v>
      </c>
      <c r="E9" s="189">
        <v>1</v>
      </c>
      <c r="F9" s="189">
        <v>9.16</v>
      </c>
      <c r="G9" s="190">
        <v>2.08</v>
      </c>
    </row>
    <row r="10" spans="1:7" x14ac:dyDescent="0.25">
      <c r="A10" s="284"/>
      <c r="B10" s="186" t="s">
        <v>402</v>
      </c>
      <c r="C10" s="202">
        <v>12</v>
      </c>
      <c r="D10" s="189">
        <v>0.19</v>
      </c>
      <c r="E10" s="189">
        <v>1</v>
      </c>
      <c r="F10" s="189">
        <v>4.6399999999999997</v>
      </c>
      <c r="G10" s="190">
        <v>20.04</v>
      </c>
    </row>
    <row r="11" spans="1:7" x14ac:dyDescent="0.25">
      <c r="A11" s="284"/>
      <c r="B11" s="186" t="s">
        <v>403</v>
      </c>
      <c r="C11" s="202">
        <v>19</v>
      </c>
      <c r="D11" s="189">
        <v>0.16</v>
      </c>
      <c r="E11" s="189">
        <v>0.91007907703857915</v>
      </c>
      <c r="F11" s="189">
        <v>6.2</v>
      </c>
      <c r="G11" s="190">
        <v>20.52</v>
      </c>
    </row>
    <row r="12" spans="1:7" x14ac:dyDescent="0.25">
      <c r="A12" s="284"/>
      <c r="B12" s="186" t="s">
        <v>404</v>
      </c>
      <c r="C12" s="202">
        <v>20</v>
      </c>
      <c r="D12" s="189">
        <v>0.36</v>
      </c>
      <c r="E12" s="189">
        <v>1</v>
      </c>
      <c r="F12" s="189">
        <v>9.16</v>
      </c>
      <c r="G12" s="190">
        <v>74.95</v>
      </c>
    </row>
    <row r="13" spans="1:7" x14ac:dyDescent="0.25">
      <c r="A13" s="284"/>
      <c r="B13" s="186" t="s">
        <v>405</v>
      </c>
      <c r="C13" s="202">
        <v>20</v>
      </c>
      <c r="D13" s="189">
        <v>0.36</v>
      </c>
      <c r="E13" s="189">
        <v>1</v>
      </c>
      <c r="F13" s="189">
        <v>9.16</v>
      </c>
      <c r="G13" s="190">
        <v>74.95</v>
      </c>
    </row>
    <row r="14" spans="1:7" x14ac:dyDescent="0.25">
      <c r="A14" s="284"/>
      <c r="B14" s="186" t="s">
        <v>406</v>
      </c>
      <c r="C14" s="202">
        <v>20</v>
      </c>
      <c r="D14" s="189">
        <v>0.33</v>
      </c>
      <c r="E14" s="189">
        <v>1</v>
      </c>
      <c r="F14" s="189">
        <v>9.16</v>
      </c>
      <c r="G14" s="190">
        <v>68.7</v>
      </c>
    </row>
    <row r="15" spans="1:7" ht="15.75" thickBot="1" x14ac:dyDescent="0.3">
      <c r="A15" s="285"/>
      <c r="B15" s="187" t="s">
        <v>407</v>
      </c>
      <c r="C15" s="204">
        <v>20</v>
      </c>
      <c r="D15" s="191">
        <v>0.33</v>
      </c>
      <c r="E15" s="191">
        <v>1</v>
      </c>
      <c r="F15" s="191">
        <v>9.16</v>
      </c>
      <c r="G15" s="192">
        <v>68.7</v>
      </c>
    </row>
    <row r="16" spans="1:7" ht="15" customHeight="1" x14ac:dyDescent="0.25">
      <c r="A16" s="283" t="s">
        <v>17</v>
      </c>
      <c r="B16" s="188" t="s">
        <v>408</v>
      </c>
      <c r="C16" s="200">
        <v>4</v>
      </c>
      <c r="D16" s="206">
        <v>0.08</v>
      </c>
      <c r="E16" s="206">
        <v>1</v>
      </c>
      <c r="F16" s="206">
        <v>2.64</v>
      </c>
      <c r="G16" s="207">
        <v>4.8</v>
      </c>
    </row>
    <row r="17" spans="1:7" x14ac:dyDescent="0.25">
      <c r="A17" s="284"/>
      <c r="B17" s="186" t="s">
        <v>409</v>
      </c>
      <c r="C17" s="202">
        <v>20</v>
      </c>
      <c r="D17" s="189">
        <v>0.02</v>
      </c>
      <c r="E17" s="189">
        <v>1</v>
      </c>
      <c r="F17" s="189">
        <v>9.16</v>
      </c>
      <c r="G17" s="190">
        <v>4.16</v>
      </c>
    </row>
    <row r="18" spans="1:7" x14ac:dyDescent="0.25">
      <c r="A18" s="284"/>
      <c r="B18" s="186" t="s">
        <v>410</v>
      </c>
      <c r="C18" s="202">
        <v>32</v>
      </c>
      <c r="D18" s="189">
        <v>0.66</v>
      </c>
      <c r="E18" s="189">
        <v>1</v>
      </c>
      <c r="F18" s="189">
        <v>31.34</v>
      </c>
      <c r="G18" s="190">
        <v>470.1</v>
      </c>
    </row>
    <row r="19" spans="1:7" x14ac:dyDescent="0.25">
      <c r="A19" s="284"/>
      <c r="B19" s="186" t="s">
        <v>411</v>
      </c>
      <c r="C19" s="202">
        <v>20</v>
      </c>
      <c r="D19" s="189">
        <v>0.6</v>
      </c>
      <c r="E19" s="189">
        <v>1</v>
      </c>
      <c r="F19" s="189">
        <v>9.16</v>
      </c>
      <c r="G19" s="190">
        <v>124.91</v>
      </c>
    </row>
    <row r="20" spans="1:7" x14ac:dyDescent="0.25">
      <c r="A20" s="284"/>
      <c r="B20" s="186" t="s">
        <v>412</v>
      </c>
      <c r="C20" s="202">
        <v>20</v>
      </c>
      <c r="D20" s="189">
        <v>0.34</v>
      </c>
      <c r="E20" s="189">
        <v>1</v>
      </c>
      <c r="F20" s="189">
        <v>9.16</v>
      </c>
      <c r="G20" s="190">
        <v>70.78</v>
      </c>
    </row>
    <row r="21" spans="1:7" x14ac:dyDescent="0.25">
      <c r="A21" s="284"/>
      <c r="B21" s="186" t="s">
        <v>413</v>
      </c>
      <c r="C21" s="202">
        <v>20</v>
      </c>
      <c r="D21" s="189">
        <v>0.34</v>
      </c>
      <c r="E21" s="189">
        <v>1</v>
      </c>
      <c r="F21" s="189">
        <v>9.16</v>
      </c>
      <c r="G21" s="190">
        <v>70.78</v>
      </c>
    </row>
    <row r="22" spans="1:7" x14ac:dyDescent="0.25">
      <c r="A22" s="284"/>
      <c r="B22" s="186" t="s">
        <v>414</v>
      </c>
      <c r="C22" s="202">
        <v>20</v>
      </c>
      <c r="D22" s="189">
        <v>0.34</v>
      </c>
      <c r="E22" s="189">
        <v>1</v>
      </c>
      <c r="F22" s="189">
        <v>9.16</v>
      </c>
      <c r="G22" s="190">
        <v>70.78</v>
      </c>
    </row>
    <row r="23" spans="1:7" x14ac:dyDescent="0.25">
      <c r="A23" s="284"/>
      <c r="B23" s="186" t="s">
        <v>415</v>
      </c>
      <c r="C23" s="202">
        <v>20</v>
      </c>
      <c r="D23" s="189">
        <v>0.34</v>
      </c>
      <c r="E23" s="189">
        <v>1</v>
      </c>
      <c r="F23" s="189">
        <v>9.16</v>
      </c>
      <c r="G23" s="190">
        <v>70.78</v>
      </c>
    </row>
    <row r="24" spans="1:7" x14ac:dyDescent="0.25">
      <c r="A24" s="284"/>
      <c r="B24" s="186" t="s">
        <v>416</v>
      </c>
      <c r="C24" s="202">
        <v>20</v>
      </c>
      <c r="D24" s="189">
        <v>0.37</v>
      </c>
      <c r="E24" s="189">
        <v>1</v>
      </c>
      <c r="F24" s="189">
        <v>9.16</v>
      </c>
      <c r="G24" s="190">
        <v>77.03</v>
      </c>
    </row>
    <row r="25" spans="1:7" x14ac:dyDescent="0.25">
      <c r="A25" s="284"/>
      <c r="B25" s="186" t="s">
        <v>417</v>
      </c>
      <c r="C25" s="202">
        <v>20</v>
      </c>
      <c r="D25" s="189">
        <v>0.37</v>
      </c>
      <c r="E25" s="189">
        <v>1</v>
      </c>
      <c r="F25" s="189">
        <v>9.16</v>
      </c>
      <c r="G25" s="190">
        <v>77.03</v>
      </c>
    </row>
    <row r="26" spans="1:7" x14ac:dyDescent="0.25">
      <c r="A26" s="284"/>
      <c r="B26" s="186" t="s">
        <v>396</v>
      </c>
      <c r="C26" s="202">
        <v>20</v>
      </c>
      <c r="D26" s="189">
        <v>0.35</v>
      </c>
      <c r="E26" s="189">
        <v>1</v>
      </c>
      <c r="F26" s="189">
        <v>9.16</v>
      </c>
      <c r="G26" s="190">
        <v>72.86</v>
      </c>
    </row>
    <row r="27" spans="1:7" ht="15.75" thickBot="1" x14ac:dyDescent="0.3">
      <c r="A27" s="285"/>
      <c r="B27" s="187" t="s">
        <v>418</v>
      </c>
      <c r="C27" s="204">
        <v>20</v>
      </c>
      <c r="D27" s="191">
        <v>0.35</v>
      </c>
      <c r="E27" s="191">
        <v>1</v>
      </c>
      <c r="F27" s="191">
        <v>9.16</v>
      </c>
      <c r="G27" s="192">
        <v>72.86</v>
      </c>
    </row>
    <row r="28" spans="1:7" ht="15" customHeight="1" x14ac:dyDescent="0.25">
      <c r="A28" s="283" t="s">
        <v>18</v>
      </c>
      <c r="B28" s="188" t="s">
        <v>419</v>
      </c>
      <c r="C28" s="200">
        <v>20</v>
      </c>
      <c r="D28" s="206">
        <v>0.5</v>
      </c>
      <c r="E28" s="206">
        <v>1</v>
      </c>
      <c r="F28" s="206">
        <v>9.16</v>
      </c>
      <c r="G28" s="207">
        <v>104.09</v>
      </c>
    </row>
    <row r="29" spans="1:7" x14ac:dyDescent="0.25">
      <c r="A29" s="284"/>
      <c r="B29" s="186" t="s">
        <v>420</v>
      </c>
      <c r="C29" s="202">
        <v>20</v>
      </c>
      <c r="D29" s="189">
        <v>0.48</v>
      </c>
      <c r="E29" s="189">
        <v>1</v>
      </c>
      <c r="F29" s="189">
        <v>9.16</v>
      </c>
      <c r="G29" s="190">
        <v>99.93</v>
      </c>
    </row>
    <row r="30" spans="1:7" x14ac:dyDescent="0.25">
      <c r="A30" s="284"/>
      <c r="B30" s="186" t="s">
        <v>421</v>
      </c>
      <c r="C30" s="202">
        <v>20</v>
      </c>
      <c r="D30" s="189">
        <v>0.42</v>
      </c>
      <c r="E30" s="189">
        <v>1</v>
      </c>
      <c r="F30" s="189">
        <v>9.16</v>
      </c>
      <c r="G30" s="190">
        <v>87.44</v>
      </c>
    </row>
    <row r="31" spans="1:7" x14ac:dyDescent="0.25">
      <c r="A31" s="284"/>
      <c r="B31" s="184" t="s">
        <v>422</v>
      </c>
      <c r="C31" s="202">
        <v>20</v>
      </c>
      <c r="D31" s="189">
        <v>0.35</v>
      </c>
      <c r="E31" s="189">
        <v>1</v>
      </c>
      <c r="F31" s="189">
        <v>9.16</v>
      </c>
      <c r="G31" s="190">
        <v>72.86</v>
      </c>
    </row>
    <row r="32" spans="1:7" x14ac:dyDescent="0.25">
      <c r="A32" s="284"/>
      <c r="B32" s="184" t="s">
        <v>423</v>
      </c>
      <c r="C32" s="202">
        <v>20</v>
      </c>
      <c r="D32" s="189">
        <v>0.28999999999999998</v>
      </c>
      <c r="E32" s="189">
        <v>1</v>
      </c>
      <c r="F32" s="189">
        <v>9.16</v>
      </c>
      <c r="G32" s="190">
        <v>60.37</v>
      </c>
    </row>
    <row r="33" spans="1:7" x14ac:dyDescent="0.25">
      <c r="A33" s="284"/>
      <c r="B33" s="184" t="s">
        <v>424</v>
      </c>
      <c r="C33" s="202">
        <v>20</v>
      </c>
      <c r="D33" s="189">
        <v>0.23</v>
      </c>
      <c r="E33" s="189">
        <v>1</v>
      </c>
      <c r="F33" s="189">
        <v>9.16</v>
      </c>
      <c r="G33" s="190">
        <v>47.88</v>
      </c>
    </row>
    <row r="34" spans="1:7" x14ac:dyDescent="0.25">
      <c r="A34" s="284"/>
      <c r="B34" s="184" t="s">
        <v>425</v>
      </c>
      <c r="C34" s="202">
        <v>20</v>
      </c>
      <c r="D34" s="189">
        <v>0.23</v>
      </c>
      <c r="E34" s="189">
        <v>1</v>
      </c>
      <c r="F34" s="189">
        <v>9.16</v>
      </c>
      <c r="G34" s="190">
        <v>47.88</v>
      </c>
    </row>
    <row r="35" spans="1:7" x14ac:dyDescent="0.25">
      <c r="A35" s="284"/>
      <c r="B35" s="184" t="s">
        <v>426</v>
      </c>
      <c r="C35" s="202">
        <v>20</v>
      </c>
      <c r="D35" s="189">
        <v>0.28999999999999998</v>
      </c>
      <c r="E35" s="189">
        <v>1</v>
      </c>
      <c r="F35" s="189">
        <v>9.16</v>
      </c>
      <c r="G35" s="190">
        <v>60.37</v>
      </c>
    </row>
    <row r="36" spans="1:7" x14ac:dyDescent="0.25">
      <c r="A36" s="284"/>
      <c r="B36" s="184" t="s">
        <v>427</v>
      </c>
      <c r="C36" s="202">
        <v>20</v>
      </c>
      <c r="D36" s="189">
        <v>0.35</v>
      </c>
      <c r="E36" s="189">
        <v>1</v>
      </c>
      <c r="F36" s="189">
        <v>9.16</v>
      </c>
      <c r="G36" s="190">
        <v>72.86</v>
      </c>
    </row>
    <row r="37" spans="1:7" x14ac:dyDescent="0.25">
      <c r="A37" s="284"/>
      <c r="B37" s="186" t="s">
        <v>428</v>
      </c>
      <c r="C37" s="202">
        <v>20</v>
      </c>
      <c r="D37" s="189">
        <v>0.42</v>
      </c>
      <c r="E37" s="189">
        <v>1</v>
      </c>
      <c r="F37" s="189">
        <v>9.16</v>
      </c>
      <c r="G37" s="190">
        <v>87.44</v>
      </c>
    </row>
    <row r="38" spans="1:7" x14ac:dyDescent="0.25">
      <c r="A38" s="284"/>
      <c r="B38" s="186" t="s">
        <v>429</v>
      </c>
      <c r="C38" s="202">
        <v>20</v>
      </c>
      <c r="D38" s="189">
        <v>0.48</v>
      </c>
      <c r="E38" s="189">
        <v>1</v>
      </c>
      <c r="F38" s="189">
        <v>9.16</v>
      </c>
      <c r="G38" s="190">
        <v>99.93</v>
      </c>
    </row>
    <row r="39" spans="1:7" ht="15.75" thickBot="1" x14ac:dyDescent="0.3">
      <c r="A39" s="285"/>
      <c r="B39" s="187" t="s">
        <v>430</v>
      </c>
      <c r="C39" s="204">
        <v>20</v>
      </c>
      <c r="D39" s="191">
        <v>0.5</v>
      </c>
      <c r="E39" s="191">
        <v>1</v>
      </c>
      <c r="F39" s="191">
        <v>9.16</v>
      </c>
      <c r="G39" s="192">
        <v>104.09</v>
      </c>
    </row>
    <row r="40" spans="1:7" ht="15" customHeight="1" x14ac:dyDescent="0.25">
      <c r="A40" s="283" t="s">
        <v>19</v>
      </c>
      <c r="B40" s="188" t="s">
        <v>431</v>
      </c>
      <c r="C40" s="200">
        <v>20</v>
      </c>
      <c r="D40" s="206">
        <v>0.81</v>
      </c>
      <c r="E40" s="206">
        <v>1</v>
      </c>
      <c r="F40" s="206">
        <v>9.16</v>
      </c>
      <c r="G40" s="207">
        <v>168.63</v>
      </c>
    </row>
    <row r="41" spans="1:7" x14ac:dyDescent="0.25">
      <c r="A41" s="284"/>
      <c r="B41" s="186" t="s">
        <v>432</v>
      </c>
      <c r="C41" s="202">
        <v>20</v>
      </c>
      <c r="D41" s="189">
        <v>0.7</v>
      </c>
      <c r="E41" s="189">
        <v>1</v>
      </c>
      <c r="F41" s="189">
        <v>9.16</v>
      </c>
      <c r="G41" s="190">
        <v>145.72999999999999</v>
      </c>
    </row>
    <row r="42" spans="1:7" x14ac:dyDescent="0.25">
      <c r="A42" s="284"/>
      <c r="B42" s="186" t="s">
        <v>433</v>
      </c>
      <c r="C42" s="202">
        <v>20</v>
      </c>
      <c r="D42" s="189">
        <v>0.59</v>
      </c>
      <c r="E42" s="189">
        <v>1</v>
      </c>
      <c r="F42" s="189">
        <v>9.16</v>
      </c>
      <c r="G42" s="190">
        <v>122.83</v>
      </c>
    </row>
    <row r="43" spans="1:7" x14ac:dyDescent="0.25">
      <c r="A43" s="284"/>
      <c r="B43" s="184" t="s">
        <v>434</v>
      </c>
      <c r="C43" s="202">
        <v>20</v>
      </c>
      <c r="D43" s="189">
        <v>0.48</v>
      </c>
      <c r="E43" s="189">
        <v>1</v>
      </c>
      <c r="F43" s="189">
        <v>9.16</v>
      </c>
      <c r="G43" s="190">
        <v>99.93</v>
      </c>
    </row>
    <row r="44" spans="1:7" x14ac:dyDescent="0.25">
      <c r="A44" s="284"/>
      <c r="B44" s="184" t="s">
        <v>435</v>
      </c>
      <c r="C44" s="202">
        <v>20</v>
      </c>
      <c r="D44" s="189">
        <v>0.37</v>
      </c>
      <c r="E44" s="189">
        <v>1</v>
      </c>
      <c r="F44" s="189">
        <v>9.16</v>
      </c>
      <c r="G44" s="190">
        <v>77.03</v>
      </c>
    </row>
    <row r="45" spans="1:7" x14ac:dyDescent="0.25">
      <c r="A45" s="284"/>
      <c r="B45" s="184" t="s">
        <v>436</v>
      </c>
      <c r="C45" s="202">
        <v>20</v>
      </c>
      <c r="D45" s="189">
        <v>0.28000000000000003</v>
      </c>
      <c r="E45" s="189">
        <v>1</v>
      </c>
      <c r="F45" s="189">
        <v>9.16</v>
      </c>
      <c r="G45" s="190">
        <v>58.29</v>
      </c>
    </row>
    <row r="46" spans="1:7" x14ac:dyDescent="0.25">
      <c r="A46" s="284"/>
      <c r="B46" s="184" t="s">
        <v>437</v>
      </c>
      <c r="C46" s="202">
        <v>20</v>
      </c>
      <c r="D46" s="189">
        <v>0.37</v>
      </c>
      <c r="E46" s="189">
        <v>1</v>
      </c>
      <c r="F46" s="189">
        <v>9.16</v>
      </c>
      <c r="G46" s="190">
        <v>77.03</v>
      </c>
    </row>
    <row r="47" spans="1:7" x14ac:dyDescent="0.25">
      <c r="A47" s="284"/>
      <c r="B47" s="184" t="s">
        <v>438</v>
      </c>
      <c r="C47" s="202">
        <v>20</v>
      </c>
      <c r="D47" s="189">
        <v>0.48</v>
      </c>
      <c r="E47" s="189">
        <v>1</v>
      </c>
      <c r="F47" s="189">
        <v>9.16</v>
      </c>
      <c r="G47" s="190">
        <v>99.93</v>
      </c>
    </row>
    <row r="48" spans="1:7" x14ac:dyDescent="0.25">
      <c r="A48" s="284"/>
      <c r="B48" s="186" t="s">
        <v>439</v>
      </c>
      <c r="C48" s="202">
        <v>20</v>
      </c>
      <c r="D48" s="189">
        <v>0.59</v>
      </c>
      <c r="E48" s="189">
        <v>1</v>
      </c>
      <c r="F48" s="189">
        <v>9.16</v>
      </c>
      <c r="G48" s="190">
        <v>122.83</v>
      </c>
    </row>
    <row r="49" spans="1:7" x14ac:dyDescent="0.25">
      <c r="A49" s="284"/>
      <c r="B49" s="186" t="s">
        <v>440</v>
      </c>
      <c r="C49" s="202">
        <v>20</v>
      </c>
      <c r="D49" s="189">
        <v>0.7</v>
      </c>
      <c r="E49" s="189">
        <v>1</v>
      </c>
      <c r="F49" s="189">
        <v>9.16</v>
      </c>
      <c r="G49" s="190">
        <v>145.72999999999999</v>
      </c>
    </row>
    <row r="50" spans="1:7" ht="15.75" thickBot="1" x14ac:dyDescent="0.3">
      <c r="A50" s="284"/>
      <c r="B50" s="187" t="s">
        <v>441</v>
      </c>
      <c r="C50" s="204">
        <v>4</v>
      </c>
      <c r="D50" s="191">
        <v>0.3</v>
      </c>
      <c r="E50" s="191">
        <v>1</v>
      </c>
      <c r="F50" s="191">
        <v>2.64</v>
      </c>
      <c r="G50" s="192">
        <v>18</v>
      </c>
    </row>
    <row r="51" spans="1:7" x14ac:dyDescent="0.25">
      <c r="C51" s="62"/>
    </row>
    <row r="52" spans="1:7" x14ac:dyDescent="0.25">
      <c r="C52" s="62"/>
    </row>
    <row r="53" spans="1:7" x14ac:dyDescent="0.25">
      <c r="C53" s="64"/>
    </row>
  </sheetData>
  <mergeCells count="4">
    <mergeCell ref="A4:A15"/>
    <mergeCell ref="A16:A27"/>
    <mergeCell ref="A28:A39"/>
    <mergeCell ref="A40:A50"/>
  </mergeCells>
  <pageMargins left="0.511811024" right="0.511811024" top="0.78740157499999996" bottom="0.78740157499999996" header="0.31496062000000002" footer="0.31496062000000002"/>
  <pageSetup paperSize="9" scale="7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alcularNcRd">
                <anchor moveWithCells="1" sizeWithCells="1">
                  <from>
                    <xdr:col>7</xdr:col>
                    <xdr:colOff>600075</xdr:colOff>
                    <xdr:row>1</xdr:row>
                    <xdr:rowOff>180975</xdr:rowOff>
                  </from>
                  <to>
                    <xdr:col>10</xdr:col>
                    <xdr:colOff>0</xdr:colOff>
                    <xdr:row>2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11"/>
  <dimension ref="A1:D53"/>
  <sheetViews>
    <sheetView zoomScaleNormal="100" workbookViewId="0">
      <selection activeCell="D3" sqref="D3"/>
    </sheetView>
  </sheetViews>
  <sheetFormatPr defaultRowHeight="15" x14ac:dyDescent="0.25"/>
  <cols>
    <col min="1" max="1" width="15.28515625" style="60" customWidth="1"/>
    <col min="2" max="2" width="8.85546875" style="60" bestFit="1" customWidth="1"/>
    <col min="3" max="3" width="9.140625" style="60"/>
    <col min="4" max="4" width="10.5703125" style="77" bestFit="1" customWidth="1"/>
    <col min="5" max="16384" width="9.140625" style="60"/>
  </cols>
  <sheetData>
    <row r="1" spans="1:4" x14ac:dyDescent="0.25">
      <c r="A1" s="60">
        <v>1</v>
      </c>
      <c r="B1" s="60">
        <f>A1+1</f>
        <v>2</v>
      </c>
      <c r="C1" s="60">
        <f>B1+1</f>
        <v>3</v>
      </c>
      <c r="D1" s="60">
        <f>C1+1</f>
        <v>4</v>
      </c>
    </row>
    <row r="2" spans="1:4" ht="15.75" thickBot="1" x14ac:dyDescent="0.3">
      <c r="A2" s="65"/>
      <c r="C2" s="63"/>
      <c r="D2" s="60"/>
    </row>
    <row r="3" spans="1:4" ht="48" thickBot="1" x14ac:dyDescent="0.3">
      <c r="A3" s="124" t="s">
        <v>0</v>
      </c>
      <c r="B3" s="124" t="s">
        <v>1</v>
      </c>
      <c r="C3" s="124" t="s">
        <v>364</v>
      </c>
      <c r="D3" s="125" t="s">
        <v>386</v>
      </c>
    </row>
    <row r="4" spans="1:4" ht="15" customHeight="1" x14ac:dyDescent="0.25">
      <c r="A4" s="283" t="s">
        <v>16</v>
      </c>
      <c r="B4" s="185">
        <v>1</v>
      </c>
      <c r="C4" s="200">
        <v>20</v>
      </c>
      <c r="D4" s="201">
        <v>208.18</v>
      </c>
    </row>
    <row r="5" spans="1:4" ht="15" customHeight="1" x14ac:dyDescent="0.25">
      <c r="A5" s="284"/>
      <c r="B5" s="186" t="s">
        <v>397</v>
      </c>
      <c r="C5" s="202">
        <v>17</v>
      </c>
      <c r="D5" s="203">
        <v>237.27</v>
      </c>
    </row>
    <row r="6" spans="1:4" ht="15" customHeight="1" x14ac:dyDescent="0.25">
      <c r="A6" s="284"/>
      <c r="B6" s="186" t="s">
        <v>398</v>
      </c>
      <c r="C6" s="202">
        <v>6</v>
      </c>
      <c r="D6" s="203">
        <v>67.27</v>
      </c>
    </row>
    <row r="7" spans="1:4" ht="15" customHeight="1" x14ac:dyDescent="0.25">
      <c r="A7" s="284"/>
      <c r="B7" s="186" t="s">
        <v>399</v>
      </c>
      <c r="C7" s="202">
        <v>13</v>
      </c>
      <c r="D7" s="203">
        <v>155.44999999999999</v>
      </c>
    </row>
    <row r="8" spans="1:4" ht="15" customHeight="1" x14ac:dyDescent="0.25">
      <c r="A8" s="284"/>
      <c r="B8" s="186" t="s">
        <v>400</v>
      </c>
      <c r="C8" s="202">
        <v>7</v>
      </c>
      <c r="D8" s="203">
        <v>99.55</v>
      </c>
    </row>
    <row r="9" spans="1:4" ht="15" customHeight="1" x14ac:dyDescent="0.25">
      <c r="A9" s="284"/>
      <c r="B9" s="186" t="s">
        <v>401</v>
      </c>
      <c r="C9" s="202">
        <v>20</v>
      </c>
      <c r="D9" s="203">
        <v>208.18</v>
      </c>
    </row>
    <row r="10" spans="1:4" ht="15" customHeight="1" x14ac:dyDescent="0.25">
      <c r="A10" s="284"/>
      <c r="B10" s="186" t="s">
        <v>402</v>
      </c>
      <c r="C10" s="202">
        <v>12</v>
      </c>
      <c r="D10" s="203">
        <v>105.45</v>
      </c>
    </row>
    <row r="11" spans="1:4" ht="15" customHeight="1" x14ac:dyDescent="0.25">
      <c r="A11" s="284"/>
      <c r="B11" s="186" t="s">
        <v>403</v>
      </c>
      <c r="C11" s="202">
        <v>19</v>
      </c>
      <c r="D11" s="203">
        <v>140.91</v>
      </c>
    </row>
    <row r="12" spans="1:4" ht="15" customHeight="1" x14ac:dyDescent="0.25">
      <c r="A12" s="284"/>
      <c r="B12" s="186" t="s">
        <v>404</v>
      </c>
      <c r="C12" s="202">
        <v>20</v>
      </c>
      <c r="D12" s="203">
        <v>208.18</v>
      </c>
    </row>
    <row r="13" spans="1:4" ht="15" customHeight="1" x14ac:dyDescent="0.25">
      <c r="A13" s="284"/>
      <c r="B13" s="186" t="s">
        <v>405</v>
      </c>
      <c r="C13" s="202">
        <v>6</v>
      </c>
      <c r="D13" s="203">
        <v>67.27</v>
      </c>
    </row>
    <row r="14" spans="1:4" ht="15" customHeight="1" x14ac:dyDescent="0.25">
      <c r="A14" s="284"/>
      <c r="B14" s="186" t="s">
        <v>406</v>
      </c>
      <c r="C14" s="202">
        <v>20</v>
      </c>
      <c r="D14" s="203">
        <v>208.18</v>
      </c>
    </row>
    <row r="15" spans="1:4" ht="15.75" customHeight="1" thickBot="1" x14ac:dyDescent="0.3">
      <c r="A15" s="285"/>
      <c r="B15" s="187" t="s">
        <v>407</v>
      </c>
      <c r="C15" s="204">
        <v>20</v>
      </c>
      <c r="D15" s="205">
        <v>208.18</v>
      </c>
    </row>
    <row r="16" spans="1:4" ht="15" customHeight="1" x14ac:dyDescent="0.25">
      <c r="A16" s="283" t="s">
        <v>17</v>
      </c>
      <c r="B16" s="188" t="s">
        <v>408</v>
      </c>
      <c r="C16" s="200">
        <v>4</v>
      </c>
      <c r="D16" s="201">
        <v>60</v>
      </c>
    </row>
    <row r="17" spans="1:4" x14ac:dyDescent="0.25">
      <c r="A17" s="284"/>
      <c r="B17" s="186" t="s">
        <v>409</v>
      </c>
      <c r="C17" s="202">
        <v>20</v>
      </c>
      <c r="D17" s="203">
        <v>208.18</v>
      </c>
    </row>
    <row r="18" spans="1:4" x14ac:dyDescent="0.25">
      <c r="A18" s="284"/>
      <c r="B18" s="186" t="s">
        <v>410</v>
      </c>
      <c r="C18" s="202">
        <v>32</v>
      </c>
      <c r="D18" s="203">
        <v>712.27</v>
      </c>
    </row>
    <row r="19" spans="1:4" x14ac:dyDescent="0.25">
      <c r="A19" s="284"/>
      <c r="B19" s="186" t="s">
        <v>411</v>
      </c>
      <c r="C19" s="202">
        <v>20</v>
      </c>
      <c r="D19" s="203">
        <v>208.18</v>
      </c>
    </row>
    <row r="20" spans="1:4" x14ac:dyDescent="0.25">
      <c r="A20" s="284"/>
      <c r="B20" s="186" t="s">
        <v>412</v>
      </c>
      <c r="C20" s="202">
        <v>20</v>
      </c>
      <c r="D20" s="203">
        <v>208.18</v>
      </c>
    </row>
    <row r="21" spans="1:4" x14ac:dyDescent="0.25">
      <c r="A21" s="284"/>
      <c r="B21" s="186" t="s">
        <v>413</v>
      </c>
      <c r="C21" s="202">
        <v>20</v>
      </c>
      <c r="D21" s="203">
        <v>208.18</v>
      </c>
    </row>
    <row r="22" spans="1:4" x14ac:dyDescent="0.25">
      <c r="A22" s="284"/>
      <c r="B22" s="186" t="s">
        <v>414</v>
      </c>
      <c r="C22" s="202">
        <v>20</v>
      </c>
      <c r="D22" s="203">
        <v>208.18</v>
      </c>
    </row>
    <row r="23" spans="1:4" x14ac:dyDescent="0.25">
      <c r="A23" s="284"/>
      <c r="B23" s="186" t="s">
        <v>415</v>
      </c>
      <c r="C23" s="202">
        <v>20</v>
      </c>
      <c r="D23" s="203">
        <v>208.18</v>
      </c>
    </row>
    <row r="24" spans="1:4" x14ac:dyDescent="0.25">
      <c r="A24" s="284"/>
      <c r="B24" s="186" t="s">
        <v>416</v>
      </c>
      <c r="C24" s="202">
        <v>20</v>
      </c>
      <c r="D24" s="203">
        <v>208.18</v>
      </c>
    </row>
    <row r="25" spans="1:4" x14ac:dyDescent="0.25">
      <c r="A25" s="284"/>
      <c r="B25" s="186" t="s">
        <v>417</v>
      </c>
      <c r="C25" s="202">
        <v>20</v>
      </c>
      <c r="D25" s="203">
        <v>208.18</v>
      </c>
    </row>
    <row r="26" spans="1:4" x14ac:dyDescent="0.25">
      <c r="A26" s="284"/>
      <c r="B26" s="186" t="s">
        <v>396</v>
      </c>
      <c r="C26" s="202">
        <v>20</v>
      </c>
      <c r="D26" s="203">
        <v>208.18</v>
      </c>
    </row>
    <row r="27" spans="1:4" ht="15.75" thickBot="1" x14ac:dyDescent="0.3">
      <c r="A27" s="285"/>
      <c r="B27" s="187" t="s">
        <v>418</v>
      </c>
      <c r="C27" s="204">
        <v>20</v>
      </c>
      <c r="D27" s="205">
        <v>208.18</v>
      </c>
    </row>
    <row r="28" spans="1:4" ht="15" customHeight="1" x14ac:dyDescent="0.25">
      <c r="A28" s="283" t="s">
        <v>18</v>
      </c>
      <c r="B28" s="188" t="s">
        <v>419</v>
      </c>
      <c r="C28" s="200">
        <v>20</v>
      </c>
      <c r="D28" s="201">
        <v>208.18</v>
      </c>
    </row>
    <row r="29" spans="1:4" x14ac:dyDescent="0.25">
      <c r="A29" s="284"/>
      <c r="B29" s="186" t="s">
        <v>420</v>
      </c>
      <c r="C29" s="202">
        <v>20</v>
      </c>
      <c r="D29" s="203">
        <v>208.18</v>
      </c>
    </row>
    <row r="30" spans="1:4" x14ac:dyDescent="0.25">
      <c r="A30" s="284"/>
      <c r="B30" s="186" t="s">
        <v>421</v>
      </c>
      <c r="C30" s="202">
        <v>20</v>
      </c>
      <c r="D30" s="203">
        <v>208.18</v>
      </c>
    </row>
    <row r="31" spans="1:4" x14ac:dyDescent="0.25">
      <c r="A31" s="284"/>
      <c r="B31" s="184" t="s">
        <v>422</v>
      </c>
      <c r="C31" s="202">
        <v>20</v>
      </c>
      <c r="D31" s="203">
        <v>208.18</v>
      </c>
    </row>
    <row r="32" spans="1:4" x14ac:dyDescent="0.25">
      <c r="A32" s="284"/>
      <c r="B32" s="184" t="s">
        <v>423</v>
      </c>
      <c r="C32" s="202">
        <v>20</v>
      </c>
      <c r="D32" s="203">
        <v>208.18</v>
      </c>
    </row>
    <row r="33" spans="1:4" x14ac:dyDescent="0.25">
      <c r="A33" s="284"/>
      <c r="B33" s="184" t="s">
        <v>424</v>
      </c>
      <c r="C33" s="202">
        <v>20</v>
      </c>
      <c r="D33" s="203">
        <v>208.18</v>
      </c>
    </row>
    <row r="34" spans="1:4" x14ac:dyDescent="0.25">
      <c r="A34" s="284"/>
      <c r="B34" s="184" t="s">
        <v>425</v>
      </c>
      <c r="C34" s="202">
        <v>20</v>
      </c>
      <c r="D34" s="203">
        <v>208.18</v>
      </c>
    </row>
    <row r="35" spans="1:4" x14ac:dyDescent="0.25">
      <c r="A35" s="284"/>
      <c r="B35" s="184" t="s">
        <v>426</v>
      </c>
      <c r="C35" s="202">
        <v>20</v>
      </c>
      <c r="D35" s="203">
        <v>208.18</v>
      </c>
    </row>
    <row r="36" spans="1:4" x14ac:dyDescent="0.25">
      <c r="A36" s="284"/>
      <c r="B36" s="184" t="s">
        <v>427</v>
      </c>
      <c r="C36" s="202">
        <v>20</v>
      </c>
      <c r="D36" s="203">
        <v>208.18</v>
      </c>
    </row>
    <row r="37" spans="1:4" x14ac:dyDescent="0.25">
      <c r="A37" s="284"/>
      <c r="B37" s="186" t="s">
        <v>428</v>
      </c>
      <c r="C37" s="202">
        <v>20</v>
      </c>
      <c r="D37" s="203">
        <v>208.18</v>
      </c>
    </row>
    <row r="38" spans="1:4" x14ac:dyDescent="0.25">
      <c r="A38" s="284"/>
      <c r="B38" s="186" t="s">
        <v>429</v>
      </c>
      <c r="C38" s="202">
        <v>20</v>
      </c>
      <c r="D38" s="203">
        <v>208.18</v>
      </c>
    </row>
    <row r="39" spans="1:4" ht="15.75" thickBot="1" x14ac:dyDescent="0.3">
      <c r="A39" s="285"/>
      <c r="B39" s="187" t="s">
        <v>430</v>
      </c>
      <c r="C39" s="204">
        <v>20</v>
      </c>
      <c r="D39" s="205">
        <v>208.18</v>
      </c>
    </row>
    <row r="40" spans="1:4" ht="15" customHeight="1" x14ac:dyDescent="0.25">
      <c r="A40" s="283" t="s">
        <v>19</v>
      </c>
      <c r="B40" s="188" t="s">
        <v>431</v>
      </c>
      <c r="C40" s="200">
        <v>20</v>
      </c>
      <c r="D40" s="201">
        <v>208.18</v>
      </c>
    </row>
    <row r="41" spans="1:4" x14ac:dyDescent="0.25">
      <c r="A41" s="284"/>
      <c r="B41" s="186" t="s">
        <v>432</v>
      </c>
      <c r="C41" s="202">
        <v>20</v>
      </c>
      <c r="D41" s="203">
        <v>208.18</v>
      </c>
    </row>
    <row r="42" spans="1:4" x14ac:dyDescent="0.25">
      <c r="A42" s="284"/>
      <c r="B42" s="186" t="s">
        <v>433</v>
      </c>
      <c r="C42" s="202">
        <v>20</v>
      </c>
      <c r="D42" s="203">
        <v>208.18</v>
      </c>
    </row>
    <row r="43" spans="1:4" x14ac:dyDescent="0.25">
      <c r="A43" s="284"/>
      <c r="B43" s="184" t="s">
        <v>434</v>
      </c>
      <c r="C43" s="202">
        <v>20</v>
      </c>
      <c r="D43" s="203">
        <v>208.18</v>
      </c>
    </row>
    <row r="44" spans="1:4" x14ac:dyDescent="0.25">
      <c r="A44" s="284"/>
      <c r="B44" s="184" t="s">
        <v>435</v>
      </c>
      <c r="C44" s="202">
        <v>20</v>
      </c>
      <c r="D44" s="203">
        <v>208.18</v>
      </c>
    </row>
    <row r="45" spans="1:4" x14ac:dyDescent="0.25">
      <c r="A45" s="284"/>
      <c r="B45" s="184" t="s">
        <v>436</v>
      </c>
      <c r="C45" s="202">
        <v>20</v>
      </c>
      <c r="D45" s="203">
        <v>208.18</v>
      </c>
    </row>
    <row r="46" spans="1:4" x14ac:dyDescent="0.25">
      <c r="A46" s="284"/>
      <c r="B46" s="184" t="s">
        <v>437</v>
      </c>
      <c r="C46" s="202">
        <v>20</v>
      </c>
      <c r="D46" s="203">
        <v>208.18</v>
      </c>
    </row>
    <row r="47" spans="1:4" x14ac:dyDescent="0.25">
      <c r="A47" s="284"/>
      <c r="B47" s="184" t="s">
        <v>438</v>
      </c>
      <c r="C47" s="202">
        <v>20</v>
      </c>
      <c r="D47" s="203">
        <v>208.18</v>
      </c>
    </row>
    <row r="48" spans="1:4" x14ac:dyDescent="0.25">
      <c r="A48" s="284"/>
      <c r="B48" s="186" t="s">
        <v>439</v>
      </c>
      <c r="C48" s="202">
        <v>20</v>
      </c>
      <c r="D48" s="203">
        <v>208.18</v>
      </c>
    </row>
    <row r="49" spans="1:4" x14ac:dyDescent="0.25">
      <c r="A49" s="284"/>
      <c r="B49" s="186" t="s">
        <v>440</v>
      </c>
      <c r="C49" s="202">
        <v>20</v>
      </c>
      <c r="D49" s="203">
        <v>208.18</v>
      </c>
    </row>
    <row r="50" spans="1:4" ht="15.75" thickBot="1" x14ac:dyDescent="0.3">
      <c r="A50" s="284"/>
      <c r="B50" s="187" t="s">
        <v>441</v>
      </c>
      <c r="C50" s="204">
        <v>4</v>
      </c>
      <c r="D50" s="205">
        <v>60</v>
      </c>
    </row>
    <row r="51" spans="1:4" x14ac:dyDescent="0.25">
      <c r="C51" s="75">
        <v>2</v>
      </c>
      <c r="D51" s="82">
        <v>40.909999999999997</v>
      </c>
    </row>
    <row r="52" spans="1:4" x14ac:dyDescent="0.25">
      <c r="C52" s="75"/>
      <c r="D52" s="76"/>
    </row>
    <row r="53" spans="1:4" x14ac:dyDescent="0.25">
      <c r="C53" s="64"/>
    </row>
  </sheetData>
  <mergeCells count="4">
    <mergeCell ref="A4:A15"/>
    <mergeCell ref="A16:A27"/>
    <mergeCell ref="A28:A39"/>
    <mergeCell ref="A40:A5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alcularNtRd">
                <anchor moveWithCells="1" sizeWithCells="1">
                  <from>
                    <xdr:col>4</xdr:col>
                    <xdr:colOff>600075</xdr:colOff>
                    <xdr:row>2</xdr:row>
                    <xdr:rowOff>0</xdr:rowOff>
                  </from>
                  <to>
                    <xdr:col>6</xdr:col>
                    <xdr:colOff>552450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12"/>
  <dimension ref="A1:K53"/>
  <sheetViews>
    <sheetView zoomScale="70" zoomScaleNormal="70" workbookViewId="0">
      <selection activeCell="R14" sqref="R14"/>
    </sheetView>
  </sheetViews>
  <sheetFormatPr defaultRowHeight="15" x14ac:dyDescent="0.25"/>
  <cols>
    <col min="1" max="1" width="17.7109375" style="60" bestFit="1" customWidth="1"/>
    <col min="2" max="2" width="8.85546875" style="60" bestFit="1" customWidth="1"/>
    <col min="3" max="3" width="9.140625" style="60"/>
    <col min="4" max="4" width="14.5703125" style="77" bestFit="1" customWidth="1"/>
    <col min="5" max="5" width="13.85546875" style="78" bestFit="1" customWidth="1"/>
    <col min="6" max="6" width="10.7109375" style="77" bestFit="1" customWidth="1"/>
    <col min="7" max="7" width="10.5703125" style="77" bestFit="1" customWidth="1"/>
    <col min="8" max="8" width="16.28515625" style="77" customWidth="1"/>
    <col min="9" max="9" width="17.85546875" style="81" customWidth="1"/>
    <col min="10" max="10" width="12.140625" style="81" bestFit="1" customWidth="1"/>
  </cols>
  <sheetData>
    <row r="1" spans="1:10" x14ac:dyDescent="0.25">
      <c r="A1" s="60">
        <v>1</v>
      </c>
      <c r="B1" s="60">
        <f t="shared" ref="B1:J1" si="0">A1+1</f>
        <v>2</v>
      </c>
      <c r="C1" s="60">
        <f t="shared" si="0"/>
        <v>3</v>
      </c>
      <c r="D1" s="60">
        <f t="shared" si="0"/>
        <v>4</v>
      </c>
      <c r="E1" s="60">
        <f t="shared" si="0"/>
        <v>5</v>
      </c>
      <c r="F1" s="60">
        <f t="shared" si="0"/>
        <v>6</v>
      </c>
      <c r="G1" s="60">
        <f t="shared" si="0"/>
        <v>7</v>
      </c>
      <c r="H1" s="60">
        <f t="shared" si="0"/>
        <v>8</v>
      </c>
      <c r="I1" s="60">
        <f t="shared" si="0"/>
        <v>9</v>
      </c>
      <c r="J1" s="60">
        <f t="shared" si="0"/>
        <v>10</v>
      </c>
    </row>
    <row r="2" spans="1:10" ht="15.75" thickBot="1" x14ac:dyDescent="0.3">
      <c r="A2" s="123">
        <v>42639.694050925929</v>
      </c>
      <c r="C2" s="63"/>
      <c r="D2"/>
      <c r="E2"/>
      <c r="F2"/>
      <c r="G2"/>
      <c r="H2"/>
      <c r="I2"/>
      <c r="J2"/>
    </row>
    <row r="3" spans="1:10" ht="48" thickBot="1" x14ac:dyDescent="0.3">
      <c r="A3" s="245" t="s">
        <v>0</v>
      </c>
      <c r="B3" s="124" t="s">
        <v>1</v>
      </c>
      <c r="C3" s="124" t="s">
        <v>364</v>
      </c>
      <c r="D3" s="124" t="s">
        <v>15</v>
      </c>
      <c r="E3" s="124" t="s">
        <v>20</v>
      </c>
      <c r="F3" s="124" t="s">
        <v>385</v>
      </c>
      <c r="G3" s="124" t="s">
        <v>386</v>
      </c>
      <c r="H3" s="124" t="s">
        <v>387</v>
      </c>
      <c r="I3" s="124" t="s">
        <v>388</v>
      </c>
      <c r="J3" s="246" t="s">
        <v>389</v>
      </c>
    </row>
    <row r="4" spans="1:10" ht="19.5" customHeight="1" x14ac:dyDescent="0.25">
      <c r="A4" s="286" t="s">
        <v>16</v>
      </c>
      <c r="B4" s="208">
        <v>1</v>
      </c>
      <c r="C4" s="213">
        <v>20</v>
      </c>
      <c r="D4" s="214">
        <v>19.547999999999998</v>
      </c>
      <c r="E4" s="214">
        <v>-40.607199999999999</v>
      </c>
      <c r="F4" s="215">
        <v>68.7</v>
      </c>
      <c r="G4" s="215">
        <v>208.18</v>
      </c>
      <c r="H4" s="215" t="s">
        <v>390</v>
      </c>
      <c r="I4" s="216" t="s">
        <v>395</v>
      </c>
      <c r="J4" s="216">
        <v>12.4872</v>
      </c>
    </row>
    <row r="5" spans="1:10" ht="19.5" customHeight="1" x14ac:dyDescent="0.25">
      <c r="A5" s="287"/>
      <c r="B5" s="239">
        <v>2</v>
      </c>
      <c r="C5" s="213">
        <v>17</v>
      </c>
      <c r="D5" s="217">
        <v>37.852000000000004</v>
      </c>
      <c r="E5" s="217">
        <v>-50.965599999999995</v>
      </c>
      <c r="F5" s="218">
        <v>68.81</v>
      </c>
      <c r="G5" s="218">
        <v>237.27</v>
      </c>
      <c r="H5" s="218" t="s">
        <v>390</v>
      </c>
      <c r="I5" s="219" t="s">
        <v>454</v>
      </c>
      <c r="J5" s="219">
        <v>13.184000000000001</v>
      </c>
    </row>
    <row r="6" spans="1:10" ht="19.5" customHeight="1" x14ac:dyDescent="0.25">
      <c r="A6" s="287"/>
      <c r="B6" s="239">
        <v>3</v>
      </c>
      <c r="C6" s="213">
        <v>6</v>
      </c>
      <c r="D6" s="217">
        <v>50.417999999999985</v>
      </c>
      <c r="E6" s="217">
        <v>-57.38000000000001</v>
      </c>
      <c r="F6" s="218">
        <v>74.95</v>
      </c>
      <c r="G6" s="218">
        <v>208.18</v>
      </c>
      <c r="H6" s="218" t="s">
        <v>390</v>
      </c>
      <c r="I6" s="219" t="s">
        <v>395</v>
      </c>
      <c r="J6" s="219">
        <v>11.616</v>
      </c>
    </row>
    <row r="7" spans="1:10" ht="19.5" customHeight="1" x14ac:dyDescent="0.25">
      <c r="A7" s="287"/>
      <c r="B7" s="239">
        <v>4</v>
      </c>
      <c r="C7" s="213">
        <v>13</v>
      </c>
      <c r="D7" s="217">
        <v>54.707999999999998</v>
      </c>
      <c r="E7" s="217">
        <v>-58.940000000000005</v>
      </c>
      <c r="F7" s="218">
        <v>55.96</v>
      </c>
      <c r="G7" s="218">
        <v>155.44999999999999</v>
      </c>
      <c r="H7" s="218" t="s">
        <v>393</v>
      </c>
      <c r="I7" s="219" t="s">
        <v>450</v>
      </c>
      <c r="J7" s="219">
        <v>8.5760000000000005</v>
      </c>
    </row>
    <row r="8" spans="1:10" ht="19.5" customHeight="1" x14ac:dyDescent="0.25">
      <c r="A8" s="287"/>
      <c r="B8" s="239">
        <v>5</v>
      </c>
      <c r="C8" s="213">
        <v>7</v>
      </c>
      <c r="D8" s="217">
        <v>52.73599999999999</v>
      </c>
      <c r="E8" s="217">
        <v>-56.42</v>
      </c>
      <c r="F8" s="218">
        <v>3.03</v>
      </c>
      <c r="G8" s="218">
        <v>50.45</v>
      </c>
      <c r="H8" s="218" t="s">
        <v>393</v>
      </c>
      <c r="I8" s="219" t="s">
        <v>452</v>
      </c>
      <c r="J8" s="219">
        <v>2.7840000000000003</v>
      </c>
    </row>
    <row r="9" spans="1:10" ht="19.5" customHeight="1" x14ac:dyDescent="0.25">
      <c r="A9" s="287"/>
      <c r="B9" s="239">
        <v>6</v>
      </c>
      <c r="C9" s="213">
        <v>20</v>
      </c>
      <c r="D9" s="217">
        <v>45.767999999999994</v>
      </c>
      <c r="E9" s="217">
        <v>-50.92</v>
      </c>
      <c r="F9" s="218">
        <v>2.08</v>
      </c>
      <c r="G9" s="218">
        <v>208.18</v>
      </c>
      <c r="H9" s="218" t="s">
        <v>393</v>
      </c>
      <c r="I9" s="219" t="s">
        <v>395</v>
      </c>
      <c r="J9" s="219">
        <v>12.705</v>
      </c>
    </row>
    <row r="10" spans="1:10" ht="19.5" customHeight="1" x14ac:dyDescent="0.25">
      <c r="A10" s="287"/>
      <c r="B10" s="239">
        <v>7</v>
      </c>
      <c r="C10" s="213">
        <v>12</v>
      </c>
      <c r="D10" s="217">
        <v>46.481999999999999</v>
      </c>
      <c r="E10" s="217">
        <v>-50.92</v>
      </c>
      <c r="F10" s="218">
        <v>20.04</v>
      </c>
      <c r="G10" s="218">
        <v>105.45</v>
      </c>
      <c r="H10" s="218" t="s">
        <v>393</v>
      </c>
      <c r="I10" s="219" t="s">
        <v>451</v>
      </c>
      <c r="J10" s="219">
        <v>6.4050000000000002</v>
      </c>
    </row>
    <row r="11" spans="1:10" ht="19.5" customHeight="1" x14ac:dyDescent="0.25">
      <c r="A11" s="287"/>
      <c r="B11" s="239">
        <v>8</v>
      </c>
      <c r="C11" s="213">
        <v>19</v>
      </c>
      <c r="D11" s="217">
        <v>47.486000000000004</v>
      </c>
      <c r="E11" s="217">
        <v>-56.42</v>
      </c>
      <c r="F11" s="218">
        <v>20.52</v>
      </c>
      <c r="G11" s="218">
        <v>140.91</v>
      </c>
      <c r="H11" s="218" t="s">
        <v>393</v>
      </c>
      <c r="I11" s="219" t="s">
        <v>449</v>
      </c>
      <c r="J11" s="219">
        <v>7.8719999999999999</v>
      </c>
    </row>
    <row r="12" spans="1:10" ht="19.5" customHeight="1" x14ac:dyDescent="0.25">
      <c r="A12" s="287"/>
      <c r="B12" s="239">
        <v>9</v>
      </c>
      <c r="C12" s="213">
        <v>20</v>
      </c>
      <c r="D12" s="217">
        <v>48.295999999999992</v>
      </c>
      <c r="E12" s="217">
        <v>-58.940000000000005</v>
      </c>
      <c r="F12" s="218">
        <v>74.95</v>
      </c>
      <c r="G12" s="218">
        <v>208.18</v>
      </c>
      <c r="H12" s="218" t="s">
        <v>390</v>
      </c>
      <c r="I12" s="219" t="s">
        <v>395</v>
      </c>
      <c r="J12" s="219">
        <v>11.616</v>
      </c>
    </row>
    <row r="13" spans="1:10" ht="19.5" customHeight="1" x14ac:dyDescent="0.25">
      <c r="A13" s="287"/>
      <c r="B13" s="239">
        <v>10</v>
      </c>
      <c r="C13" s="213">
        <v>6</v>
      </c>
      <c r="D13" s="217">
        <v>49.186</v>
      </c>
      <c r="E13" s="217">
        <v>-57.38000000000001</v>
      </c>
      <c r="F13" s="218">
        <v>74.95</v>
      </c>
      <c r="G13" s="218">
        <v>208.18</v>
      </c>
      <c r="H13" s="218" t="s">
        <v>390</v>
      </c>
      <c r="I13" s="219" t="s">
        <v>395</v>
      </c>
      <c r="J13" s="219">
        <v>11.616</v>
      </c>
    </row>
    <row r="14" spans="1:10" ht="19.5" customHeight="1" x14ac:dyDescent="0.25">
      <c r="A14" s="287"/>
      <c r="B14" s="239">
        <v>11</v>
      </c>
      <c r="C14" s="213">
        <v>20</v>
      </c>
      <c r="D14" s="217">
        <v>50.213999999999984</v>
      </c>
      <c r="E14" s="217">
        <v>-49.209999999999994</v>
      </c>
      <c r="F14" s="218">
        <v>68.7</v>
      </c>
      <c r="G14" s="218">
        <v>208.18</v>
      </c>
      <c r="H14" s="218" t="s">
        <v>390</v>
      </c>
      <c r="I14" s="219" t="s">
        <v>395</v>
      </c>
      <c r="J14" s="219">
        <v>11.616</v>
      </c>
    </row>
    <row r="15" spans="1:10" ht="19.5" customHeight="1" thickBot="1" x14ac:dyDescent="0.3">
      <c r="A15" s="288"/>
      <c r="B15" s="240">
        <v>12</v>
      </c>
      <c r="C15" s="220">
        <v>20</v>
      </c>
      <c r="D15" s="221">
        <v>51.256</v>
      </c>
      <c r="E15" s="221">
        <v>-28.914999999999999</v>
      </c>
      <c r="F15" s="222">
        <v>68.7</v>
      </c>
      <c r="G15" s="222">
        <v>208.18</v>
      </c>
      <c r="H15" s="222" t="s">
        <v>390</v>
      </c>
      <c r="I15" s="223" t="s">
        <v>395</v>
      </c>
      <c r="J15" s="223">
        <v>12.4872</v>
      </c>
    </row>
    <row r="16" spans="1:10" ht="19.5" customHeight="1" x14ac:dyDescent="0.25">
      <c r="A16" s="286" t="s">
        <v>17</v>
      </c>
      <c r="B16" s="241">
        <v>13</v>
      </c>
      <c r="C16" s="224">
        <v>4</v>
      </c>
      <c r="D16" s="214">
        <v>74.681999999999988</v>
      </c>
      <c r="E16" s="214">
        <v>-26.099999999999998</v>
      </c>
      <c r="F16" s="215">
        <v>4.8</v>
      </c>
      <c r="G16" s="215">
        <v>60</v>
      </c>
      <c r="H16" s="215" t="s">
        <v>393</v>
      </c>
      <c r="I16" s="216" t="s">
        <v>442</v>
      </c>
      <c r="J16" s="216">
        <v>3.536</v>
      </c>
    </row>
    <row r="17" spans="1:10" ht="19.5" customHeight="1" x14ac:dyDescent="0.25">
      <c r="A17" s="287"/>
      <c r="B17" s="239">
        <v>14</v>
      </c>
      <c r="C17" s="213">
        <v>20</v>
      </c>
      <c r="D17" s="217">
        <v>25.660000000000004</v>
      </c>
      <c r="E17" s="217">
        <v>-9.484</v>
      </c>
      <c r="F17" s="218">
        <v>4.16</v>
      </c>
      <c r="G17" s="218">
        <v>208.18</v>
      </c>
      <c r="H17" s="218" t="s">
        <v>393</v>
      </c>
      <c r="I17" s="219" t="s">
        <v>395</v>
      </c>
      <c r="J17" s="219">
        <v>11.398200000000001</v>
      </c>
    </row>
    <row r="18" spans="1:10" ht="19.5" customHeight="1" x14ac:dyDescent="0.25">
      <c r="A18" s="287"/>
      <c r="B18" s="239">
        <v>15</v>
      </c>
      <c r="C18" s="213">
        <v>32</v>
      </c>
      <c r="D18" s="217">
        <v>45.679999999999993</v>
      </c>
      <c r="E18" s="217">
        <v>-41.694000000000003</v>
      </c>
      <c r="F18" s="218">
        <v>470.1</v>
      </c>
      <c r="G18" s="218">
        <v>712.27</v>
      </c>
      <c r="H18" s="218" t="s">
        <v>390</v>
      </c>
      <c r="I18" s="219" t="s">
        <v>446</v>
      </c>
      <c r="J18" s="219">
        <v>38.747599999999998</v>
      </c>
    </row>
    <row r="19" spans="1:10" ht="19.5" customHeight="1" x14ac:dyDescent="0.25">
      <c r="A19" s="287"/>
      <c r="B19" s="239">
        <v>16</v>
      </c>
      <c r="C19" s="213">
        <v>20</v>
      </c>
      <c r="D19" s="217">
        <v>53.59</v>
      </c>
      <c r="E19" s="217">
        <v>-54.74</v>
      </c>
      <c r="F19" s="218">
        <v>124.91</v>
      </c>
      <c r="G19" s="218">
        <v>208.18</v>
      </c>
      <c r="H19" s="218" t="s">
        <v>390</v>
      </c>
      <c r="I19" s="219" t="s">
        <v>395</v>
      </c>
      <c r="J19" s="219">
        <v>11.398200000000001</v>
      </c>
    </row>
    <row r="20" spans="1:10" ht="19.5" customHeight="1" x14ac:dyDescent="0.25">
      <c r="A20" s="287"/>
      <c r="B20" s="239">
        <v>17</v>
      </c>
      <c r="C20" s="213">
        <v>20</v>
      </c>
      <c r="D20" s="217">
        <v>55.134999999999998</v>
      </c>
      <c r="E20" s="217">
        <v>-57.263999999999989</v>
      </c>
      <c r="F20" s="218">
        <v>70.78</v>
      </c>
      <c r="G20" s="218">
        <v>208.18</v>
      </c>
      <c r="H20" s="218" t="s">
        <v>390</v>
      </c>
      <c r="I20" s="219" t="s">
        <v>395</v>
      </c>
      <c r="J20" s="219">
        <v>11.398200000000001</v>
      </c>
    </row>
    <row r="21" spans="1:10" ht="19.5" customHeight="1" x14ac:dyDescent="0.25">
      <c r="A21" s="287"/>
      <c r="B21" s="239">
        <v>18</v>
      </c>
      <c r="C21" s="213">
        <v>20</v>
      </c>
      <c r="D21" s="217">
        <v>52.89</v>
      </c>
      <c r="E21" s="217">
        <v>-53.665999999999983</v>
      </c>
      <c r="F21" s="218">
        <v>70.78</v>
      </c>
      <c r="G21" s="218">
        <v>208.18</v>
      </c>
      <c r="H21" s="218" t="s">
        <v>390</v>
      </c>
      <c r="I21" s="219" t="s">
        <v>395</v>
      </c>
      <c r="J21" s="219">
        <v>12.4872</v>
      </c>
    </row>
    <row r="22" spans="1:10" ht="19.5" customHeight="1" x14ac:dyDescent="0.25">
      <c r="A22" s="287"/>
      <c r="B22" s="239">
        <v>19</v>
      </c>
      <c r="C22" s="213">
        <v>20</v>
      </c>
      <c r="D22" s="217">
        <v>52.89</v>
      </c>
      <c r="E22" s="217">
        <v>-46.483999999999995</v>
      </c>
      <c r="F22" s="218">
        <v>70.78</v>
      </c>
      <c r="G22" s="218">
        <v>208.18</v>
      </c>
      <c r="H22" s="218" t="s">
        <v>390</v>
      </c>
      <c r="I22" s="219" t="s">
        <v>395</v>
      </c>
      <c r="J22" s="219">
        <v>12.4872</v>
      </c>
    </row>
    <row r="23" spans="1:10" ht="19.5" customHeight="1" x14ac:dyDescent="0.25">
      <c r="A23" s="287"/>
      <c r="B23" s="239">
        <v>20</v>
      </c>
      <c r="C23" s="213">
        <v>20</v>
      </c>
      <c r="D23" s="217">
        <v>55.134999999999998</v>
      </c>
      <c r="E23" s="217">
        <v>-47.688000000000002</v>
      </c>
      <c r="F23" s="218">
        <v>70.78</v>
      </c>
      <c r="G23" s="218">
        <v>208.18</v>
      </c>
      <c r="H23" s="218" t="s">
        <v>390</v>
      </c>
      <c r="I23" s="219" t="s">
        <v>395</v>
      </c>
      <c r="J23" s="219">
        <v>11.398200000000001</v>
      </c>
    </row>
    <row r="24" spans="1:10" ht="19.5" customHeight="1" x14ac:dyDescent="0.25">
      <c r="A24" s="287"/>
      <c r="B24" s="239">
        <v>21</v>
      </c>
      <c r="C24" s="213">
        <v>20</v>
      </c>
      <c r="D24" s="217">
        <v>53.59</v>
      </c>
      <c r="E24" s="217">
        <v>-48.985999999999997</v>
      </c>
      <c r="F24" s="218">
        <v>77.03</v>
      </c>
      <c r="G24" s="218">
        <v>208.18</v>
      </c>
      <c r="H24" s="218" t="s">
        <v>390</v>
      </c>
      <c r="I24" s="219" t="s">
        <v>395</v>
      </c>
      <c r="J24" s="219">
        <v>11.398200000000001</v>
      </c>
    </row>
    <row r="25" spans="1:10" ht="19.5" customHeight="1" x14ac:dyDescent="0.25">
      <c r="A25" s="287"/>
      <c r="B25" s="239">
        <v>22</v>
      </c>
      <c r="C25" s="213">
        <v>20</v>
      </c>
      <c r="D25" s="217">
        <v>45.679999999999993</v>
      </c>
      <c r="E25" s="217">
        <v>-50.163999999999987</v>
      </c>
      <c r="F25" s="218">
        <v>77.03</v>
      </c>
      <c r="G25" s="218">
        <v>208.18</v>
      </c>
      <c r="H25" s="218" t="s">
        <v>390</v>
      </c>
      <c r="I25" s="219" t="s">
        <v>395</v>
      </c>
      <c r="J25" s="219">
        <v>11.398200000000001</v>
      </c>
    </row>
    <row r="26" spans="1:10" ht="19.5" customHeight="1" x14ac:dyDescent="0.25">
      <c r="A26" s="287"/>
      <c r="B26" s="239">
        <v>23</v>
      </c>
      <c r="C26" s="213">
        <v>20</v>
      </c>
      <c r="D26" s="217">
        <v>25.660000000000004</v>
      </c>
      <c r="E26" s="217">
        <v>-51.511999999999993</v>
      </c>
      <c r="F26" s="218">
        <v>72.86</v>
      </c>
      <c r="G26" s="218">
        <v>208.18</v>
      </c>
      <c r="H26" s="218" t="s">
        <v>390</v>
      </c>
      <c r="I26" s="219" t="s">
        <v>395</v>
      </c>
      <c r="J26" s="219">
        <v>11.398200000000001</v>
      </c>
    </row>
    <row r="27" spans="1:10" ht="19.5" customHeight="1" thickBot="1" x14ac:dyDescent="0.3">
      <c r="A27" s="288"/>
      <c r="B27" s="237" t="s">
        <v>418</v>
      </c>
      <c r="C27" s="225">
        <v>20</v>
      </c>
      <c r="D27" s="226">
        <v>41.749999999999993</v>
      </c>
      <c r="E27" s="226">
        <v>-105.66999999999999</v>
      </c>
      <c r="F27" s="227">
        <v>72.86</v>
      </c>
      <c r="G27" s="227">
        <v>208.18</v>
      </c>
      <c r="H27" s="227" t="s">
        <v>393</v>
      </c>
      <c r="I27" s="228" t="s">
        <v>395</v>
      </c>
      <c r="J27" s="228">
        <v>12.269399999999999</v>
      </c>
    </row>
    <row r="28" spans="1:10" ht="19.5" customHeight="1" x14ac:dyDescent="0.25">
      <c r="A28" s="286" t="s">
        <v>18</v>
      </c>
      <c r="B28" s="242">
        <v>25</v>
      </c>
      <c r="C28" s="213">
        <v>20</v>
      </c>
      <c r="D28" s="229">
        <v>56.269999999999996</v>
      </c>
      <c r="E28" s="229">
        <v>-90.914000000000001</v>
      </c>
      <c r="F28" s="230">
        <v>104.09</v>
      </c>
      <c r="G28" s="230">
        <v>208.18</v>
      </c>
      <c r="H28" s="230" t="s">
        <v>390</v>
      </c>
      <c r="I28" s="231" t="s">
        <v>395</v>
      </c>
      <c r="J28" s="231">
        <v>13.27854</v>
      </c>
    </row>
    <row r="29" spans="1:10" ht="19.5" customHeight="1" x14ac:dyDescent="0.25">
      <c r="A29" s="287"/>
      <c r="B29" s="239">
        <v>26</v>
      </c>
      <c r="C29" s="213">
        <v>20</v>
      </c>
      <c r="D29" s="217">
        <v>23.824999999999999</v>
      </c>
      <c r="E29" s="217">
        <v>-38.361999999999995</v>
      </c>
      <c r="F29" s="218">
        <v>99.93</v>
      </c>
      <c r="G29" s="218">
        <v>208.18</v>
      </c>
      <c r="H29" s="218" t="s">
        <v>390</v>
      </c>
      <c r="I29" s="219" t="s">
        <v>395</v>
      </c>
      <c r="J29" s="219">
        <v>13.56894</v>
      </c>
    </row>
    <row r="30" spans="1:10" ht="19.5" customHeight="1" x14ac:dyDescent="0.25">
      <c r="A30" s="287"/>
      <c r="B30" s="239">
        <v>27</v>
      </c>
      <c r="C30" s="213">
        <v>20</v>
      </c>
      <c r="D30" s="217">
        <v>10.440000000000001</v>
      </c>
      <c r="E30" s="217">
        <v>-16.823999999999998</v>
      </c>
      <c r="F30" s="218">
        <v>87.44</v>
      </c>
      <c r="G30" s="218">
        <v>208.18</v>
      </c>
      <c r="H30" s="218" t="s">
        <v>390</v>
      </c>
      <c r="I30" s="219" t="s">
        <v>395</v>
      </c>
      <c r="J30" s="219">
        <v>14.824919999999999</v>
      </c>
    </row>
    <row r="31" spans="1:10" ht="19.5" customHeight="1" x14ac:dyDescent="0.25">
      <c r="A31" s="287"/>
      <c r="B31" s="243">
        <v>28</v>
      </c>
      <c r="C31" s="213">
        <v>20</v>
      </c>
      <c r="D31" s="217">
        <v>2.12</v>
      </c>
      <c r="E31" s="217">
        <v>-3.7119999999999993</v>
      </c>
      <c r="F31" s="218">
        <v>72.86</v>
      </c>
      <c r="G31" s="218">
        <v>208.18</v>
      </c>
      <c r="H31" s="218" t="s">
        <v>390</v>
      </c>
      <c r="I31" s="219" t="s">
        <v>395</v>
      </c>
      <c r="J31" s="219">
        <v>16.2624</v>
      </c>
    </row>
    <row r="32" spans="1:10" ht="19.5" customHeight="1" x14ac:dyDescent="0.25">
      <c r="A32" s="287"/>
      <c r="B32" s="238" t="s">
        <v>423</v>
      </c>
      <c r="C32" s="213">
        <v>20</v>
      </c>
      <c r="D32" s="217">
        <v>5.6339999999999986</v>
      </c>
      <c r="E32" s="217">
        <v>-3.6550000000000002</v>
      </c>
      <c r="F32" s="218">
        <v>60.37</v>
      </c>
      <c r="G32" s="218">
        <v>208.18</v>
      </c>
      <c r="H32" s="218" t="s">
        <v>390</v>
      </c>
      <c r="I32" s="219" t="s">
        <v>395</v>
      </c>
      <c r="J32" s="219">
        <v>17.830559999999998</v>
      </c>
    </row>
    <row r="33" spans="1:10" ht="19.5" customHeight="1" x14ac:dyDescent="0.25">
      <c r="A33" s="287"/>
      <c r="B33" s="238" t="s">
        <v>424</v>
      </c>
      <c r="C33" s="213">
        <v>20</v>
      </c>
      <c r="D33" s="217">
        <v>13.753999999999998</v>
      </c>
      <c r="E33" s="217">
        <v>-8.5950000000000006</v>
      </c>
      <c r="F33" s="218">
        <v>47.88</v>
      </c>
      <c r="G33" s="218">
        <v>208.18</v>
      </c>
      <c r="H33" s="218" t="s">
        <v>390</v>
      </c>
      <c r="I33" s="219" t="s">
        <v>395</v>
      </c>
      <c r="J33" s="219">
        <v>20.161020000000001</v>
      </c>
    </row>
    <row r="34" spans="1:10" ht="19.5" customHeight="1" x14ac:dyDescent="0.25">
      <c r="A34" s="287"/>
      <c r="B34" s="238" t="s">
        <v>425</v>
      </c>
      <c r="C34" s="213">
        <v>20</v>
      </c>
      <c r="D34" s="217">
        <v>7.3699999999999992</v>
      </c>
      <c r="E34" s="217">
        <v>-11.5434</v>
      </c>
      <c r="F34" s="218">
        <v>47.88</v>
      </c>
      <c r="G34" s="218">
        <v>208.18</v>
      </c>
      <c r="H34" s="218" t="s">
        <v>390</v>
      </c>
      <c r="I34" s="219" t="s">
        <v>395</v>
      </c>
      <c r="J34" s="219">
        <v>20.161020000000001</v>
      </c>
    </row>
    <row r="35" spans="1:10" ht="19.5" customHeight="1" x14ac:dyDescent="0.25">
      <c r="A35" s="287"/>
      <c r="B35" s="238" t="s">
        <v>426</v>
      </c>
      <c r="C35" s="213">
        <v>20</v>
      </c>
      <c r="D35" s="217">
        <v>2.8619999999999997</v>
      </c>
      <c r="E35" s="217">
        <v>-4.1254</v>
      </c>
      <c r="F35" s="218">
        <v>60.37</v>
      </c>
      <c r="G35" s="218">
        <v>208.18</v>
      </c>
      <c r="H35" s="218" t="s">
        <v>390</v>
      </c>
      <c r="I35" s="219" t="s">
        <v>395</v>
      </c>
      <c r="J35" s="219">
        <v>17.830559999999998</v>
      </c>
    </row>
    <row r="36" spans="1:10" ht="19.5" customHeight="1" x14ac:dyDescent="0.25">
      <c r="A36" s="287"/>
      <c r="B36" s="238" t="s">
        <v>427</v>
      </c>
      <c r="C36" s="213">
        <v>20</v>
      </c>
      <c r="D36" s="217">
        <v>4.7300000000000004</v>
      </c>
      <c r="E36" s="217">
        <v>-1.9619999999999997</v>
      </c>
      <c r="F36" s="218">
        <v>72.86</v>
      </c>
      <c r="G36" s="218">
        <v>208.18</v>
      </c>
      <c r="H36" s="218" t="s">
        <v>390</v>
      </c>
      <c r="I36" s="219" t="s">
        <v>395</v>
      </c>
      <c r="J36" s="219">
        <v>16.2624</v>
      </c>
    </row>
    <row r="37" spans="1:10" ht="19.5" customHeight="1" x14ac:dyDescent="0.25">
      <c r="A37" s="287"/>
      <c r="B37" s="234" t="s">
        <v>428</v>
      </c>
      <c r="C37" s="213">
        <v>20</v>
      </c>
      <c r="D37" s="217">
        <v>17.134800000000002</v>
      </c>
      <c r="E37" s="217">
        <v>-8.927999999999999</v>
      </c>
      <c r="F37" s="218">
        <v>87.44</v>
      </c>
      <c r="G37" s="218">
        <v>208.18</v>
      </c>
      <c r="H37" s="218" t="s">
        <v>390</v>
      </c>
      <c r="I37" s="219" t="s">
        <v>395</v>
      </c>
      <c r="J37" s="219">
        <v>14.824919999999999</v>
      </c>
    </row>
    <row r="38" spans="1:10" ht="19.5" customHeight="1" x14ac:dyDescent="0.25">
      <c r="A38" s="287"/>
      <c r="B38" s="234" t="s">
        <v>429</v>
      </c>
      <c r="C38" s="213">
        <v>20</v>
      </c>
      <c r="D38" s="217">
        <v>37.508600000000001</v>
      </c>
      <c r="E38" s="217">
        <v>-20.385999999999996</v>
      </c>
      <c r="F38" s="218">
        <v>99.93</v>
      </c>
      <c r="G38" s="218">
        <v>208.18</v>
      </c>
      <c r="H38" s="218" t="s">
        <v>390</v>
      </c>
      <c r="I38" s="219" t="s">
        <v>395</v>
      </c>
      <c r="J38" s="219">
        <v>13.56894</v>
      </c>
    </row>
    <row r="39" spans="1:10" ht="19.5" customHeight="1" thickBot="1" x14ac:dyDescent="0.3">
      <c r="A39" s="288"/>
      <c r="B39" s="235" t="s">
        <v>430</v>
      </c>
      <c r="C39" s="220">
        <v>20</v>
      </c>
      <c r="D39" s="221">
        <v>87.165199999999999</v>
      </c>
      <c r="E39" s="221">
        <v>-48.423999999999992</v>
      </c>
      <c r="F39" s="222">
        <v>104.09</v>
      </c>
      <c r="G39" s="222">
        <v>208.18</v>
      </c>
      <c r="H39" s="222" t="s">
        <v>390</v>
      </c>
      <c r="I39" s="223" t="s">
        <v>395</v>
      </c>
      <c r="J39" s="223">
        <v>13.27854</v>
      </c>
    </row>
    <row r="40" spans="1:10" ht="19.5" customHeight="1" x14ac:dyDescent="0.25">
      <c r="A40" s="289" t="s">
        <v>19</v>
      </c>
      <c r="B40" s="236" t="s">
        <v>431</v>
      </c>
      <c r="C40" s="224">
        <v>20</v>
      </c>
      <c r="D40" s="214">
        <v>34.791999999999994</v>
      </c>
      <c r="E40" s="214">
        <v>-21.58</v>
      </c>
      <c r="F40" s="215">
        <v>168.63</v>
      </c>
      <c r="G40" s="215">
        <v>208.18</v>
      </c>
      <c r="H40" s="215" t="s">
        <v>390</v>
      </c>
      <c r="I40" s="216" t="s">
        <v>395</v>
      </c>
      <c r="J40" s="216">
        <v>7.3616399999999995</v>
      </c>
    </row>
    <row r="41" spans="1:10" ht="19.5" customHeight="1" x14ac:dyDescent="0.25">
      <c r="A41" s="290"/>
      <c r="B41" s="234" t="s">
        <v>432</v>
      </c>
      <c r="C41" s="213">
        <v>20</v>
      </c>
      <c r="D41" s="217">
        <v>20.755999999999997</v>
      </c>
      <c r="E41" s="217">
        <v>-12.96</v>
      </c>
      <c r="F41" s="218">
        <v>145.72999999999999</v>
      </c>
      <c r="G41" s="218">
        <v>208.18</v>
      </c>
      <c r="H41" s="218" t="s">
        <v>390</v>
      </c>
      <c r="I41" s="219" t="s">
        <v>395</v>
      </c>
      <c r="J41" s="219">
        <v>9.48156</v>
      </c>
    </row>
    <row r="42" spans="1:10" ht="19.5" customHeight="1" x14ac:dyDescent="0.25">
      <c r="A42" s="290"/>
      <c r="B42" s="234" t="s">
        <v>433</v>
      </c>
      <c r="C42" s="213">
        <v>20</v>
      </c>
      <c r="D42" s="217">
        <v>10.67</v>
      </c>
      <c r="E42" s="217">
        <v>-6.76</v>
      </c>
      <c r="F42" s="218">
        <v>122.83</v>
      </c>
      <c r="G42" s="218">
        <v>208.18</v>
      </c>
      <c r="H42" s="218" t="s">
        <v>390</v>
      </c>
      <c r="I42" s="219" t="s">
        <v>395</v>
      </c>
      <c r="J42" s="219">
        <v>11.59422</v>
      </c>
    </row>
    <row r="43" spans="1:10" ht="19.5" customHeight="1" x14ac:dyDescent="0.25">
      <c r="A43" s="290"/>
      <c r="B43" s="238" t="s">
        <v>434</v>
      </c>
      <c r="C43" s="213">
        <v>20</v>
      </c>
      <c r="D43" s="217">
        <v>2.6659999999999999</v>
      </c>
      <c r="E43" s="217">
        <v>-1.5599999999999998</v>
      </c>
      <c r="F43" s="218">
        <v>99.93</v>
      </c>
      <c r="G43" s="218">
        <v>208.18</v>
      </c>
      <c r="H43" s="218" t="s">
        <v>390</v>
      </c>
      <c r="I43" s="219" t="s">
        <v>395</v>
      </c>
      <c r="J43" s="219">
        <v>13.71414</v>
      </c>
    </row>
    <row r="44" spans="1:10" ht="19.5" customHeight="1" x14ac:dyDescent="0.25">
      <c r="A44" s="290"/>
      <c r="B44" s="238" t="s">
        <v>435</v>
      </c>
      <c r="C44" s="213">
        <v>20</v>
      </c>
      <c r="D44" s="217">
        <v>2.82</v>
      </c>
      <c r="E44" s="217">
        <v>-4.38</v>
      </c>
      <c r="F44" s="218">
        <v>77.03</v>
      </c>
      <c r="G44" s="218">
        <v>208.18</v>
      </c>
      <c r="H44" s="218" t="s">
        <v>390</v>
      </c>
      <c r="I44" s="219" t="s">
        <v>395</v>
      </c>
      <c r="J44" s="219">
        <v>15.8268</v>
      </c>
    </row>
    <row r="45" spans="1:10" ht="19.5" customHeight="1" x14ac:dyDescent="0.25">
      <c r="A45" s="290"/>
      <c r="B45" s="238" t="s">
        <v>436</v>
      </c>
      <c r="C45" s="213">
        <v>20</v>
      </c>
      <c r="D45" s="217">
        <v>13.535</v>
      </c>
      <c r="E45" s="217">
        <v>-12.522</v>
      </c>
      <c r="F45" s="218">
        <v>58.29</v>
      </c>
      <c r="G45" s="218">
        <v>208.18</v>
      </c>
      <c r="H45" s="218" t="s">
        <v>390</v>
      </c>
      <c r="I45" s="219" t="s">
        <v>395</v>
      </c>
      <c r="J45" s="219">
        <v>18.149999999999999</v>
      </c>
    </row>
    <row r="46" spans="1:10" ht="19.5" customHeight="1" x14ac:dyDescent="0.25">
      <c r="A46" s="290"/>
      <c r="B46" s="238" t="s">
        <v>437</v>
      </c>
      <c r="C46" s="213">
        <v>20</v>
      </c>
      <c r="D46" s="217">
        <v>3.1811999999999996</v>
      </c>
      <c r="E46" s="217">
        <v>-2.3499999999999996</v>
      </c>
      <c r="F46" s="218">
        <v>77.03</v>
      </c>
      <c r="G46" s="218">
        <v>208.18</v>
      </c>
      <c r="H46" s="218" t="s">
        <v>390</v>
      </c>
      <c r="I46" s="219" t="s">
        <v>395</v>
      </c>
      <c r="J46" s="219">
        <v>15.8268</v>
      </c>
    </row>
    <row r="47" spans="1:10" ht="19.5" customHeight="1" x14ac:dyDescent="0.25">
      <c r="A47" s="290"/>
      <c r="B47" s="238" t="s">
        <v>438</v>
      </c>
      <c r="C47" s="213">
        <v>20</v>
      </c>
      <c r="D47" s="217">
        <v>1.4339999999999997</v>
      </c>
      <c r="E47" s="217">
        <v>-3.3539999999999996</v>
      </c>
      <c r="F47" s="218">
        <v>99.93</v>
      </c>
      <c r="G47" s="218">
        <v>208.18</v>
      </c>
      <c r="H47" s="218" t="s">
        <v>390</v>
      </c>
      <c r="I47" s="219" t="s">
        <v>395</v>
      </c>
      <c r="J47" s="219">
        <v>13.71414</v>
      </c>
    </row>
    <row r="48" spans="1:10" ht="19.5" customHeight="1" x14ac:dyDescent="0.25">
      <c r="A48" s="290"/>
      <c r="B48" s="234" t="s">
        <v>439</v>
      </c>
      <c r="C48" s="213">
        <v>20</v>
      </c>
      <c r="D48" s="217">
        <v>5.63</v>
      </c>
      <c r="E48" s="217">
        <v>-11.035599999999999</v>
      </c>
      <c r="F48" s="218">
        <v>122.83</v>
      </c>
      <c r="G48" s="218">
        <v>208.18</v>
      </c>
      <c r="H48" s="218" t="s">
        <v>390</v>
      </c>
      <c r="I48" s="219" t="s">
        <v>395</v>
      </c>
      <c r="J48" s="219">
        <v>11.59422</v>
      </c>
    </row>
    <row r="49" spans="1:11" ht="19.5" customHeight="1" x14ac:dyDescent="0.25">
      <c r="A49" s="290"/>
      <c r="B49" s="234" t="s">
        <v>440</v>
      </c>
      <c r="C49" s="213">
        <v>20</v>
      </c>
      <c r="D49" s="217">
        <v>10.997999999999999</v>
      </c>
      <c r="E49" s="217">
        <v>-20.3856</v>
      </c>
      <c r="F49" s="218">
        <v>145.72999999999999</v>
      </c>
      <c r="G49" s="218">
        <v>208.18</v>
      </c>
      <c r="H49" s="218" t="s">
        <v>390</v>
      </c>
      <c r="I49" s="219" t="s">
        <v>395</v>
      </c>
      <c r="J49" s="219">
        <v>9.48156</v>
      </c>
    </row>
    <row r="50" spans="1:11" ht="19.5" customHeight="1" thickBot="1" x14ac:dyDescent="0.3">
      <c r="A50" s="291"/>
      <c r="B50" s="237" t="s">
        <v>441</v>
      </c>
      <c r="C50" s="225">
        <v>4</v>
      </c>
      <c r="D50" s="226">
        <v>18.538</v>
      </c>
      <c r="E50" s="226">
        <v>-33.398799999999994</v>
      </c>
      <c r="F50" s="227">
        <v>18</v>
      </c>
      <c r="G50" s="227">
        <v>60</v>
      </c>
      <c r="H50" s="227" t="s">
        <v>393</v>
      </c>
      <c r="I50" s="228" t="s">
        <v>442</v>
      </c>
      <c r="J50" s="228">
        <v>2.1091199999999999</v>
      </c>
    </row>
    <row r="51" spans="1:11" ht="19.5" customHeight="1" thickBot="1" x14ac:dyDescent="0.3">
      <c r="B51" s="212"/>
      <c r="C51" s="75">
        <v>2</v>
      </c>
      <c r="D51" s="209"/>
      <c r="E51" s="209"/>
      <c r="F51" s="210"/>
      <c r="G51" s="211"/>
      <c r="H51" s="211"/>
      <c r="I51" s="232" t="s">
        <v>392</v>
      </c>
      <c r="J51" s="233" t="s">
        <v>455</v>
      </c>
      <c r="K51" s="70"/>
    </row>
    <row r="52" spans="1:11" x14ac:dyDescent="0.25">
      <c r="C52" s="75"/>
      <c r="D52" s="76"/>
      <c r="E52" s="76"/>
      <c r="F52" s="76"/>
      <c r="G52" s="76"/>
      <c r="H52" s="79"/>
      <c r="I52" s="77"/>
      <c r="J52" s="80"/>
    </row>
    <row r="53" spans="1:11" x14ac:dyDescent="0.25">
      <c r="C53" s="64"/>
    </row>
  </sheetData>
  <mergeCells count="4">
    <mergeCell ref="A4:A15"/>
    <mergeCell ref="A16:A27"/>
    <mergeCell ref="A28:A39"/>
    <mergeCell ref="A40:A50"/>
  </mergeCells>
  <conditionalFormatting sqref="H4:H50">
    <cfRule type="containsText" dxfId="0" priority="1" stopIfTrue="1" operator="containsText" text="Falha!">
      <formula>NOT(ISERROR(SEARCH("Falha!",H4)))</formula>
    </cfRule>
  </conditionalFormatting>
  <pageMargins left="0.511811024" right="0.511811024" top="0.78740157499999996" bottom="0.78740157499999996" header="0.31496062000000002" footer="0.31496062000000002"/>
  <pageSetup paperSize="9" scale="7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Calcular_Tudo">
                <anchor moveWithCells="1">
                  <from>
                    <xdr:col>11</xdr:col>
                    <xdr:colOff>28575</xdr:colOff>
                    <xdr:row>11</xdr:row>
                    <xdr:rowOff>9525</xdr:rowOff>
                  </from>
                  <to>
                    <xdr:col>14</xdr:col>
                    <xdr:colOff>180975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5" name="Button 5">
              <controlPr defaultSize="0" print="0" autoFill="0" autoPict="0" macro="[0]!Chamar_Formulário_Dimensionamento_Finalizado">
                <anchor moveWithCells="1">
                  <from>
                    <xdr:col>11</xdr:col>
                    <xdr:colOff>28575</xdr:colOff>
                    <xdr:row>15</xdr:row>
                    <xdr:rowOff>9525</xdr:rowOff>
                  </from>
                  <to>
                    <xdr:col>14</xdr:col>
                    <xdr:colOff>180975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3"/>
  <dimension ref="A1:AX53"/>
  <sheetViews>
    <sheetView workbookViewId="0">
      <selection activeCell="N21" sqref="N21"/>
    </sheetView>
  </sheetViews>
  <sheetFormatPr defaultRowHeight="15" x14ac:dyDescent="0.25"/>
  <cols>
    <col min="1" max="1" width="9.140625" style="87"/>
    <col min="2" max="2" width="9.140625" style="85"/>
    <col min="6" max="6" width="9.140625" style="86"/>
  </cols>
  <sheetData>
    <row r="1" spans="1:50" ht="15.75" thickBot="1" x14ac:dyDescent="0.3">
      <c r="A1" s="87">
        <v>1</v>
      </c>
      <c r="B1" s="83">
        <v>2</v>
      </c>
      <c r="C1" s="1">
        <v>3</v>
      </c>
      <c r="D1" s="1">
        <v>4</v>
      </c>
      <c r="E1" s="1">
        <v>5</v>
      </c>
      <c r="F1" s="86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/>
      <c r="AK1" s="1">
        <v>36</v>
      </c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</row>
    <row r="2" spans="1:50" ht="15.75" thickBot="1" x14ac:dyDescent="0.3">
      <c r="B2" s="84"/>
      <c r="C2" s="3"/>
      <c r="D2" s="2"/>
      <c r="E2" s="4"/>
      <c r="F2" s="5"/>
      <c r="G2" s="6"/>
      <c r="H2" s="299" t="s">
        <v>21</v>
      </c>
      <c r="I2" s="300"/>
      <c r="J2" s="300"/>
      <c r="K2" s="301"/>
      <c r="L2" s="302" t="s">
        <v>22</v>
      </c>
      <c r="M2" s="303"/>
      <c r="N2" s="303"/>
      <c r="O2" s="303"/>
      <c r="P2" s="303"/>
      <c r="Q2" s="303"/>
      <c r="R2" s="304"/>
      <c r="S2" s="302" t="s">
        <v>23</v>
      </c>
      <c r="T2" s="303"/>
      <c r="U2" s="303"/>
      <c r="V2" s="303"/>
      <c r="W2" s="303"/>
      <c r="X2" s="303"/>
      <c r="Y2" s="304"/>
      <c r="Z2" s="7"/>
      <c r="AA2" s="8"/>
      <c r="AB2" s="305" t="s">
        <v>24</v>
      </c>
      <c r="AC2" s="306"/>
      <c r="AD2" s="306"/>
      <c r="AE2" s="306"/>
      <c r="AF2" s="306"/>
      <c r="AG2" s="306"/>
      <c r="AH2" s="307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</row>
    <row r="3" spans="1:50" ht="15.75" thickBot="1" x14ac:dyDescent="0.3">
      <c r="A3" s="292" t="s">
        <v>38</v>
      </c>
      <c r="B3" s="294" t="s">
        <v>25</v>
      </c>
      <c r="C3" s="295"/>
      <c r="D3" s="93" t="s">
        <v>26</v>
      </c>
      <c r="E3" s="110" t="s">
        <v>27</v>
      </c>
      <c r="F3" s="294" t="s">
        <v>28</v>
      </c>
      <c r="G3" s="295"/>
      <c r="H3" s="11" t="s">
        <v>29</v>
      </c>
      <c r="I3" s="11" t="s">
        <v>30</v>
      </c>
      <c r="J3" s="11" t="s">
        <v>31</v>
      </c>
      <c r="K3" s="12" t="s">
        <v>32</v>
      </c>
      <c r="L3" s="296" t="s">
        <v>33</v>
      </c>
      <c r="M3" s="297"/>
      <c r="N3" s="297"/>
      <c r="O3" s="297"/>
      <c r="P3" s="297"/>
      <c r="Q3" s="297"/>
      <c r="R3" s="298"/>
      <c r="S3" s="296" t="s">
        <v>34</v>
      </c>
      <c r="T3" s="297"/>
      <c r="U3" s="297"/>
      <c r="V3" s="297"/>
      <c r="W3" s="297"/>
      <c r="X3" s="297"/>
      <c r="Y3" s="298"/>
      <c r="Z3" s="13" t="s">
        <v>35</v>
      </c>
      <c r="AA3" s="9" t="s">
        <v>36</v>
      </c>
      <c r="AB3" s="296" t="s">
        <v>33</v>
      </c>
      <c r="AC3" s="297"/>
      <c r="AD3" s="297"/>
      <c r="AE3" s="297"/>
      <c r="AF3" s="297"/>
      <c r="AG3" s="297"/>
      <c r="AH3" s="298"/>
      <c r="AI3" s="1"/>
      <c r="AJ3" s="1" t="s">
        <v>37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</row>
    <row r="4" spans="1:50" ht="15.75" thickBot="1" x14ac:dyDescent="0.3">
      <c r="A4" s="293"/>
      <c r="B4" s="94" t="s">
        <v>39</v>
      </c>
      <c r="C4" s="95" t="s">
        <v>40</v>
      </c>
      <c r="D4" s="96" t="s">
        <v>41</v>
      </c>
      <c r="E4" s="111" t="s">
        <v>42</v>
      </c>
      <c r="F4" s="94" t="s">
        <v>39</v>
      </c>
      <c r="G4" s="95" t="s">
        <v>40</v>
      </c>
      <c r="H4" s="16" t="s">
        <v>43</v>
      </c>
      <c r="I4" s="16" t="s">
        <v>44</v>
      </c>
      <c r="J4" s="16" t="s">
        <v>40</v>
      </c>
      <c r="K4" s="17" t="s">
        <v>40</v>
      </c>
      <c r="L4" s="18" t="s">
        <v>45</v>
      </c>
      <c r="M4" s="19" t="s">
        <v>46</v>
      </c>
      <c r="N4" s="20" t="s">
        <v>47</v>
      </c>
      <c r="O4" s="19" t="s">
        <v>48</v>
      </c>
      <c r="P4" s="19" t="s">
        <v>49</v>
      </c>
      <c r="Q4" s="19" t="s">
        <v>50</v>
      </c>
      <c r="R4" s="21" t="s">
        <v>51</v>
      </c>
      <c r="S4" s="18" t="s">
        <v>45</v>
      </c>
      <c r="T4" s="19" t="s">
        <v>46</v>
      </c>
      <c r="U4" s="20" t="s">
        <v>47</v>
      </c>
      <c r="V4" s="19" t="s">
        <v>48</v>
      </c>
      <c r="W4" s="19" t="s">
        <v>49</v>
      </c>
      <c r="X4" s="19" t="s">
        <v>50</v>
      </c>
      <c r="Y4" s="21" t="s">
        <v>51</v>
      </c>
      <c r="Z4" s="22" t="s">
        <v>43</v>
      </c>
      <c r="AA4" s="15" t="s">
        <v>52</v>
      </c>
      <c r="AB4" s="18" t="s">
        <v>45</v>
      </c>
      <c r="AC4" s="19" t="s">
        <v>46</v>
      </c>
      <c r="AD4" s="20" t="s">
        <v>47</v>
      </c>
      <c r="AE4" s="19" t="s">
        <v>48</v>
      </c>
      <c r="AF4" s="19" t="s">
        <v>49</v>
      </c>
      <c r="AG4" s="19" t="s">
        <v>50</v>
      </c>
      <c r="AH4" s="21" t="s">
        <v>51</v>
      </c>
      <c r="AI4" s="1"/>
      <c r="AJ4" s="23">
        <v>0.32791518690175325</v>
      </c>
      <c r="AK4" s="23" t="e">
        <v>#VALUE!</v>
      </c>
      <c r="AL4" s="1"/>
      <c r="AM4" s="1"/>
      <c r="AN4" s="1"/>
      <c r="AO4" s="1"/>
      <c r="AP4" s="1"/>
      <c r="AQ4" s="1"/>
      <c r="AR4" s="1">
        <v>9.869604401089358</v>
      </c>
      <c r="AS4" s="1">
        <v>20000</v>
      </c>
      <c r="AT4" s="1">
        <v>0</v>
      </c>
      <c r="AU4" s="1" t="e">
        <v>#VALUE!</v>
      </c>
      <c r="AV4" s="1">
        <v>7700</v>
      </c>
      <c r="AW4" s="1">
        <v>0.42002520161458334</v>
      </c>
      <c r="AX4" s="1">
        <v>5.6113999999999997</v>
      </c>
    </row>
    <row r="5" spans="1:50" x14ac:dyDescent="0.25">
      <c r="A5" s="119">
        <v>1</v>
      </c>
      <c r="B5" s="99" t="s">
        <v>51</v>
      </c>
      <c r="C5" s="100">
        <v>1.27</v>
      </c>
      <c r="D5" s="101" t="s">
        <v>53</v>
      </c>
      <c r="E5" s="112">
        <v>1.4</v>
      </c>
      <c r="F5" s="116" t="s">
        <v>46</v>
      </c>
      <c r="G5" s="102">
        <v>0.3175</v>
      </c>
      <c r="H5" s="25">
        <v>0.2</v>
      </c>
      <c r="I5" s="16" t="s">
        <v>54</v>
      </c>
      <c r="J5" s="25">
        <v>0.37</v>
      </c>
      <c r="K5" s="14">
        <v>0.43</v>
      </c>
      <c r="L5" s="15" t="s">
        <v>55</v>
      </c>
      <c r="M5" s="25">
        <v>0.7</v>
      </c>
      <c r="N5" s="26">
        <v>0.77</v>
      </c>
      <c r="O5" s="16" t="s">
        <v>56</v>
      </c>
      <c r="P5" s="16" t="s">
        <v>57</v>
      </c>
      <c r="Q5" s="16" t="s">
        <v>58</v>
      </c>
      <c r="R5" s="17" t="s">
        <v>59</v>
      </c>
      <c r="S5" s="24">
        <v>0.45485999999999993</v>
      </c>
      <c r="T5" s="25">
        <v>12</v>
      </c>
      <c r="U5" s="25">
        <v>0.83005999999999991</v>
      </c>
      <c r="V5" s="25">
        <v>0.98783999999999983</v>
      </c>
      <c r="W5" s="25">
        <v>1.15934</v>
      </c>
      <c r="X5" s="25">
        <v>1.3445599999999998</v>
      </c>
      <c r="Y5" s="14">
        <v>1.7876599999999994</v>
      </c>
      <c r="Z5" s="27">
        <v>0.14904120057291664</v>
      </c>
      <c r="AA5" s="28">
        <v>0</v>
      </c>
      <c r="AB5" s="28">
        <v>0.80417659752071868</v>
      </c>
      <c r="AC5" s="29">
        <v>0.90099944506087237</v>
      </c>
      <c r="AD5" s="29">
        <v>0.95639949811781055</v>
      </c>
      <c r="AE5" s="29">
        <v>1.0136074190730846</v>
      </c>
      <c r="AF5" s="29">
        <v>1.0723339032223127</v>
      </c>
      <c r="AG5" s="29">
        <v>1.1323427043081966</v>
      </c>
      <c r="AH5" s="30">
        <v>1.2643970895252803</v>
      </c>
      <c r="AI5" s="1"/>
      <c r="AJ5" s="23"/>
      <c r="AK5" s="23"/>
      <c r="AL5" s="1"/>
      <c r="AM5" s="1"/>
      <c r="AN5" s="1"/>
      <c r="AO5" s="1"/>
      <c r="AP5" s="1"/>
      <c r="AQ5" s="1"/>
      <c r="AR5" s="1" t="s">
        <v>60</v>
      </c>
      <c r="AS5" s="1" t="s">
        <v>61</v>
      </c>
      <c r="AT5" s="1" t="s">
        <v>36</v>
      </c>
      <c r="AU5" s="1" t="s">
        <v>62</v>
      </c>
      <c r="AV5" s="1" t="s">
        <v>63</v>
      </c>
      <c r="AW5" s="1" t="s">
        <v>64</v>
      </c>
      <c r="AX5" s="1" t="s">
        <v>65</v>
      </c>
    </row>
    <row r="6" spans="1:50" x14ac:dyDescent="0.25">
      <c r="A6" s="120">
        <v>2</v>
      </c>
      <c r="B6" s="97" t="s">
        <v>66</v>
      </c>
      <c r="C6" s="98">
        <v>1.58</v>
      </c>
      <c r="D6" s="89" t="s">
        <v>67</v>
      </c>
      <c r="E6" s="113">
        <v>1.8</v>
      </c>
      <c r="F6" s="117" t="s">
        <v>46</v>
      </c>
      <c r="G6" s="103">
        <v>0.3175</v>
      </c>
      <c r="H6" s="25">
        <v>0.4</v>
      </c>
      <c r="I6" s="16" t="s">
        <v>68</v>
      </c>
      <c r="J6" s="25">
        <v>0.47</v>
      </c>
      <c r="K6" s="14">
        <v>0.51</v>
      </c>
      <c r="L6" s="15" t="s">
        <v>69</v>
      </c>
      <c r="M6" s="25">
        <v>0.82</v>
      </c>
      <c r="N6" s="26">
        <v>0.88</v>
      </c>
      <c r="O6" s="16" t="s">
        <v>70</v>
      </c>
      <c r="P6" s="16" t="s">
        <v>71</v>
      </c>
      <c r="Q6" s="16" t="s">
        <v>72</v>
      </c>
      <c r="R6" s="17" t="s">
        <v>73</v>
      </c>
      <c r="S6" s="24">
        <v>0.85697999999999985</v>
      </c>
      <c r="T6" s="25">
        <v>1.2103199999999998</v>
      </c>
      <c r="U6" s="25">
        <v>1.39392</v>
      </c>
      <c r="V6" s="25">
        <v>1.6245000000000001</v>
      </c>
      <c r="W6" s="25">
        <v>1.8727199999999999</v>
      </c>
      <c r="X6" s="25">
        <v>2.1385800000000001</v>
      </c>
      <c r="Y6" s="14">
        <v>2.7676800000000004</v>
      </c>
      <c r="Z6" s="27">
        <v>0.18211405109374998</v>
      </c>
      <c r="AA6" s="28">
        <v>0</v>
      </c>
      <c r="AB6" s="28">
        <v>0.97831487773620207</v>
      </c>
      <c r="AC6" s="29">
        <v>1.0739646176667088</v>
      </c>
      <c r="AD6" s="29">
        <v>1.120446339634344</v>
      </c>
      <c r="AE6" s="29">
        <v>1.1762227680163311</v>
      </c>
      <c r="AF6" s="29">
        <v>1.2334504448902679</v>
      </c>
      <c r="AG6" s="29">
        <v>1.2919365309487925</v>
      </c>
      <c r="AH6" s="30">
        <v>1.4207744367069672</v>
      </c>
      <c r="AI6" s="1"/>
      <c r="AJ6" s="23">
        <v>0.32947564351565617</v>
      </c>
      <c r="AK6" s="23">
        <v>0</v>
      </c>
      <c r="AL6" s="1"/>
      <c r="AM6" s="1"/>
      <c r="AN6" s="1"/>
      <c r="AO6" s="1"/>
      <c r="AP6" s="1"/>
      <c r="AQ6" s="1"/>
      <c r="AR6" s="251" t="e">
        <v>#VALUE!</v>
      </c>
      <c r="AS6" s="251"/>
      <c r="AT6" s="251"/>
      <c r="AU6" s="251"/>
      <c r="AV6" s="251">
        <v>3234.1940524322918</v>
      </c>
      <c r="AW6" s="251"/>
      <c r="AX6" s="1"/>
    </row>
    <row r="7" spans="1:50" x14ac:dyDescent="0.25">
      <c r="A7" s="120">
        <v>3</v>
      </c>
      <c r="B7" s="97" t="s">
        <v>74</v>
      </c>
      <c r="C7" s="98">
        <v>1.905</v>
      </c>
      <c r="D7" s="89" t="s">
        <v>75</v>
      </c>
      <c r="E7" s="113">
        <v>2.2200000000000002</v>
      </c>
      <c r="F7" s="117" t="s">
        <v>46</v>
      </c>
      <c r="G7" s="103">
        <v>0.3175</v>
      </c>
      <c r="H7" s="25">
        <v>0.72</v>
      </c>
      <c r="I7" s="16" t="s">
        <v>76</v>
      </c>
      <c r="J7" s="25">
        <v>0.56999999999999995</v>
      </c>
      <c r="K7" s="14">
        <v>0.59</v>
      </c>
      <c r="L7" s="15" t="s">
        <v>77</v>
      </c>
      <c r="M7" s="25">
        <v>0.94</v>
      </c>
      <c r="N7" s="26">
        <v>1</v>
      </c>
      <c r="O7" s="16" t="s">
        <v>78</v>
      </c>
      <c r="P7" s="16" t="s">
        <v>79</v>
      </c>
      <c r="Q7" s="16" t="s">
        <v>80</v>
      </c>
      <c r="R7" s="17" t="s">
        <v>81</v>
      </c>
      <c r="S7" s="24">
        <v>1.4927279999999998</v>
      </c>
      <c r="T7" s="25">
        <v>1.961592</v>
      </c>
      <c r="U7" s="25">
        <v>2.2200000000000002</v>
      </c>
      <c r="V7" s="25">
        <v>2.5416780000000001</v>
      </c>
      <c r="W7" s="25">
        <v>2.8851119999999999</v>
      </c>
      <c r="X7" s="25">
        <v>3.250302</v>
      </c>
      <c r="Y7" s="14">
        <v>4.0459500000000013</v>
      </c>
      <c r="Z7" s="27">
        <v>0.21678720083333333</v>
      </c>
      <c r="AA7" s="28">
        <v>0</v>
      </c>
      <c r="AB7" s="28">
        <v>1.1599137898999217</v>
      </c>
      <c r="AC7" s="29">
        <v>1.2476377679438853</v>
      </c>
      <c r="AD7" s="29">
        <v>1.2934450123604018</v>
      </c>
      <c r="AE7" s="29">
        <v>1.3482952198980755</v>
      </c>
      <c r="AF7" s="29">
        <v>1.4044927910103349</v>
      </c>
      <c r="AG7" s="29">
        <v>1.4618823482072694</v>
      </c>
      <c r="AH7" s="30">
        <v>1.5797151641989136</v>
      </c>
      <c r="AI7" s="1"/>
      <c r="AJ7" s="23"/>
      <c r="AK7" s="23"/>
      <c r="AL7" s="1"/>
      <c r="AM7" s="1"/>
      <c r="AN7" s="1"/>
      <c r="AO7" s="1"/>
      <c r="AP7" s="1"/>
      <c r="AQ7" s="1"/>
      <c r="AR7" s="251" t="e">
        <v>#VALUE!</v>
      </c>
      <c r="AS7" s="251"/>
      <c r="AT7" s="251"/>
      <c r="AU7" s="251"/>
      <c r="AV7" s="251"/>
      <c r="AW7" s="251"/>
      <c r="AX7" s="251"/>
    </row>
    <row r="8" spans="1:50" x14ac:dyDescent="0.25">
      <c r="A8" s="120">
        <v>4</v>
      </c>
      <c r="B8" s="97" t="s">
        <v>82</v>
      </c>
      <c r="C8" s="98">
        <v>2.2229999999999999</v>
      </c>
      <c r="D8" s="89" t="s">
        <v>83</v>
      </c>
      <c r="E8" s="113">
        <v>2.64</v>
      </c>
      <c r="F8" s="117" t="s">
        <v>46</v>
      </c>
      <c r="G8" s="103">
        <v>0.3175</v>
      </c>
      <c r="H8" s="25">
        <v>1.1599999999999999</v>
      </c>
      <c r="I8" s="16" t="s">
        <v>84</v>
      </c>
      <c r="J8" s="25">
        <v>0.66</v>
      </c>
      <c r="K8" s="14">
        <v>0.66</v>
      </c>
      <c r="L8" s="15" t="s">
        <v>85</v>
      </c>
      <c r="M8" s="25">
        <v>1.05</v>
      </c>
      <c r="N8" s="26">
        <v>1.1200000000000001</v>
      </c>
      <c r="O8" s="16" t="s">
        <v>86</v>
      </c>
      <c r="P8" s="16" t="s">
        <v>87</v>
      </c>
      <c r="Q8" s="16" t="s">
        <v>88</v>
      </c>
      <c r="R8" s="17" t="s">
        <v>89</v>
      </c>
      <c r="S8" s="24">
        <v>2.3327040000000001</v>
      </c>
      <c r="T8" s="25">
        <v>2.9106000000000001</v>
      </c>
      <c r="U8" s="25">
        <v>3.3116160000000008</v>
      </c>
      <c r="V8" s="25">
        <v>3.6759359999999996</v>
      </c>
      <c r="W8" s="25">
        <v>4.125</v>
      </c>
      <c r="X8" s="25">
        <v>4.5999360000000005</v>
      </c>
      <c r="Y8" s="14">
        <v>5.5506000000000002</v>
      </c>
      <c r="Z8" s="27">
        <v>0.25071354427083326</v>
      </c>
      <c r="AA8" s="28">
        <v>0</v>
      </c>
      <c r="AB8" s="28">
        <v>1.3246886426628712</v>
      </c>
      <c r="AC8" s="29">
        <v>1.4048843368761714</v>
      </c>
      <c r="AD8" s="29">
        <v>1.4579437574886078</v>
      </c>
      <c r="AE8" s="29">
        <v>1.5045265035884212</v>
      </c>
      <c r="AF8" s="29">
        <v>1.5600320509528001</v>
      </c>
      <c r="AG8" s="29">
        <v>1.6166632302368977</v>
      </c>
      <c r="AH8" s="30">
        <v>1.7244419387152472</v>
      </c>
      <c r="AI8" s="1"/>
      <c r="AJ8" s="23">
        <v>0.32717583294204533</v>
      </c>
      <c r="AK8" s="23">
        <v>0</v>
      </c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</row>
    <row r="9" spans="1:50" x14ac:dyDescent="0.25">
      <c r="A9" s="120">
        <v>5</v>
      </c>
      <c r="B9" s="97" t="s">
        <v>82</v>
      </c>
      <c r="C9" s="98">
        <v>2.54</v>
      </c>
      <c r="D9" s="89" t="s">
        <v>90</v>
      </c>
      <c r="E9" s="113">
        <v>3.8</v>
      </c>
      <c r="F9" s="117" t="s">
        <v>47</v>
      </c>
      <c r="G9" s="103">
        <v>0.47625000000000001</v>
      </c>
      <c r="H9" s="25">
        <v>1.58</v>
      </c>
      <c r="I9" s="16" t="s">
        <v>91</v>
      </c>
      <c r="J9" s="25">
        <v>0.66</v>
      </c>
      <c r="K9" s="14">
        <v>0.74</v>
      </c>
      <c r="L9" s="15" t="s">
        <v>58</v>
      </c>
      <c r="M9" s="25">
        <v>1.1100000000000001</v>
      </c>
      <c r="N9" s="26">
        <v>1.17</v>
      </c>
      <c r="O9" s="16" t="s">
        <v>73</v>
      </c>
      <c r="P9" s="16" t="s">
        <v>92</v>
      </c>
      <c r="Q9" s="16" t="s">
        <v>93</v>
      </c>
      <c r="R9" s="17" t="s">
        <v>94</v>
      </c>
      <c r="S9" s="24">
        <v>3.6495199999999994</v>
      </c>
      <c r="T9" s="25">
        <v>4.6819800000000003</v>
      </c>
      <c r="U9" s="25">
        <v>5.2018199999999988</v>
      </c>
      <c r="V9" s="25">
        <v>5.8428800000000001</v>
      </c>
      <c r="W9" s="25">
        <v>6.5211800000000002</v>
      </c>
      <c r="X9" s="25">
        <v>7.2367199999999983</v>
      </c>
      <c r="Y9" s="14">
        <v>8.7795199999999998</v>
      </c>
      <c r="Z9" s="27">
        <v>0.98316382877929687</v>
      </c>
      <c r="AA9" s="28">
        <v>0</v>
      </c>
      <c r="AB9" s="28">
        <v>1.3941305534274757</v>
      </c>
      <c r="AC9" s="29">
        <v>1.488388390172404</v>
      </c>
      <c r="AD9" s="29">
        <v>1.5336557632011167</v>
      </c>
      <c r="AE9" s="29">
        <v>1.5877027429591473</v>
      </c>
      <c r="AF9" s="29">
        <v>1.6429546554911367</v>
      </c>
      <c r="AG9" s="29">
        <v>1.6992939710362065</v>
      </c>
      <c r="AH9" s="30">
        <v>1.8148278155241064</v>
      </c>
      <c r="AI9" s="1"/>
      <c r="AJ9" s="23"/>
      <c r="AK9" s="23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0" x14ac:dyDescent="0.25">
      <c r="A10" s="120">
        <v>6</v>
      </c>
      <c r="B10" s="97" t="s">
        <v>95</v>
      </c>
      <c r="C10" s="98">
        <v>2.54</v>
      </c>
      <c r="D10" s="89" t="s">
        <v>96</v>
      </c>
      <c r="E10" s="113">
        <v>2.96</v>
      </c>
      <c r="F10" s="117" t="s">
        <v>46</v>
      </c>
      <c r="G10" s="103">
        <v>0.3175</v>
      </c>
      <c r="H10" s="25">
        <v>1.79</v>
      </c>
      <c r="I10" s="16" t="s">
        <v>71</v>
      </c>
      <c r="J10" s="25">
        <v>0.79</v>
      </c>
      <c r="K10" s="14">
        <v>0.75</v>
      </c>
      <c r="L10" s="15" t="s">
        <v>78</v>
      </c>
      <c r="M10" s="25">
        <v>1.2</v>
      </c>
      <c r="N10" s="26">
        <v>1.26</v>
      </c>
      <c r="O10" s="16" t="s">
        <v>88</v>
      </c>
      <c r="P10" s="16" t="s">
        <v>97</v>
      </c>
      <c r="Q10" s="16" t="s">
        <v>89</v>
      </c>
      <c r="R10" s="17" t="s">
        <v>98</v>
      </c>
      <c r="S10" s="24">
        <v>3.3889040000000001</v>
      </c>
      <c r="T10" s="25">
        <v>4.2623999999999995</v>
      </c>
      <c r="U10" s="25">
        <v>4.6992960000000004</v>
      </c>
      <c r="V10" s="25">
        <v>5.1575040000000003</v>
      </c>
      <c r="W10" s="25">
        <v>5.719015999999999</v>
      </c>
      <c r="X10" s="25">
        <v>6.2233999999999998</v>
      </c>
      <c r="Y10" s="14">
        <v>7.4831760000000003</v>
      </c>
      <c r="Z10" s="27">
        <v>0.28453320109374997</v>
      </c>
      <c r="AA10" s="28">
        <v>0</v>
      </c>
      <c r="AB10" s="28">
        <v>1.5269250145308382</v>
      </c>
      <c r="AC10" s="29">
        <v>1.6206788701035131</v>
      </c>
      <c r="AD10" s="29">
        <v>1.6655929874972457</v>
      </c>
      <c r="AE10" s="29">
        <v>1.7114321488157223</v>
      </c>
      <c r="AF10" s="29">
        <v>1.7659841448891889</v>
      </c>
      <c r="AG10" s="29">
        <v>1.8135876047216468</v>
      </c>
      <c r="AH10" s="30">
        <v>1.9273557014728757</v>
      </c>
      <c r="AI10" s="1"/>
      <c r="AJ10" s="23">
        <v>0.32896342853193516</v>
      </c>
      <c r="AK10" s="23">
        <v>0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</row>
    <row r="11" spans="1:50" x14ac:dyDescent="0.25">
      <c r="A11" s="120">
        <v>7</v>
      </c>
      <c r="B11" s="97" t="s">
        <v>95</v>
      </c>
      <c r="C11" s="98">
        <v>2.54</v>
      </c>
      <c r="D11" s="89" t="s">
        <v>99</v>
      </c>
      <c r="E11" s="113">
        <v>4.38</v>
      </c>
      <c r="F11" s="117" t="s">
        <v>47</v>
      </c>
      <c r="G11" s="103">
        <v>0.47625000000000001</v>
      </c>
      <c r="H11" s="25">
        <v>2.5</v>
      </c>
      <c r="I11" s="16" t="s">
        <v>100</v>
      </c>
      <c r="J11" s="25">
        <v>0.76</v>
      </c>
      <c r="K11" s="14">
        <v>0.81</v>
      </c>
      <c r="L11" s="15" t="s">
        <v>101</v>
      </c>
      <c r="M11" s="25">
        <v>1.23</v>
      </c>
      <c r="N11" s="26">
        <v>1.29</v>
      </c>
      <c r="O11" s="16" t="s">
        <v>102</v>
      </c>
      <c r="P11" s="16" t="s">
        <v>67</v>
      </c>
      <c r="Q11" s="16" t="s">
        <v>103</v>
      </c>
      <c r="R11" s="17" t="s">
        <v>104</v>
      </c>
      <c r="S11" s="24">
        <v>5.3965980000000009</v>
      </c>
      <c r="T11" s="25">
        <v>6.6265019999999994</v>
      </c>
      <c r="U11" s="25">
        <v>7.2887580000000005</v>
      </c>
      <c r="V11" s="25">
        <v>8.1012480000000018</v>
      </c>
      <c r="W11" s="25">
        <v>8.8318320000000003</v>
      </c>
      <c r="X11" s="25">
        <v>9.7240380000000002</v>
      </c>
      <c r="Y11" s="14">
        <v>11.637222</v>
      </c>
      <c r="Z11" s="27">
        <v>0.98316382877929687</v>
      </c>
      <c r="AA11" s="28">
        <v>0</v>
      </c>
      <c r="AB11" s="28">
        <v>1.5702865980450831</v>
      </c>
      <c r="AC11" s="29">
        <v>1.6572869395490932</v>
      </c>
      <c r="AD11" s="29">
        <v>1.7022925717983968</v>
      </c>
      <c r="AE11" s="29">
        <v>1.7559328005365127</v>
      </c>
      <c r="AF11" s="29">
        <v>1.8028033725284631</v>
      </c>
      <c r="AG11" s="29">
        <v>1.8584402061944312</v>
      </c>
      <c r="AH11" s="30">
        <v>1.9724603925047519</v>
      </c>
      <c r="AI11" s="1"/>
      <c r="AJ11" s="23"/>
      <c r="AK11" s="23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</row>
    <row r="12" spans="1:50" x14ac:dyDescent="0.25">
      <c r="A12" s="120">
        <v>8</v>
      </c>
      <c r="B12" s="97" t="s">
        <v>95</v>
      </c>
      <c r="C12" s="98">
        <v>2.54</v>
      </c>
      <c r="D12" s="89" t="s">
        <v>105</v>
      </c>
      <c r="E12" s="113">
        <v>5.68</v>
      </c>
      <c r="F12" s="117" t="s">
        <v>48</v>
      </c>
      <c r="G12" s="103">
        <v>0.63500000000000001</v>
      </c>
      <c r="H12" s="25">
        <v>3.32</v>
      </c>
      <c r="I12" s="16" t="s">
        <v>106</v>
      </c>
      <c r="J12" s="25">
        <v>0.76</v>
      </c>
      <c r="K12" s="14">
        <v>0.86</v>
      </c>
      <c r="L12" s="15" t="s">
        <v>107</v>
      </c>
      <c r="M12" s="25">
        <v>1.27</v>
      </c>
      <c r="N12" s="26">
        <v>1.34</v>
      </c>
      <c r="O12" s="16" t="s">
        <v>108</v>
      </c>
      <c r="P12" s="16" t="s">
        <v>109</v>
      </c>
      <c r="Q12" s="16" t="s">
        <v>110</v>
      </c>
      <c r="R12" s="17" t="s">
        <v>111</v>
      </c>
      <c r="S12" s="24">
        <v>7.5117999999999983</v>
      </c>
      <c r="T12" s="25">
        <v>9.1612720000000003</v>
      </c>
      <c r="U12" s="25">
        <v>10.199008000000001</v>
      </c>
      <c r="V12" s="25">
        <v>11.132799999999998</v>
      </c>
      <c r="W12" s="25">
        <v>12.273911999999997</v>
      </c>
      <c r="X12" s="25">
        <v>13.470687999999999</v>
      </c>
      <c r="Y12" s="14">
        <v>16.031231999999996</v>
      </c>
      <c r="Z12" s="27">
        <v>2.3846592091666663</v>
      </c>
      <c r="AA12" s="28">
        <v>0</v>
      </c>
      <c r="AB12" s="28">
        <v>1.6247153596861204</v>
      </c>
      <c r="AC12" s="29">
        <v>1.7117534869250304</v>
      </c>
      <c r="AD12" s="29">
        <v>1.7643128974192759</v>
      </c>
      <c r="AE12" s="29">
        <v>1.8103038419005799</v>
      </c>
      <c r="AF12" s="29">
        <v>1.8649664876345633</v>
      </c>
      <c r="AG12" s="29">
        <v>1.9206248983078398</v>
      </c>
      <c r="AH12" s="30">
        <v>2.0346006979257623</v>
      </c>
      <c r="AI12" s="1"/>
      <c r="AJ12" s="23">
        <v>0.30182961787327112</v>
      </c>
      <c r="AK12" s="23">
        <v>0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</row>
    <row r="13" spans="1:50" x14ac:dyDescent="0.25">
      <c r="A13" s="120">
        <v>9</v>
      </c>
      <c r="B13" s="97" t="s">
        <v>112</v>
      </c>
      <c r="C13" s="98">
        <v>3.1749999999999998</v>
      </c>
      <c r="D13" s="89" t="s">
        <v>113</v>
      </c>
      <c r="E13" s="113">
        <v>3.86</v>
      </c>
      <c r="F13" s="117" t="s">
        <v>46</v>
      </c>
      <c r="G13" s="103">
        <v>0.3175</v>
      </c>
      <c r="H13" s="25">
        <v>3.66</v>
      </c>
      <c r="I13" s="16" t="s">
        <v>114</v>
      </c>
      <c r="J13" s="25">
        <v>0.97</v>
      </c>
      <c r="K13" s="14">
        <v>0.89</v>
      </c>
      <c r="L13" s="15" t="s">
        <v>115</v>
      </c>
      <c r="M13" s="25">
        <v>1.45</v>
      </c>
      <c r="N13" s="26">
        <v>1.51</v>
      </c>
      <c r="O13" s="16" t="s">
        <v>116</v>
      </c>
      <c r="P13" s="16" t="s">
        <v>104</v>
      </c>
      <c r="Q13" s="16" t="s">
        <v>117</v>
      </c>
      <c r="R13" s="10">
        <v>1.83</v>
      </c>
      <c r="S13" s="24">
        <v>6.8279540000000001</v>
      </c>
      <c r="T13" s="25">
        <v>8.1156500000000005</v>
      </c>
      <c r="U13" s="25">
        <v>8.8011859999999995</v>
      </c>
      <c r="V13" s="25">
        <v>9.5145140000000001</v>
      </c>
      <c r="W13" s="25">
        <v>10.255633999999999</v>
      </c>
      <c r="X13" s="25">
        <v>11.024545999999999</v>
      </c>
      <c r="Y13" s="14">
        <v>12.926754000000001</v>
      </c>
      <c r="Z13" s="27">
        <v>0.35227920135416668</v>
      </c>
      <c r="AA13" s="28">
        <v>0</v>
      </c>
      <c r="AB13" s="28">
        <v>1.8713364208500833</v>
      </c>
      <c r="AC13" s="29">
        <v>1.9584432593261414</v>
      </c>
      <c r="AD13" s="29">
        <v>2.0032723229755858</v>
      </c>
      <c r="AE13" s="29">
        <v>2.0488777415941635</v>
      </c>
      <c r="AF13" s="29">
        <v>2.0952088201418015</v>
      </c>
      <c r="AG13" s="29">
        <v>2.1422184762530638</v>
      </c>
      <c r="AH13" s="30">
        <v>2.2543069888548897</v>
      </c>
      <c r="AI13" s="1"/>
      <c r="AJ13" s="23"/>
      <c r="AK13" s="23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</row>
    <row r="14" spans="1:50" x14ac:dyDescent="0.25">
      <c r="A14" s="120">
        <v>10</v>
      </c>
      <c r="B14" s="97" t="s">
        <v>112</v>
      </c>
      <c r="C14" s="98">
        <v>3.1749999999999998</v>
      </c>
      <c r="D14" s="89" t="s">
        <v>118</v>
      </c>
      <c r="E14" s="113">
        <v>5.54</v>
      </c>
      <c r="F14" s="117" t="s">
        <v>47</v>
      </c>
      <c r="G14" s="103">
        <v>0.47625000000000001</v>
      </c>
      <c r="H14" s="25">
        <v>5.12</v>
      </c>
      <c r="I14" s="16" t="s">
        <v>119</v>
      </c>
      <c r="J14" s="25">
        <v>0.97</v>
      </c>
      <c r="K14" s="14">
        <v>0.7</v>
      </c>
      <c r="L14" s="15" t="s">
        <v>120</v>
      </c>
      <c r="M14" s="25">
        <v>1.48</v>
      </c>
      <c r="N14" s="26">
        <v>1.54</v>
      </c>
      <c r="O14" s="16" t="s">
        <v>121</v>
      </c>
      <c r="P14" s="16" t="s">
        <v>122</v>
      </c>
      <c r="Q14" s="16" t="s">
        <v>75</v>
      </c>
      <c r="R14" s="17" t="s">
        <v>123</v>
      </c>
      <c r="S14" s="24">
        <v>10.398026000000002</v>
      </c>
      <c r="T14" s="25">
        <v>12.134815999999999</v>
      </c>
      <c r="U14" s="25">
        <v>13.138664</v>
      </c>
      <c r="V14" s="25">
        <v>14.360234000000002</v>
      </c>
      <c r="W14" s="25">
        <v>15.450505999999999</v>
      </c>
      <c r="X14" s="25">
        <v>16.772904</v>
      </c>
      <c r="Y14" s="14">
        <v>19.372826000000003</v>
      </c>
      <c r="Z14" s="27">
        <v>1.2118065796582032</v>
      </c>
      <c r="AA14" s="28">
        <v>0</v>
      </c>
      <c r="AB14" s="28">
        <v>1.8187358246870271</v>
      </c>
      <c r="AC14" s="29">
        <v>1.9029713607934302</v>
      </c>
      <c r="AD14" s="29">
        <v>1.95</v>
      </c>
      <c r="AE14" s="29">
        <v>2.0057417580536132</v>
      </c>
      <c r="AF14" s="29">
        <v>2.0542151786022806</v>
      </c>
      <c r="AG14" s="29">
        <v>2.1115160430363771</v>
      </c>
      <c r="AH14" s="30">
        <v>2.2198648607516631</v>
      </c>
      <c r="AI14" s="1"/>
      <c r="AJ14" s="23">
        <v>0.31617043502299413</v>
      </c>
      <c r="AK14" s="23">
        <v>0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</row>
    <row r="15" spans="1:50" x14ac:dyDescent="0.25">
      <c r="A15" s="120">
        <v>11</v>
      </c>
      <c r="B15" s="97" t="s">
        <v>112</v>
      </c>
      <c r="C15" s="98">
        <v>3.1749999999999998</v>
      </c>
      <c r="D15" s="89" t="s">
        <v>124</v>
      </c>
      <c r="E15" s="113">
        <v>7.24</v>
      </c>
      <c r="F15" s="117" t="s">
        <v>48</v>
      </c>
      <c r="G15" s="103">
        <v>0.63500000000000001</v>
      </c>
      <c r="H15" s="25">
        <v>6.37</v>
      </c>
      <c r="I15" s="16" t="s">
        <v>125</v>
      </c>
      <c r="J15" s="25">
        <v>0.94</v>
      </c>
      <c r="K15" s="14">
        <v>1.02</v>
      </c>
      <c r="L15" s="15" t="s">
        <v>97</v>
      </c>
      <c r="M15" s="25">
        <v>1.51</v>
      </c>
      <c r="N15" s="26">
        <v>1.57</v>
      </c>
      <c r="O15" s="16" t="s">
        <v>104</v>
      </c>
      <c r="P15" s="16" t="s">
        <v>126</v>
      </c>
      <c r="Q15" s="16" t="s">
        <v>127</v>
      </c>
      <c r="R15" s="17" t="s">
        <v>128</v>
      </c>
      <c r="S15" s="24">
        <v>13.988403999999999</v>
      </c>
      <c r="T15" s="25">
        <v>16.507923999999999</v>
      </c>
      <c r="U15" s="25">
        <v>17.845876000000001</v>
      </c>
      <c r="V15" s="25">
        <v>19.235955999999998</v>
      </c>
      <c r="W15" s="25">
        <v>20.923599999999997</v>
      </c>
      <c r="X15" s="25">
        <v>22.682196000000001</v>
      </c>
      <c r="Y15" s="14">
        <v>10.252564</v>
      </c>
      <c r="Z15" s="27">
        <v>2.9266272112499996</v>
      </c>
      <c r="AA15" s="28">
        <v>0</v>
      </c>
      <c r="AB15" s="28">
        <v>1.9636954957426571</v>
      </c>
      <c r="AC15" s="29">
        <v>2.050390206765532</v>
      </c>
      <c r="AD15" s="29">
        <v>2.0949701668520246</v>
      </c>
      <c r="AE15" s="29">
        <v>2.1403037167654499</v>
      </c>
      <c r="AF15" s="29">
        <v>2.1940829519414256</v>
      </c>
      <c r="AG15" s="29">
        <v>2.2487552112224223</v>
      </c>
      <c r="AH15" s="30">
        <v>1.8275940468276866</v>
      </c>
      <c r="AI15" s="1"/>
      <c r="AJ15" s="23"/>
      <c r="AK15" s="23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</row>
    <row r="16" spans="1:50" x14ac:dyDescent="0.25">
      <c r="A16" s="120">
        <v>12</v>
      </c>
      <c r="B16" s="97" t="s">
        <v>129</v>
      </c>
      <c r="C16" s="98">
        <v>3.81</v>
      </c>
      <c r="D16" s="89" t="s">
        <v>130</v>
      </c>
      <c r="E16" s="113">
        <v>4.6399999999999997</v>
      </c>
      <c r="F16" s="117" t="s">
        <v>46</v>
      </c>
      <c r="G16" s="103">
        <v>0.3175</v>
      </c>
      <c r="H16" s="25">
        <v>6.49</v>
      </c>
      <c r="I16" s="16" t="s">
        <v>131</v>
      </c>
      <c r="J16" s="25">
        <v>1.17</v>
      </c>
      <c r="K16" s="14">
        <v>1.07</v>
      </c>
      <c r="L16" s="15" t="s">
        <v>98</v>
      </c>
      <c r="M16" s="25">
        <v>1.71</v>
      </c>
      <c r="N16" s="26">
        <v>1.76</v>
      </c>
      <c r="O16" s="16" t="s">
        <v>132</v>
      </c>
      <c r="P16" s="16" t="s">
        <v>133</v>
      </c>
      <c r="Q16" s="16" t="s">
        <v>134</v>
      </c>
      <c r="R16" s="10">
        <v>2.08</v>
      </c>
      <c r="S16" s="24">
        <v>11.730384000000001</v>
      </c>
      <c r="T16" s="25">
        <v>13.567823999999998</v>
      </c>
      <c r="U16" s="25">
        <v>14.372863999999998</v>
      </c>
      <c r="V16" s="25">
        <v>15.369536</v>
      </c>
      <c r="W16" s="25">
        <v>16.399615999999998</v>
      </c>
      <c r="X16" s="25">
        <v>17.643599999999999</v>
      </c>
      <c r="Y16" s="14">
        <v>20.074496</v>
      </c>
      <c r="Z16" s="27">
        <v>0.42002520161458334</v>
      </c>
      <c r="AA16" s="28">
        <v>0</v>
      </c>
      <c r="AB16" s="28">
        <v>2.2454175558234151</v>
      </c>
      <c r="AC16" s="29">
        <v>2.3319305306976879</v>
      </c>
      <c r="AD16" s="29">
        <v>2.3688393782610082</v>
      </c>
      <c r="AE16" s="29">
        <v>2.413752265664395</v>
      </c>
      <c r="AF16" s="29">
        <v>2.4593088459971839</v>
      </c>
      <c r="AG16" s="29">
        <v>2.5132250197704145</v>
      </c>
      <c r="AH16" s="30">
        <v>2.6153776018005508</v>
      </c>
      <c r="AI16" s="1"/>
      <c r="AJ16" s="23">
        <v>0.32253443722602337</v>
      </c>
      <c r="AK16" s="23">
        <v>0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</row>
    <row r="17" spans="1:37" x14ac:dyDescent="0.25">
      <c r="A17" s="120">
        <v>13</v>
      </c>
      <c r="B17" s="97" t="s">
        <v>129</v>
      </c>
      <c r="C17" s="98">
        <v>3.81</v>
      </c>
      <c r="D17" s="89" t="s">
        <v>135</v>
      </c>
      <c r="E17" s="113">
        <v>6.84</v>
      </c>
      <c r="F17" s="117" t="s">
        <v>47</v>
      </c>
      <c r="G17" s="103">
        <v>0.47625000000000001</v>
      </c>
      <c r="H17" s="25">
        <v>9.16</v>
      </c>
      <c r="I17" s="16" t="s">
        <v>136</v>
      </c>
      <c r="J17" s="25">
        <v>1.17</v>
      </c>
      <c r="K17" s="14">
        <v>1.1200000000000001</v>
      </c>
      <c r="L17" s="15" t="s">
        <v>114</v>
      </c>
      <c r="M17" s="25">
        <v>1.73</v>
      </c>
      <c r="N17" s="26">
        <v>1.79</v>
      </c>
      <c r="O17" s="16" t="s">
        <v>137</v>
      </c>
      <c r="P17" s="16" t="s">
        <v>138</v>
      </c>
      <c r="Q17" s="16" t="s">
        <v>139</v>
      </c>
      <c r="R17" s="17" t="s">
        <v>140</v>
      </c>
      <c r="S17" s="24">
        <v>17.950896000000004</v>
      </c>
      <c r="T17" s="25">
        <v>20.471436000000001</v>
      </c>
      <c r="U17" s="25">
        <v>21.916043999999999</v>
      </c>
      <c r="V17" s="25">
        <v>23.4099</v>
      </c>
      <c r="W17" s="25">
        <v>25.214976</v>
      </c>
      <c r="X17" s="25">
        <v>26.815535999999998</v>
      </c>
      <c r="Y17" s="14">
        <v>30.452363999999996</v>
      </c>
      <c r="Z17" s="27">
        <v>1.4404493305371096</v>
      </c>
      <c r="AA17" s="28">
        <v>0</v>
      </c>
      <c r="AB17" s="28">
        <v>2.2907858913482073</v>
      </c>
      <c r="AC17" s="29">
        <v>2.3698523160737253</v>
      </c>
      <c r="AD17" s="29">
        <v>2.4140008285002721</v>
      </c>
      <c r="AE17" s="29">
        <v>2.4588208556135198</v>
      </c>
      <c r="AF17" s="29">
        <v>2.5119116226491727</v>
      </c>
      <c r="AG17" s="29">
        <v>2.5580656754665232</v>
      </c>
      <c r="AH17" s="30">
        <v>2.6599624057493747</v>
      </c>
      <c r="AI17" s="1"/>
      <c r="AJ17" s="23"/>
      <c r="AK17" s="23"/>
    </row>
    <row r="18" spans="1:37" x14ac:dyDescent="0.25">
      <c r="A18" s="120">
        <v>14</v>
      </c>
      <c r="B18" s="97" t="s">
        <v>129</v>
      </c>
      <c r="C18" s="98">
        <v>3.81</v>
      </c>
      <c r="D18" s="89" t="s">
        <v>141</v>
      </c>
      <c r="E18" s="113">
        <v>8.9</v>
      </c>
      <c r="F18" s="117" t="s">
        <v>48</v>
      </c>
      <c r="G18" s="103">
        <v>0.63500000000000001</v>
      </c>
      <c r="H18" s="25">
        <v>11.53</v>
      </c>
      <c r="I18" s="16" t="s">
        <v>142</v>
      </c>
      <c r="J18" s="25">
        <v>1.1499999999999999</v>
      </c>
      <c r="K18" s="14">
        <v>1.19</v>
      </c>
      <c r="L18" s="15" t="s">
        <v>143</v>
      </c>
      <c r="M18" s="25">
        <v>1.76</v>
      </c>
      <c r="N18" s="26">
        <v>1.82</v>
      </c>
      <c r="O18" s="16" t="s">
        <v>133</v>
      </c>
      <c r="P18" s="16" t="s">
        <v>144</v>
      </c>
      <c r="Q18" s="16" t="s">
        <v>145</v>
      </c>
      <c r="R18" s="17" t="s">
        <v>146</v>
      </c>
      <c r="S18" s="24">
        <v>23.937439999999995</v>
      </c>
      <c r="T18" s="25">
        <v>27.568640000000002</v>
      </c>
      <c r="U18" s="25">
        <v>29.480360000000005</v>
      </c>
      <c r="V18" s="25">
        <v>31.456160000000001</v>
      </c>
      <c r="W18" s="25">
        <v>33.496040000000001</v>
      </c>
      <c r="X18" s="25">
        <v>35.956889999999994</v>
      </c>
      <c r="Y18" s="14">
        <v>40.75844</v>
      </c>
      <c r="Z18" s="27">
        <v>3.4685952133333333</v>
      </c>
      <c r="AA18" s="28">
        <v>0</v>
      </c>
      <c r="AB18" s="28">
        <v>2.329849780565262</v>
      </c>
      <c r="AC18" s="29">
        <v>2.4158228411868286</v>
      </c>
      <c r="AD18" s="29">
        <v>2.4598780457575535</v>
      </c>
      <c r="AE18" s="29">
        <v>2.5045957757690163</v>
      </c>
      <c r="AF18" s="29">
        <v>2.5499411757921004</v>
      </c>
      <c r="AG18" s="29">
        <v>2.6035936702949636</v>
      </c>
      <c r="AH18" s="30">
        <v>2.7052171816695236</v>
      </c>
      <c r="AI18" s="1"/>
      <c r="AJ18" s="23">
        <v>0.32253443722602337</v>
      </c>
      <c r="AK18" s="23">
        <v>0</v>
      </c>
    </row>
    <row r="19" spans="1:37" x14ac:dyDescent="0.25">
      <c r="A19" s="120">
        <v>15</v>
      </c>
      <c r="B19" s="97" t="s">
        <v>147</v>
      </c>
      <c r="C19" s="98">
        <v>4.4450000000000003</v>
      </c>
      <c r="D19" s="89" t="s">
        <v>148</v>
      </c>
      <c r="E19" s="113">
        <v>5.42</v>
      </c>
      <c r="F19" s="117" t="s">
        <v>46</v>
      </c>
      <c r="G19" s="103">
        <v>0.3175</v>
      </c>
      <c r="H19" s="25">
        <v>10.45</v>
      </c>
      <c r="I19" s="16" t="s">
        <v>149</v>
      </c>
      <c r="J19" s="25">
        <v>1.4</v>
      </c>
      <c r="K19" s="14">
        <v>1.22</v>
      </c>
      <c r="L19" s="15" t="s">
        <v>137</v>
      </c>
      <c r="M19" s="25">
        <v>1.96</v>
      </c>
      <c r="N19" s="26">
        <v>2.02</v>
      </c>
      <c r="O19" s="16" t="s">
        <v>83</v>
      </c>
      <c r="P19" s="16" t="s">
        <v>146</v>
      </c>
      <c r="Q19" s="16" t="s">
        <v>150</v>
      </c>
      <c r="R19" s="10">
        <v>2.33</v>
      </c>
      <c r="S19" s="24">
        <v>18.549950000000003</v>
      </c>
      <c r="T19" s="25">
        <v>20.821471999999996</v>
      </c>
      <c r="U19" s="25">
        <v>22.115767999999999</v>
      </c>
      <c r="V19" s="25">
        <v>23.449088000000003</v>
      </c>
      <c r="W19" s="25">
        <v>24.821432000000001</v>
      </c>
      <c r="X19" s="25">
        <v>26.232800000000005</v>
      </c>
      <c r="Y19" s="14">
        <v>29.424638000000002</v>
      </c>
      <c r="Z19" s="27">
        <v>0.487771201875</v>
      </c>
      <c r="AA19" s="28">
        <v>0</v>
      </c>
      <c r="AB19" s="28">
        <v>2.6212401645022916</v>
      </c>
      <c r="AC19" s="29">
        <v>2.7</v>
      </c>
      <c r="AD19" s="29">
        <v>2.7438658859353895</v>
      </c>
      <c r="AE19" s="29">
        <v>2.7883328352260963</v>
      </c>
      <c r="AF19" s="29">
        <v>2.8333725487482226</v>
      </c>
      <c r="AG19" s="29">
        <v>2.8789581448850554</v>
      </c>
      <c r="AH19" s="30">
        <v>2.9794798203713344</v>
      </c>
      <c r="AI19" s="1"/>
      <c r="AJ19" s="23"/>
      <c r="AK19" s="23"/>
    </row>
    <row r="20" spans="1:37" x14ac:dyDescent="0.25">
      <c r="A20" s="120">
        <v>16</v>
      </c>
      <c r="B20" s="97" t="s">
        <v>147</v>
      </c>
      <c r="C20" s="98">
        <v>4.4450000000000003</v>
      </c>
      <c r="D20" s="89" t="s">
        <v>151</v>
      </c>
      <c r="E20" s="113">
        <v>8</v>
      </c>
      <c r="F20" s="117" t="s">
        <v>47</v>
      </c>
      <c r="G20" s="103">
        <v>0.47625000000000001</v>
      </c>
      <c r="H20" s="25">
        <v>14.9</v>
      </c>
      <c r="I20" s="16" t="s">
        <v>152</v>
      </c>
      <c r="J20" s="25">
        <v>1.37</v>
      </c>
      <c r="K20" s="14">
        <v>1.3</v>
      </c>
      <c r="L20" s="15" t="s">
        <v>123</v>
      </c>
      <c r="M20" s="25">
        <v>1.98</v>
      </c>
      <c r="N20" s="26">
        <v>2.04</v>
      </c>
      <c r="O20" s="16" t="s">
        <v>153</v>
      </c>
      <c r="P20" s="16" t="s">
        <v>154</v>
      </c>
      <c r="Q20" s="16" t="s">
        <v>155</v>
      </c>
      <c r="R20" s="17" t="s">
        <v>156</v>
      </c>
      <c r="S20" s="24">
        <v>27.975200000000005</v>
      </c>
      <c r="T20" s="25">
        <v>31.363199999999999</v>
      </c>
      <c r="U20" s="25">
        <v>33.2928</v>
      </c>
      <c r="V20" s="25">
        <v>35.28</v>
      </c>
      <c r="W20" s="25">
        <v>37.324800000000003</v>
      </c>
      <c r="X20" s="25">
        <v>39.427200000000006</v>
      </c>
      <c r="Y20" s="14">
        <v>44.180000000000007</v>
      </c>
      <c r="Z20" s="27">
        <v>1.6690920814160157</v>
      </c>
      <c r="AA20" s="28">
        <v>0</v>
      </c>
      <c r="AB20" s="28">
        <v>2.6577810293551276</v>
      </c>
      <c r="AC20" s="29">
        <v>2.7362931129540931</v>
      </c>
      <c r="AD20" s="29">
        <v>2.7800179855533309</v>
      </c>
      <c r="AE20" s="29">
        <v>2.8243406310146093</v>
      </c>
      <c r="AF20" s="29">
        <v>2.8692333470807148</v>
      </c>
      <c r="AG20" s="29">
        <v>2.9146697926180254</v>
      </c>
      <c r="AH20" s="30">
        <v>3.0148631809752167</v>
      </c>
      <c r="AI20" s="1"/>
      <c r="AJ20" s="23">
        <v>0.31557455907752563</v>
      </c>
      <c r="AK20" s="23">
        <v>0</v>
      </c>
    </row>
    <row r="21" spans="1:37" x14ac:dyDescent="0.25">
      <c r="A21" s="120">
        <v>17</v>
      </c>
      <c r="B21" s="97" t="s">
        <v>147</v>
      </c>
      <c r="C21" s="98">
        <v>4.4450000000000003</v>
      </c>
      <c r="D21" s="89" t="s">
        <v>157</v>
      </c>
      <c r="E21" s="113">
        <v>10.44</v>
      </c>
      <c r="F21" s="117" t="s">
        <v>391</v>
      </c>
      <c r="G21" s="103">
        <v>0.63500000000000001</v>
      </c>
      <c r="H21" s="25">
        <v>18.899999999999999</v>
      </c>
      <c r="I21" s="16" t="s">
        <v>158</v>
      </c>
      <c r="J21" s="25">
        <v>1.35</v>
      </c>
      <c r="K21" s="14">
        <v>1.35</v>
      </c>
      <c r="L21" s="15" t="s">
        <v>159</v>
      </c>
      <c r="M21" s="25">
        <v>2.0099999999999998</v>
      </c>
      <c r="N21" s="26">
        <v>2.0699999999999998</v>
      </c>
      <c r="O21" s="16" t="s">
        <v>160</v>
      </c>
      <c r="P21" s="16" t="s">
        <v>150</v>
      </c>
      <c r="Q21" s="16" t="s">
        <v>161</v>
      </c>
      <c r="R21" s="17" t="s">
        <v>162</v>
      </c>
      <c r="S21" s="24">
        <v>37.688399999999994</v>
      </c>
      <c r="T21" s="25">
        <v>42.178643999999984</v>
      </c>
      <c r="U21" s="25">
        <v>44.734355999999991</v>
      </c>
      <c r="V21" s="25">
        <v>47.365235999999989</v>
      </c>
      <c r="W21" s="25">
        <v>50.529600000000002</v>
      </c>
      <c r="X21" s="25">
        <v>53.796275999999999</v>
      </c>
      <c r="Y21" s="14">
        <v>59.634323999999999</v>
      </c>
      <c r="Z21" s="27">
        <v>4.0105632154166662</v>
      </c>
      <c r="AA21" s="28">
        <v>0</v>
      </c>
      <c r="AB21" s="28">
        <v>2.6935107202311261</v>
      </c>
      <c r="AC21" s="29">
        <v>2.7722012913928165</v>
      </c>
      <c r="AD21" s="29">
        <v>2.816007812489163</v>
      </c>
      <c r="AE21" s="29">
        <v>2.8604020696398607</v>
      </c>
      <c r="AF21" s="29">
        <v>2.9129023327259018</v>
      </c>
      <c r="AG21" s="29">
        <v>2.9661254187913229</v>
      </c>
      <c r="AH21" s="30">
        <v>3.0589377241127353</v>
      </c>
      <c r="AI21" s="1"/>
      <c r="AJ21" s="23"/>
      <c r="AK21" s="23"/>
    </row>
    <row r="22" spans="1:37" x14ac:dyDescent="0.25">
      <c r="A22" s="120">
        <v>18</v>
      </c>
      <c r="B22" s="97" t="s">
        <v>147</v>
      </c>
      <c r="C22" s="98">
        <v>4.4450000000000003</v>
      </c>
      <c r="D22" s="89" t="s">
        <v>163</v>
      </c>
      <c r="E22" s="113">
        <v>12.9</v>
      </c>
      <c r="F22" s="117" t="s">
        <v>49</v>
      </c>
      <c r="G22" s="103">
        <v>0.79374999999999996</v>
      </c>
      <c r="H22" s="25">
        <v>22.6</v>
      </c>
      <c r="I22" s="16" t="s">
        <v>164</v>
      </c>
      <c r="J22" s="25">
        <v>1.32</v>
      </c>
      <c r="K22" s="14">
        <v>1.41</v>
      </c>
      <c r="L22" s="15" t="s">
        <v>165</v>
      </c>
      <c r="M22" s="25">
        <v>2.0499999999999998</v>
      </c>
      <c r="N22" s="26">
        <v>2.11</v>
      </c>
      <c r="O22" s="16" t="s">
        <v>166</v>
      </c>
      <c r="P22" s="16" t="s">
        <v>167</v>
      </c>
      <c r="Q22" s="16" t="s">
        <v>168</v>
      </c>
      <c r="R22" s="17" t="s">
        <v>169</v>
      </c>
      <c r="S22" s="24">
        <v>48.051209999999998</v>
      </c>
      <c r="T22" s="25">
        <v>54.212249999999997</v>
      </c>
      <c r="U22" s="25">
        <v>57.432089999999995</v>
      </c>
      <c r="V22" s="25">
        <v>61.305960000000013</v>
      </c>
      <c r="W22" s="25">
        <v>64.727040000000017</v>
      </c>
      <c r="X22" s="25">
        <v>68.240999999999985</v>
      </c>
      <c r="Y22" s="14">
        <v>76.801439999999999</v>
      </c>
      <c r="Z22" s="27">
        <v>7.9389844055175773</v>
      </c>
      <c r="AA22" s="28">
        <v>0</v>
      </c>
      <c r="AB22" s="28">
        <v>2.7304578370668899</v>
      </c>
      <c r="AC22" s="29">
        <v>2.816558183315232</v>
      </c>
      <c r="AD22" s="29">
        <v>2.8605244274433312</v>
      </c>
      <c r="AE22" s="29">
        <v>2.9125418451929579</v>
      </c>
      <c r="AF22" s="29">
        <v>2.9577187154967932</v>
      </c>
      <c r="AG22" s="29">
        <v>3.0034147232774893</v>
      </c>
      <c r="AH22" s="30">
        <v>3.1119286624214251</v>
      </c>
      <c r="AI22" s="1"/>
      <c r="AJ22" s="23">
        <v>0.31772631303268772</v>
      </c>
      <c r="AK22" s="23">
        <v>0</v>
      </c>
    </row>
    <row r="23" spans="1:37" x14ac:dyDescent="0.25">
      <c r="A23" s="120">
        <v>19</v>
      </c>
      <c r="B23" s="97" t="s">
        <v>170</v>
      </c>
      <c r="C23" s="98">
        <v>5.08</v>
      </c>
      <c r="D23" s="89" t="s">
        <v>171</v>
      </c>
      <c r="E23" s="113">
        <v>6.2</v>
      </c>
      <c r="F23" s="117" t="s">
        <v>46</v>
      </c>
      <c r="G23" s="103">
        <v>0.3175</v>
      </c>
      <c r="H23" s="25">
        <v>15.82</v>
      </c>
      <c r="I23" s="16" t="s">
        <v>172</v>
      </c>
      <c r="J23" s="25">
        <v>1.6</v>
      </c>
      <c r="K23" s="14">
        <v>1.4</v>
      </c>
      <c r="L23" s="15" t="s">
        <v>173</v>
      </c>
      <c r="M23" s="25">
        <v>2.23</v>
      </c>
      <c r="N23" s="26">
        <v>2.29</v>
      </c>
      <c r="O23" s="16" t="s">
        <v>156</v>
      </c>
      <c r="P23" s="16" t="s">
        <v>174</v>
      </c>
      <c r="Q23" s="16" t="s">
        <v>175</v>
      </c>
      <c r="R23" s="17" t="s">
        <v>176</v>
      </c>
      <c r="S23" s="24">
        <v>27.865280000000006</v>
      </c>
      <c r="T23" s="25">
        <v>30.831980000000001</v>
      </c>
      <c r="U23" s="25">
        <v>32.513420000000004</v>
      </c>
      <c r="V23" s="25">
        <v>34.239500000000007</v>
      </c>
      <c r="W23" s="25">
        <v>35.711999999999996</v>
      </c>
      <c r="X23" s="25">
        <v>37.519919999999999</v>
      </c>
      <c r="Y23" s="14">
        <v>41.590219999999995</v>
      </c>
      <c r="Z23" s="27">
        <v>0.55551720213541667</v>
      </c>
      <c r="AA23" s="28">
        <v>0</v>
      </c>
      <c r="AB23" s="28">
        <v>3.0023990407672332</v>
      </c>
      <c r="AC23" s="29">
        <v>3.0810550141144835</v>
      </c>
      <c r="AD23" s="29">
        <v>3.1247559904734965</v>
      </c>
      <c r="AE23" s="29">
        <v>3.168990375498165</v>
      </c>
      <c r="AF23" s="29">
        <v>3.2062439083762797</v>
      </c>
      <c r="AG23" s="29">
        <v>3.2513996985913622</v>
      </c>
      <c r="AH23" s="30">
        <v>3.3508357166533842</v>
      </c>
      <c r="AI23" s="1"/>
      <c r="AJ23" s="23"/>
      <c r="AK23" s="23"/>
    </row>
    <row r="24" spans="1:37" x14ac:dyDescent="0.25">
      <c r="A24" s="120">
        <v>20</v>
      </c>
      <c r="B24" s="97" t="s">
        <v>170</v>
      </c>
      <c r="C24" s="98">
        <v>5.08</v>
      </c>
      <c r="D24" s="89" t="s">
        <v>177</v>
      </c>
      <c r="E24" s="113">
        <v>9.16</v>
      </c>
      <c r="F24" s="117" t="s">
        <v>47</v>
      </c>
      <c r="G24" s="103">
        <v>0.47625000000000001</v>
      </c>
      <c r="H24" s="25">
        <v>23.4</v>
      </c>
      <c r="I24" s="16" t="s">
        <v>178</v>
      </c>
      <c r="J24" s="25">
        <v>1.58</v>
      </c>
      <c r="K24" s="14">
        <v>1.45</v>
      </c>
      <c r="L24" s="15" t="s">
        <v>154</v>
      </c>
      <c r="M24" s="25">
        <v>2.27</v>
      </c>
      <c r="N24" s="26">
        <v>2.3199999999999998</v>
      </c>
      <c r="O24" s="16" t="s">
        <v>96</v>
      </c>
      <c r="P24" s="16" t="s">
        <v>169</v>
      </c>
      <c r="Q24" s="16" t="s">
        <v>179</v>
      </c>
      <c r="R24" s="17" t="s">
        <v>180</v>
      </c>
      <c r="S24" s="24">
        <v>42.736896000000002</v>
      </c>
      <c r="T24" s="25">
        <v>47.200564</v>
      </c>
      <c r="U24" s="25">
        <v>49.302783999999996</v>
      </c>
      <c r="V24" s="25">
        <v>51.885903999999996</v>
      </c>
      <c r="W24" s="25">
        <v>54.534976</v>
      </c>
      <c r="X24" s="25">
        <v>57.25</v>
      </c>
      <c r="Y24" s="14">
        <v>63.358803999999992</v>
      </c>
      <c r="Z24" s="27">
        <v>1.8977348322949219</v>
      </c>
      <c r="AA24" s="28">
        <v>0</v>
      </c>
      <c r="AB24" s="28">
        <v>3.043764117010384</v>
      </c>
      <c r="AC24" s="29">
        <v>3.1227872165743218</v>
      </c>
      <c r="AD24" s="29">
        <v>3.1593195469910924</v>
      </c>
      <c r="AE24" s="29">
        <v>3.2036385563917791</v>
      </c>
      <c r="AF24" s="29">
        <v>3.2484611741561578</v>
      </c>
      <c r="AG24" s="29">
        <v>3.2937668405641589</v>
      </c>
      <c r="AH24" s="30">
        <v>3.3934937748579999</v>
      </c>
      <c r="AI24" s="1"/>
      <c r="AJ24" s="23">
        <v>0.2999656265198527</v>
      </c>
      <c r="AK24" s="23">
        <v>0</v>
      </c>
    </row>
    <row r="25" spans="1:37" x14ac:dyDescent="0.25">
      <c r="A25" s="120">
        <v>21</v>
      </c>
      <c r="B25" s="97" t="s">
        <v>170</v>
      </c>
      <c r="C25" s="98">
        <v>5.08</v>
      </c>
      <c r="D25" s="89" t="s">
        <v>181</v>
      </c>
      <c r="E25" s="113">
        <v>12.12</v>
      </c>
      <c r="F25" s="117" t="s">
        <v>48</v>
      </c>
      <c r="G25" s="103">
        <v>0.63500000000000001</v>
      </c>
      <c r="H25" s="25">
        <v>29.2</v>
      </c>
      <c r="I25" s="16" t="s">
        <v>182</v>
      </c>
      <c r="J25" s="25">
        <v>1.55</v>
      </c>
      <c r="K25" s="14">
        <v>1.5</v>
      </c>
      <c r="L25" s="15" t="s">
        <v>154</v>
      </c>
      <c r="M25" s="25">
        <v>2.27</v>
      </c>
      <c r="N25" s="26">
        <v>2.33</v>
      </c>
      <c r="O25" s="16" t="s">
        <v>162</v>
      </c>
      <c r="P25" s="16" t="s">
        <v>183</v>
      </c>
      <c r="Q25" s="16" t="s">
        <v>184</v>
      </c>
      <c r="R25" s="17" t="s">
        <v>185</v>
      </c>
      <c r="S25" s="24">
        <v>56.547072</v>
      </c>
      <c r="T25" s="25">
        <v>62.453147999999992</v>
      </c>
      <c r="U25" s="25">
        <v>65.798268000000007</v>
      </c>
      <c r="V25" s="25">
        <v>69.230652000000006</v>
      </c>
      <c r="W25" s="25">
        <v>72.75030000000001</v>
      </c>
      <c r="X25" s="25">
        <v>76.357211999999976</v>
      </c>
      <c r="Y25" s="14">
        <v>84.471552000000003</v>
      </c>
      <c r="Z25" s="27">
        <v>4.5525312174999994</v>
      </c>
      <c r="AA25" s="28">
        <v>0</v>
      </c>
      <c r="AB25" s="28">
        <v>3.0525563057870042</v>
      </c>
      <c r="AC25" s="29">
        <v>3.1313575330836945</v>
      </c>
      <c r="AD25" s="29">
        <v>3.1751220448984321</v>
      </c>
      <c r="AE25" s="29">
        <v>3.2194098838141132</v>
      </c>
      <c r="AF25" s="29">
        <v>3.2641997487898933</v>
      </c>
      <c r="AG25" s="29">
        <v>3.3094712568626425</v>
      </c>
      <c r="AH25" s="30">
        <v>3.4091201210869646</v>
      </c>
      <c r="AI25" s="1"/>
      <c r="AJ25" s="23"/>
      <c r="AK25" s="23"/>
    </row>
    <row r="26" spans="1:37" x14ac:dyDescent="0.25">
      <c r="A26" s="120">
        <v>22</v>
      </c>
      <c r="B26" s="97" t="s">
        <v>170</v>
      </c>
      <c r="C26" s="98">
        <v>5.08</v>
      </c>
      <c r="D26" s="89" t="s">
        <v>186</v>
      </c>
      <c r="E26" s="113">
        <v>14.84</v>
      </c>
      <c r="F26" s="117" t="s">
        <v>49</v>
      </c>
      <c r="G26" s="103">
        <v>0.79374999999999996</v>
      </c>
      <c r="H26" s="25">
        <v>35</v>
      </c>
      <c r="I26" s="16" t="s">
        <v>187</v>
      </c>
      <c r="J26" s="25">
        <v>1.53</v>
      </c>
      <c r="K26" s="14">
        <v>1.55</v>
      </c>
      <c r="L26" s="15" t="s">
        <v>166</v>
      </c>
      <c r="M26" s="25">
        <v>2.2999999999999998</v>
      </c>
      <c r="N26" s="26">
        <v>2.36</v>
      </c>
      <c r="O26" s="16" t="s">
        <v>188</v>
      </c>
      <c r="P26" s="16" t="s">
        <v>189</v>
      </c>
      <c r="Q26" s="16" t="s">
        <v>190</v>
      </c>
      <c r="R26" s="17" t="s">
        <v>191</v>
      </c>
      <c r="S26" s="24">
        <v>70.525616000000014</v>
      </c>
      <c r="T26" s="25">
        <v>78.503599999999992</v>
      </c>
      <c r="U26" s="25">
        <v>82.652863999999994</v>
      </c>
      <c r="V26" s="25">
        <v>86.908975999999996</v>
      </c>
      <c r="W26" s="25">
        <v>91.271936000000011</v>
      </c>
      <c r="X26" s="25">
        <v>95.741743999999997</v>
      </c>
      <c r="Y26" s="14">
        <v>105.79287599999999</v>
      </c>
      <c r="Z26" s="27">
        <v>8.9975156595865862</v>
      </c>
      <c r="AA26" s="28">
        <v>0</v>
      </c>
      <c r="AB26" s="28">
        <v>3.0815255961941967</v>
      </c>
      <c r="AC26" s="29">
        <v>3.167554261571536</v>
      </c>
      <c r="AD26" s="29">
        <v>3.2113859936170859</v>
      </c>
      <c r="AE26" s="29">
        <v>3.2557334043192174</v>
      </c>
      <c r="AF26" s="29">
        <v>3.3005757073577331</v>
      </c>
      <c r="AG26" s="29">
        <v>3.3458930048643216</v>
      </c>
      <c r="AH26" s="30">
        <v>3.4456204085766613</v>
      </c>
      <c r="AI26" s="1"/>
      <c r="AJ26" s="23">
        <v>0.2999656265198527</v>
      </c>
      <c r="AK26" s="23">
        <v>0</v>
      </c>
    </row>
    <row r="27" spans="1:37" x14ac:dyDescent="0.25">
      <c r="A27" s="120">
        <v>23</v>
      </c>
      <c r="B27" s="97" t="s">
        <v>170</v>
      </c>
      <c r="C27" s="98">
        <v>5.08</v>
      </c>
      <c r="D27" s="89" t="s">
        <v>192</v>
      </c>
      <c r="E27" s="113">
        <v>17.52</v>
      </c>
      <c r="F27" s="117" t="s">
        <v>50</v>
      </c>
      <c r="G27" s="103">
        <v>0.95250000000000001</v>
      </c>
      <c r="H27" s="25">
        <v>140</v>
      </c>
      <c r="I27" s="16" t="s">
        <v>193</v>
      </c>
      <c r="J27" s="25">
        <v>1.5</v>
      </c>
      <c r="K27" s="14" t="s">
        <v>453</v>
      </c>
      <c r="L27" s="15" t="s">
        <v>155</v>
      </c>
      <c r="M27" s="25">
        <v>2.34</v>
      </c>
      <c r="N27" s="26">
        <v>2.39</v>
      </c>
      <c r="O27" s="16" t="s">
        <v>175</v>
      </c>
      <c r="P27" s="16" t="s">
        <v>194</v>
      </c>
      <c r="Q27" s="16" t="s">
        <v>195</v>
      </c>
      <c r="R27" s="17" t="s">
        <v>196</v>
      </c>
      <c r="S27" s="24">
        <v>86.345568000000014</v>
      </c>
      <c r="T27" s="25">
        <v>95.932511999999988</v>
      </c>
      <c r="U27" s="25">
        <v>100.075992</v>
      </c>
      <c r="V27" s="25">
        <v>106.02403199999999</v>
      </c>
      <c r="W27" s="25">
        <v>111.25900800000001</v>
      </c>
      <c r="X27" s="25">
        <v>116.62012800000001</v>
      </c>
      <c r="Y27" s="14">
        <v>128.668632</v>
      </c>
      <c r="Z27" s="27">
        <v>15.73062126046875</v>
      </c>
      <c r="AA27" s="28">
        <v>0</v>
      </c>
      <c r="AB27" s="28">
        <v>3.1309423501559399</v>
      </c>
      <c r="AC27" s="29">
        <v>3.2171415884290826</v>
      </c>
      <c r="AD27" s="29">
        <v>3.2536902126662275</v>
      </c>
      <c r="AE27" s="29">
        <v>3.3054500450014368</v>
      </c>
      <c r="AF27" s="29">
        <v>3.3503432659952921</v>
      </c>
      <c r="AG27" s="29">
        <v>3.3957031672394455</v>
      </c>
      <c r="AH27" s="30">
        <v>3.4954971034174811</v>
      </c>
      <c r="AI27" s="1"/>
      <c r="AJ27" s="23"/>
      <c r="AK27" s="23"/>
    </row>
    <row r="28" spans="1:37" x14ac:dyDescent="0.25">
      <c r="A28" s="121">
        <v>24</v>
      </c>
      <c r="B28" s="106" t="s">
        <v>197</v>
      </c>
      <c r="C28" s="107">
        <v>6.35</v>
      </c>
      <c r="D28" s="108" t="s">
        <v>198</v>
      </c>
      <c r="E28" s="114">
        <v>11.6</v>
      </c>
      <c r="F28" s="118" t="s">
        <v>47</v>
      </c>
      <c r="G28" s="109">
        <v>0.47625000000000001</v>
      </c>
      <c r="H28" s="34">
        <v>46</v>
      </c>
      <c r="I28" s="33" t="s">
        <v>187</v>
      </c>
      <c r="J28" s="34">
        <v>1.98</v>
      </c>
      <c r="K28" s="31">
        <v>1.75</v>
      </c>
      <c r="L28" s="35" t="s">
        <v>199</v>
      </c>
      <c r="M28" s="34">
        <v>2.87</v>
      </c>
      <c r="N28" s="34">
        <v>2.93</v>
      </c>
      <c r="O28" s="33" t="s">
        <v>90</v>
      </c>
      <c r="P28" s="33" t="s">
        <v>200</v>
      </c>
      <c r="Q28" s="33" t="s">
        <v>201</v>
      </c>
      <c r="R28" s="36">
        <v>3.36</v>
      </c>
      <c r="S28" s="32">
        <v>81.460999999999999</v>
      </c>
      <c r="T28" s="34">
        <v>95.54804</v>
      </c>
      <c r="U28" s="34">
        <v>99.584840000000014</v>
      </c>
      <c r="V28" s="34">
        <v>103.01263999999999</v>
      </c>
      <c r="W28" s="34">
        <v>111.47600000000001</v>
      </c>
      <c r="X28" s="34">
        <v>121.02163999999999</v>
      </c>
      <c r="Y28" s="31">
        <v>130.95935999999998</v>
      </c>
      <c r="Z28" s="37">
        <v>2.3550203340527345</v>
      </c>
      <c r="AA28" s="38">
        <v>0</v>
      </c>
      <c r="AB28" s="38">
        <v>3.7423789225571484</v>
      </c>
      <c r="AC28" s="39">
        <v>3.9012562079412318</v>
      </c>
      <c r="AD28" s="39">
        <v>3.9456051500371907</v>
      </c>
      <c r="AE28" s="39">
        <v>3.9828758454162236</v>
      </c>
      <c r="AF28" s="39">
        <v>4.0734383510739427</v>
      </c>
      <c r="AG28" s="39">
        <v>4.1732241732262603</v>
      </c>
      <c r="AH28" s="40">
        <v>4.2746344872982993</v>
      </c>
      <c r="AI28" s="41"/>
      <c r="AJ28" s="42">
        <v>0.2999656265198527</v>
      </c>
      <c r="AK28" s="43">
        <v>0</v>
      </c>
    </row>
    <row r="29" spans="1:37" x14ac:dyDescent="0.25">
      <c r="A29" s="120">
        <v>25</v>
      </c>
      <c r="B29" s="97" t="s">
        <v>197</v>
      </c>
      <c r="C29" s="98">
        <v>6.35</v>
      </c>
      <c r="D29" s="89" t="s">
        <v>202</v>
      </c>
      <c r="E29" s="113">
        <v>15.34</v>
      </c>
      <c r="F29" s="117" t="s">
        <v>48</v>
      </c>
      <c r="G29" s="103">
        <v>0.63500000000000001</v>
      </c>
      <c r="H29" s="25">
        <v>58</v>
      </c>
      <c r="I29" s="16" t="s">
        <v>203</v>
      </c>
      <c r="J29" s="25">
        <v>1.96</v>
      </c>
      <c r="K29" s="14">
        <v>1.83</v>
      </c>
      <c r="L29" s="15" t="s">
        <v>191</v>
      </c>
      <c r="M29" s="25">
        <v>2.9</v>
      </c>
      <c r="N29" s="26">
        <v>2.96</v>
      </c>
      <c r="O29" s="16" t="s">
        <v>204</v>
      </c>
      <c r="P29" s="16" t="s">
        <v>205</v>
      </c>
      <c r="Q29" s="16" t="s">
        <v>206</v>
      </c>
      <c r="R29" s="17" t="s">
        <v>207</v>
      </c>
      <c r="S29" s="24">
        <v>109.357326</v>
      </c>
      <c r="T29" s="25">
        <v>129.0094</v>
      </c>
      <c r="U29" s="25">
        <v>134.40294399999999</v>
      </c>
      <c r="V29" s="25">
        <v>139.906936</v>
      </c>
      <c r="W29" s="25">
        <v>151.246264</v>
      </c>
      <c r="X29" s="25">
        <v>164.02908600000001</v>
      </c>
      <c r="Y29" s="14">
        <v>176.288814</v>
      </c>
      <c r="Z29" s="27">
        <v>5.6364672216666669</v>
      </c>
      <c r="AA29" s="28">
        <v>0</v>
      </c>
      <c r="AB29" s="28">
        <v>3.784098307391075</v>
      </c>
      <c r="AC29" s="29">
        <v>3.9497468273295695</v>
      </c>
      <c r="AD29" s="29">
        <v>3.9940080120099908</v>
      </c>
      <c r="AE29" s="29">
        <v>4.038675525466239</v>
      </c>
      <c r="AF29" s="29">
        <v>4.1291766733817532</v>
      </c>
      <c r="AG29" s="29">
        <v>4.2288769194669174</v>
      </c>
      <c r="AH29" s="30">
        <v>4.3223373306580317</v>
      </c>
      <c r="AI29" s="1"/>
      <c r="AJ29" s="43">
        <v>0.2999656265198527</v>
      </c>
      <c r="AK29" s="43">
        <v>0</v>
      </c>
    </row>
    <row r="30" spans="1:37" x14ac:dyDescent="0.25">
      <c r="A30" s="120">
        <v>26</v>
      </c>
      <c r="B30" s="97" t="s">
        <v>197</v>
      </c>
      <c r="C30" s="98">
        <v>6.35</v>
      </c>
      <c r="D30" s="89" t="s">
        <v>208</v>
      </c>
      <c r="E30" s="113">
        <v>18.96</v>
      </c>
      <c r="F30" s="117" t="s">
        <v>49</v>
      </c>
      <c r="G30" s="103">
        <v>0.79374999999999996</v>
      </c>
      <c r="H30" s="25">
        <v>70</v>
      </c>
      <c r="I30" s="16" t="s">
        <v>209</v>
      </c>
      <c r="J30" s="25">
        <v>1.93</v>
      </c>
      <c r="K30" s="14">
        <v>1.88</v>
      </c>
      <c r="L30" s="15" t="s">
        <v>210</v>
      </c>
      <c r="M30" s="25">
        <v>2.92</v>
      </c>
      <c r="N30" s="26">
        <v>2.98</v>
      </c>
      <c r="O30" s="16" t="s">
        <v>211</v>
      </c>
      <c r="P30" s="16" t="s">
        <v>212</v>
      </c>
      <c r="Q30" s="16" t="s">
        <v>213</v>
      </c>
      <c r="R30" s="17" t="s">
        <v>214</v>
      </c>
      <c r="S30" s="24">
        <v>137.19645599999998</v>
      </c>
      <c r="T30" s="25">
        <v>161.66054399999999</v>
      </c>
      <c r="U30" s="25">
        <v>168.37238400000001</v>
      </c>
      <c r="V30" s="25">
        <v>175.22073600000002</v>
      </c>
      <c r="W30" s="25">
        <v>189.32697600000003</v>
      </c>
      <c r="X30" s="25">
        <v>205.22493600000001</v>
      </c>
      <c r="Y30" s="14">
        <v>221.76374399999997</v>
      </c>
      <c r="Z30" s="27">
        <v>11.114578167724607</v>
      </c>
      <c r="AA30" s="28">
        <v>0</v>
      </c>
      <c r="AB30" s="28">
        <v>3.8072824954289901</v>
      </c>
      <c r="AC30" s="29">
        <v>3.9731221979697526</v>
      </c>
      <c r="AD30" s="29">
        <v>4.0174245481402631</v>
      </c>
      <c r="AE30" s="29">
        <v>4.0621299831492346</v>
      </c>
      <c r="AF30" s="29">
        <v>4.1526979182213584</v>
      </c>
      <c r="AG30" s="29">
        <v>4.2524581126684833</v>
      </c>
      <c r="AH30" s="30">
        <v>4.3538144195636086</v>
      </c>
      <c r="AI30" s="1"/>
      <c r="AJ30" s="43">
        <v>0.2999656265198527</v>
      </c>
      <c r="AK30" s="43">
        <v>0</v>
      </c>
    </row>
    <row r="31" spans="1:37" x14ac:dyDescent="0.25">
      <c r="A31" s="120">
        <v>27</v>
      </c>
      <c r="B31" s="97" t="s">
        <v>197</v>
      </c>
      <c r="C31" s="98">
        <v>6.35</v>
      </c>
      <c r="D31" s="89" t="s">
        <v>215</v>
      </c>
      <c r="E31" s="113">
        <v>22.32</v>
      </c>
      <c r="F31" s="117" t="s">
        <v>50</v>
      </c>
      <c r="G31" s="103">
        <v>0.95250000000000001</v>
      </c>
      <c r="H31" s="25">
        <v>82</v>
      </c>
      <c r="I31" s="16" t="s">
        <v>216</v>
      </c>
      <c r="J31" s="25">
        <v>1.91</v>
      </c>
      <c r="K31" s="14">
        <v>1.93</v>
      </c>
      <c r="L31" s="15" t="s">
        <v>217</v>
      </c>
      <c r="M31" s="25">
        <v>2.95</v>
      </c>
      <c r="N31" s="26">
        <v>3.01</v>
      </c>
      <c r="O31" s="16" t="s">
        <v>218</v>
      </c>
      <c r="P31" s="16" t="s">
        <v>219</v>
      </c>
      <c r="Q31" s="16" t="s">
        <v>220</v>
      </c>
      <c r="R31" s="17" t="s">
        <v>99</v>
      </c>
      <c r="S31" s="24">
        <v>165.13228800000005</v>
      </c>
      <c r="T31" s="25">
        <v>194.2398</v>
      </c>
      <c r="U31" s="25">
        <v>202.22143199999996</v>
      </c>
      <c r="V31" s="25">
        <v>211.736448</v>
      </c>
      <c r="W31" s="25">
        <v>228.55680000000004</v>
      </c>
      <c r="X31" s="25">
        <v>247.50424800000002</v>
      </c>
      <c r="Y31" s="14">
        <v>267.20611200000002</v>
      </c>
      <c r="Z31" s="27">
        <v>19.38890527453125</v>
      </c>
      <c r="AA31" s="28">
        <v>0</v>
      </c>
      <c r="AB31" s="28">
        <v>3.8433579068309522</v>
      </c>
      <c r="AC31" s="29">
        <v>4.0094263928896368</v>
      </c>
      <c r="AD31" s="29">
        <v>4.0537760174928268</v>
      </c>
      <c r="AE31" s="29">
        <v>4.1060199707259102</v>
      </c>
      <c r="AF31" s="29">
        <v>4.1967844833872521</v>
      </c>
      <c r="AG31" s="29">
        <v>4.2967313157794731</v>
      </c>
      <c r="AH31" s="30">
        <v>4.3982496518501542</v>
      </c>
      <c r="AI31" s="1"/>
      <c r="AJ31" s="43">
        <v>0.2999656265198527</v>
      </c>
      <c r="AK31" s="43">
        <v>0</v>
      </c>
    </row>
    <row r="32" spans="1:37" x14ac:dyDescent="0.25">
      <c r="A32" s="120">
        <v>28</v>
      </c>
      <c r="B32" s="97" t="s">
        <v>221</v>
      </c>
      <c r="C32" s="98">
        <v>7.62</v>
      </c>
      <c r="D32" s="89" t="s">
        <v>222</v>
      </c>
      <c r="E32" s="113">
        <v>14.06</v>
      </c>
      <c r="F32" s="117" t="s">
        <v>47</v>
      </c>
      <c r="G32" s="103">
        <v>0.47625000000000001</v>
      </c>
      <c r="H32" s="25">
        <v>80</v>
      </c>
      <c r="I32" s="16" t="s">
        <v>223</v>
      </c>
      <c r="J32" s="25">
        <v>2.39</v>
      </c>
      <c r="K32" s="14">
        <v>2.08</v>
      </c>
      <c r="L32" s="15" t="s">
        <v>212</v>
      </c>
      <c r="M32" s="25">
        <v>3.38</v>
      </c>
      <c r="N32" s="26">
        <v>3.44</v>
      </c>
      <c r="O32" s="16" t="s">
        <v>224</v>
      </c>
      <c r="P32" s="16" t="s">
        <v>225</v>
      </c>
      <c r="Q32" s="16" t="s">
        <v>226</v>
      </c>
      <c r="R32" s="17" t="s">
        <v>227</v>
      </c>
      <c r="S32" s="24">
        <v>140.39753600000003</v>
      </c>
      <c r="T32" s="25">
        <v>160.62706399999999</v>
      </c>
      <c r="U32" s="25">
        <v>166.380416</v>
      </c>
      <c r="V32" s="25">
        <v>172.23500000000001</v>
      </c>
      <c r="W32" s="25">
        <v>183.231326</v>
      </c>
      <c r="X32" s="25">
        <v>195.615374</v>
      </c>
      <c r="Y32" s="14">
        <v>208.40435000000002</v>
      </c>
      <c r="Z32" s="27">
        <v>2.8123058358105468</v>
      </c>
      <c r="AA32" s="28">
        <v>0</v>
      </c>
      <c r="AB32" s="28">
        <v>4.4748296056945005</v>
      </c>
      <c r="AC32" s="29">
        <v>4.6328069245329013</v>
      </c>
      <c r="AD32" s="29">
        <v>4.6767617001510775</v>
      </c>
      <c r="AE32" s="29">
        <v>4.7210697940191482</v>
      </c>
      <c r="AF32" s="29">
        <v>4.8031864423526178</v>
      </c>
      <c r="AG32" s="29">
        <v>4.8940167551817799</v>
      </c>
      <c r="AH32" s="30">
        <v>4.9860806251002403</v>
      </c>
      <c r="AI32" s="1"/>
      <c r="AJ32" s="43">
        <v>0.2999656265198527</v>
      </c>
      <c r="AK32" s="43">
        <v>0</v>
      </c>
    </row>
    <row r="33" spans="1:37" x14ac:dyDescent="0.25">
      <c r="A33" s="120">
        <v>29</v>
      </c>
      <c r="B33" s="97" t="s">
        <v>221</v>
      </c>
      <c r="C33" s="98">
        <v>7.62</v>
      </c>
      <c r="D33" s="89" t="s">
        <v>228</v>
      </c>
      <c r="E33" s="113">
        <v>18.579999999999998</v>
      </c>
      <c r="F33" s="117" t="s">
        <v>48</v>
      </c>
      <c r="G33" s="103">
        <v>0.63500000000000001</v>
      </c>
      <c r="H33" s="25">
        <v>100</v>
      </c>
      <c r="I33" s="16" t="s">
        <v>229</v>
      </c>
      <c r="J33" s="25">
        <v>2.36</v>
      </c>
      <c r="K33" s="14">
        <v>2.13</v>
      </c>
      <c r="L33" s="15" t="s">
        <v>230</v>
      </c>
      <c r="M33" s="25">
        <v>3.37</v>
      </c>
      <c r="N33" s="26">
        <v>3.43</v>
      </c>
      <c r="O33" s="16" t="s">
        <v>231</v>
      </c>
      <c r="P33" s="16" t="s">
        <v>225</v>
      </c>
      <c r="Q33" s="16" t="s">
        <v>226</v>
      </c>
      <c r="R33" s="17" t="s">
        <v>232</v>
      </c>
      <c r="S33" s="24">
        <v>184.36004999999997</v>
      </c>
      <c r="T33" s="25">
        <v>211.011202</v>
      </c>
      <c r="U33" s="25">
        <v>218.59184199999999</v>
      </c>
      <c r="V33" s="25">
        <v>226.30625800000001</v>
      </c>
      <c r="W33" s="25">
        <v>242.13641799999996</v>
      </c>
      <c r="X33" s="25">
        <v>258.50168199999996</v>
      </c>
      <c r="Y33" s="14">
        <v>276.83456799999999</v>
      </c>
      <c r="Z33" s="27">
        <v>6.7204032258333335</v>
      </c>
      <c r="AA33" s="28">
        <v>0</v>
      </c>
      <c r="AB33" s="28">
        <v>4.4753770790850682</v>
      </c>
      <c r="AC33" s="29">
        <v>4.6328608871840737</v>
      </c>
      <c r="AD33" s="29">
        <v>4.6766868614436872</v>
      </c>
      <c r="AE33" s="29">
        <v>4.7208685641521519</v>
      </c>
      <c r="AF33" s="29">
        <v>4.8102598682399682</v>
      </c>
      <c r="AG33" s="29">
        <v>4.9009590898108915</v>
      </c>
      <c r="AH33" s="30">
        <v>5.0006099627945382</v>
      </c>
      <c r="AI33" s="1"/>
      <c r="AJ33" s="43">
        <v>0.2999656265198527</v>
      </c>
      <c r="AK33" s="43">
        <v>0</v>
      </c>
    </row>
    <row r="34" spans="1:37" x14ac:dyDescent="0.25">
      <c r="A34" s="120">
        <v>30</v>
      </c>
      <c r="B34" s="97" t="s">
        <v>221</v>
      </c>
      <c r="C34" s="98">
        <v>7.62</v>
      </c>
      <c r="D34" s="89" t="s">
        <v>233</v>
      </c>
      <c r="E34" s="113">
        <v>22.96</v>
      </c>
      <c r="F34" s="117" t="s">
        <v>49</v>
      </c>
      <c r="G34" s="103">
        <v>0.79374999999999996</v>
      </c>
      <c r="H34" s="25">
        <v>124</v>
      </c>
      <c r="I34" s="16" t="s">
        <v>234</v>
      </c>
      <c r="J34" s="25">
        <v>2.34</v>
      </c>
      <c r="K34" s="14">
        <v>2.21</v>
      </c>
      <c r="L34" s="15" t="s">
        <v>235</v>
      </c>
      <c r="M34" s="25">
        <v>3.43</v>
      </c>
      <c r="N34" s="26">
        <v>3.49</v>
      </c>
      <c r="O34" s="16" t="s">
        <v>236</v>
      </c>
      <c r="P34" s="16" t="s">
        <v>237</v>
      </c>
      <c r="Q34" s="16" t="s">
        <v>238</v>
      </c>
      <c r="R34" s="17" t="s">
        <v>239</v>
      </c>
      <c r="S34" s="24">
        <v>236.58213600000002</v>
      </c>
      <c r="T34" s="25">
        <v>270.12210400000004</v>
      </c>
      <c r="U34" s="25">
        <v>279.65509600000001</v>
      </c>
      <c r="V34" s="25">
        <v>289.35339999999997</v>
      </c>
      <c r="W34" s="25">
        <v>309.24594400000001</v>
      </c>
      <c r="X34" s="25">
        <v>331.54239999999999</v>
      </c>
      <c r="Y34" s="14">
        <v>352.812544</v>
      </c>
      <c r="Z34" s="27">
        <v>13.231640675862629</v>
      </c>
      <c r="AA34" s="28">
        <v>0</v>
      </c>
      <c r="AB34" s="28">
        <v>4.5457452634304092</v>
      </c>
      <c r="AC34" s="29">
        <v>4.7036794108442379</v>
      </c>
      <c r="AD34" s="29">
        <v>4.7476099250043697</v>
      </c>
      <c r="AE34" s="29">
        <v>4.7918889803500244</v>
      </c>
      <c r="AF34" s="29">
        <v>4.8814547012135634</v>
      </c>
      <c r="AG34" s="29">
        <v>4.9799297183795677</v>
      </c>
      <c r="AH34" s="30">
        <v>5.0720902988807284</v>
      </c>
      <c r="AI34" s="1"/>
      <c r="AJ34" s="43">
        <v>0.2999656265198527</v>
      </c>
      <c r="AK34" s="43">
        <v>0</v>
      </c>
    </row>
    <row r="35" spans="1:37" x14ac:dyDescent="0.25">
      <c r="A35" s="120">
        <v>31</v>
      </c>
      <c r="B35" s="97" t="s">
        <v>221</v>
      </c>
      <c r="C35" s="98">
        <v>7.62</v>
      </c>
      <c r="D35" s="89" t="s">
        <v>240</v>
      </c>
      <c r="E35" s="113">
        <v>27.22</v>
      </c>
      <c r="F35" s="117" t="s">
        <v>50</v>
      </c>
      <c r="G35" s="103">
        <v>0.95250000000000001</v>
      </c>
      <c r="H35" s="25">
        <v>150</v>
      </c>
      <c r="I35" s="16" t="s">
        <v>241</v>
      </c>
      <c r="J35" s="25">
        <v>2.31</v>
      </c>
      <c r="K35" s="14">
        <v>2.2599999999999998</v>
      </c>
      <c r="L35" s="15" t="s">
        <v>242</v>
      </c>
      <c r="M35" s="25">
        <v>3.49</v>
      </c>
      <c r="N35" s="26">
        <v>3.55</v>
      </c>
      <c r="O35" s="16" t="s">
        <v>225</v>
      </c>
      <c r="P35" s="16" t="s">
        <v>226</v>
      </c>
      <c r="Q35" s="16" t="s">
        <v>227</v>
      </c>
      <c r="R35" s="17" t="s">
        <v>243</v>
      </c>
      <c r="S35" s="24">
        <v>289.28327199999995</v>
      </c>
      <c r="T35" s="25">
        <v>331.54232200000001</v>
      </c>
      <c r="U35" s="25">
        <v>343.04004999999995</v>
      </c>
      <c r="V35" s="25">
        <v>354.73376199999996</v>
      </c>
      <c r="W35" s="25">
        <v>378.709138</v>
      </c>
      <c r="X35" s="25">
        <v>403.46845000000002</v>
      </c>
      <c r="Y35" s="14">
        <v>431.17568799999998</v>
      </c>
      <c r="Z35" s="27">
        <v>23.047189288593753</v>
      </c>
      <c r="AA35" s="28">
        <v>0</v>
      </c>
      <c r="AB35" s="28">
        <v>4.5903485706425391</v>
      </c>
      <c r="AC35" s="29">
        <v>4.7564482547379825</v>
      </c>
      <c r="AD35" s="29">
        <v>4.8006457898911892</v>
      </c>
      <c r="AE35" s="29">
        <v>4.8451831750719183</v>
      </c>
      <c r="AF35" s="29">
        <v>4.9352406222999905</v>
      </c>
      <c r="AG35" s="29">
        <v>5.0265495123394537</v>
      </c>
      <c r="AH35" s="30">
        <v>5.1268021221810391</v>
      </c>
      <c r="AI35" s="1"/>
      <c r="AJ35" s="43">
        <v>0.2999656265198527</v>
      </c>
      <c r="AK35" s="43">
        <v>0</v>
      </c>
    </row>
    <row r="36" spans="1:37" x14ac:dyDescent="0.25">
      <c r="A36" s="120">
        <v>32</v>
      </c>
      <c r="B36" s="97" t="s">
        <v>221</v>
      </c>
      <c r="C36" s="98">
        <v>7.62</v>
      </c>
      <c r="D36" s="89" t="s">
        <v>244</v>
      </c>
      <c r="E36" s="113">
        <v>31.34</v>
      </c>
      <c r="F36" s="117" t="s">
        <v>245</v>
      </c>
      <c r="G36" s="103">
        <v>1.1112500000000001</v>
      </c>
      <c r="H36" s="25">
        <v>166</v>
      </c>
      <c r="I36" s="16" t="s">
        <v>246</v>
      </c>
      <c r="J36" s="25">
        <v>2.31</v>
      </c>
      <c r="K36" s="14">
        <v>2.31</v>
      </c>
      <c r="L36" s="15" t="s">
        <v>242</v>
      </c>
      <c r="M36" s="25">
        <v>3.49</v>
      </c>
      <c r="N36" s="26">
        <v>3.55</v>
      </c>
      <c r="O36" s="16" t="s">
        <v>225</v>
      </c>
      <c r="P36" s="16" t="s">
        <v>247</v>
      </c>
      <c r="Q36" s="16" t="s">
        <v>232</v>
      </c>
      <c r="R36" s="17" t="s">
        <v>248</v>
      </c>
      <c r="S36" s="24">
        <v>333.068984</v>
      </c>
      <c r="T36" s="25">
        <v>381.72433400000006</v>
      </c>
      <c r="U36" s="25">
        <v>394.96234999999996</v>
      </c>
      <c r="V36" s="25">
        <v>408.42601400000001</v>
      </c>
      <c r="W36" s="25">
        <v>438.37138400000009</v>
      </c>
      <c r="X36" s="25">
        <v>466.953464</v>
      </c>
      <c r="Y36" s="14">
        <v>498.93593400000003</v>
      </c>
      <c r="Z36" s="27">
        <v>36.888543966800135</v>
      </c>
      <c r="AA36" s="28">
        <v>0</v>
      </c>
      <c r="AB36" s="28">
        <v>4.6151706360653666</v>
      </c>
      <c r="AC36" s="29">
        <v>4.7804079323840138</v>
      </c>
      <c r="AD36" s="29">
        <v>4.8243859712920987</v>
      </c>
      <c r="AE36" s="29">
        <v>4.8687061936411817</v>
      </c>
      <c r="AF36" s="29">
        <v>4.9658634697301141</v>
      </c>
      <c r="AG36" s="29">
        <v>5.0568567312115933</v>
      </c>
      <c r="AH36" s="30">
        <v>5.1567722462796439</v>
      </c>
      <c r="AI36" s="1"/>
      <c r="AJ36" s="43">
        <v>0.2999656265198527</v>
      </c>
      <c r="AK36" s="43">
        <v>0</v>
      </c>
    </row>
    <row r="37" spans="1:37" x14ac:dyDescent="0.25">
      <c r="A37" s="120">
        <v>33</v>
      </c>
      <c r="B37" s="97" t="s">
        <v>221</v>
      </c>
      <c r="C37" s="98">
        <v>7.62</v>
      </c>
      <c r="D37" s="89" t="s">
        <v>249</v>
      </c>
      <c r="E37" s="113">
        <v>35.479999999999997</v>
      </c>
      <c r="F37" s="117" t="s">
        <v>51</v>
      </c>
      <c r="G37" s="103">
        <v>1.27</v>
      </c>
      <c r="H37" s="25">
        <v>182</v>
      </c>
      <c r="I37" s="16" t="s">
        <v>250</v>
      </c>
      <c r="J37" s="25">
        <v>2.29</v>
      </c>
      <c r="K37" s="14">
        <v>2.36</v>
      </c>
      <c r="L37" s="15" t="s">
        <v>206</v>
      </c>
      <c r="M37" s="25">
        <v>3.51</v>
      </c>
      <c r="N37" s="26">
        <v>3.57</v>
      </c>
      <c r="O37" s="16" t="s">
        <v>251</v>
      </c>
      <c r="P37" s="16" t="s">
        <v>252</v>
      </c>
      <c r="Q37" s="16" t="s">
        <v>232</v>
      </c>
      <c r="R37" s="17" t="s">
        <v>253</v>
      </c>
      <c r="S37" s="24">
        <v>379.38409199999995</v>
      </c>
      <c r="T37" s="25">
        <v>437.11714799999987</v>
      </c>
      <c r="U37" s="25">
        <v>452.18905199999995</v>
      </c>
      <c r="V37" s="25">
        <v>467.51641199999995</v>
      </c>
      <c r="W37" s="25">
        <v>498.93749999999994</v>
      </c>
      <c r="X37" s="25">
        <v>528.63780799999995</v>
      </c>
      <c r="Y37" s="14">
        <v>570.52194799999984</v>
      </c>
      <c r="Z37" s="27">
        <v>55.497523413333333</v>
      </c>
      <c r="AA37" s="28">
        <v>0</v>
      </c>
      <c r="AB37" s="28">
        <v>4.6375208894408226</v>
      </c>
      <c r="AC37" s="29">
        <v>4.8097609088186495</v>
      </c>
      <c r="AD37" s="29">
        <v>4.8537202226745615</v>
      </c>
      <c r="AE37" s="29">
        <v>4.8980200081257319</v>
      </c>
      <c r="AF37" s="29">
        <v>4.9876046354938763</v>
      </c>
      <c r="AG37" s="29">
        <v>5.0708283347003578</v>
      </c>
      <c r="AH37" s="30">
        <v>5.1859232543492189</v>
      </c>
      <c r="AI37" s="1"/>
      <c r="AJ37" s="43">
        <v>0.2999656265198527</v>
      </c>
      <c r="AK37" s="43">
        <v>0</v>
      </c>
    </row>
    <row r="38" spans="1:37" x14ac:dyDescent="0.25">
      <c r="A38" s="120">
        <v>34</v>
      </c>
      <c r="B38" s="97" t="s">
        <v>254</v>
      </c>
      <c r="C38" s="98">
        <v>10.16</v>
      </c>
      <c r="D38" s="89" t="s">
        <v>255</v>
      </c>
      <c r="E38" s="113">
        <v>25.02</v>
      </c>
      <c r="F38" s="117" t="s">
        <v>48</v>
      </c>
      <c r="G38" s="103">
        <v>0.63500000000000001</v>
      </c>
      <c r="H38" s="25">
        <v>250</v>
      </c>
      <c r="I38" s="16" t="s">
        <v>256</v>
      </c>
      <c r="J38" s="25">
        <v>3.17</v>
      </c>
      <c r="K38" s="14">
        <v>2.77</v>
      </c>
      <c r="L38" s="15" t="s">
        <v>257</v>
      </c>
      <c r="M38" s="25">
        <v>4.42</v>
      </c>
      <c r="N38" s="26">
        <v>4.47</v>
      </c>
      <c r="O38" s="16" t="s">
        <v>258</v>
      </c>
      <c r="P38" s="16" t="s">
        <v>259</v>
      </c>
      <c r="Q38" s="16" t="s">
        <v>260</v>
      </c>
      <c r="R38" s="17" t="s">
        <v>261</v>
      </c>
      <c r="S38" s="24">
        <v>441.3528</v>
      </c>
      <c r="T38" s="25">
        <v>488.80072799999999</v>
      </c>
      <c r="U38" s="25">
        <v>499.92211799999995</v>
      </c>
      <c r="V38" s="25">
        <v>513.43291799999997</v>
      </c>
      <c r="W38" s="25">
        <v>540.99495000000002</v>
      </c>
      <c r="X38" s="25">
        <v>566.89315199999999</v>
      </c>
      <c r="Y38" s="14">
        <v>595.83628799999997</v>
      </c>
      <c r="Z38" s="27">
        <v>8.8882752341666666</v>
      </c>
      <c r="AA38" s="28">
        <v>0</v>
      </c>
      <c r="AB38" s="28">
        <v>5.946578848379966</v>
      </c>
      <c r="AC38" s="29">
        <v>6.1039495410758438</v>
      </c>
      <c r="AD38" s="29">
        <v>6.1402524378074226</v>
      </c>
      <c r="AE38" s="29">
        <v>6.1840682402444429</v>
      </c>
      <c r="AF38" s="29">
        <v>6.2725034874442285</v>
      </c>
      <c r="AG38" s="29">
        <v>6.3544787355061629</v>
      </c>
      <c r="AH38" s="30">
        <v>6.4448584158226465</v>
      </c>
      <c r="AI38" s="1"/>
      <c r="AJ38" s="43">
        <v>0.2999656265198527</v>
      </c>
      <c r="AK38" s="43">
        <v>0</v>
      </c>
    </row>
    <row r="39" spans="1:37" ht="15.75" thickBot="1" x14ac:dyDescent="0.3">
      <c r="A39" s="120">
        <v>35</v>
      </c>
      <c r="B39" s="97" t="s">
        <v>254</v>
      </c>
      <c r="C39" s="98">
        <v>10.16</v>
      </c>
      <c r="D39" s="89" t="s">
        <v>262</v>
      </c>
      <c r="E39" s="113">
        <v>30.95</v>
      </c>
      <c r="F39" s="117" t="s">
        <v>49</v>
      </c>
      <c r="G39" s="103">
        <v>0.79374999999999996</v>
      </c>
      <c r="H39" s="25">
        <v>308</v>
      </c>
      <c r="I39" s="16" t="s">
        <v>263</v>
      </c>
      <c r="J39" s="25">
        <v>3.15</v>
      </c>
      <c r="K39" s="14">
        <v>2.84</v>
      </c>
      <c r="L39" s="15" t="s">
        <v>264</v>
      </c>
      <c r="M39" s="25">
        <v>4.4000000000000004</v>
      </c>
      <c r="N39" s="26">
        <v>4.5199999999999996</v>
      </c>
      <c r="O39" s="16" t="s">
        <v>265</v>
      </c>
      <c r="P39" s="16" t="s">
        <v>266</v>
      </c>
      <c r="Q39" s="16" t="s">
        <v>267</v>
      </c>
      <c r="R39" s="17" t="s">
        <v>268</v>
      </c>
      <c r="S39" s="24">
        <v>556.40672000000006</v>
      </c>
      <c r="T39" s="25">
        <v>599.19200000000012</v>
      </c>
      <c r="U39" s="25">
        <v>632.32087999999987</v>
      </c>
      <c r="V39" s="25">
        <v>649.21958000000006</v>
      </c>
      <c r="W39" s="25">
        <v>680.77929500000005</v>
      </c>
      <c r="X39" s="25">
        <v>716.06229499999984</v>
      </c>
      <c r="Y39" s="14">
        <v>752.23665499999993</v>
      </c>
      <c r="Z39" s="27">
        <v>17.465765692138667</v>
      </c>
      <c r="AA39" s="28">
        <v>0</v>
      </c>
      <c r="AB39" s="28">
        <v>5.9971409855030089</v>
      </c>
      <c r="AC39" s="29">
        <v>6.1113091887090771</v>
      </c>
      <c r="AD39" s="29">
        <v>6.1982658865201961</v>
      </c>
      <c r="AE39" s="29">
        <v>6.2421550765741154</v>
      </c>
      <c r="AF39" s="29">
        <v>6.3233060972880315</v>
      </c>
      <c r="AG39" s="29">
        <v>6.4128152943929386</v>
      </c>
      <c r="AH39" s="30">
        <v>6.5033068511335053</v>
      </c>
      <c r="AI39" s="1"/>
      <c r="AJ39" s="44">
        <v>0.2999656265198527</v>
      </c>
      <c r="AK39" s="43">
        <v>0</v>
      </c>
    </row>
    <row r="40" spans="1:37" x14ac:dyDescent="0.25">
      <c r="A40" s="120">
        <v>36</v>
      </c>
      <c r="B40" s="97" t="s">
        <v>254</v>
      </c>
      <c r="C40" s="98">
        <v>10.16</v>
      </c>
      <c r="D40" s="89" t="s">
        <v>269</v>
      </c>
      <c r="E40" s="113">
        <v>36.9</v>
      </c>
      <c r="F40" s="117" t="s">
        <v>50</v>
      </c>
      <c r="G40" s="103">
        <v>0.95250000000000001</v>
      </c>
      <c r="H40" s="25">
        <v>366</v>
      </c>
      <c r="I40" s="16" t="s">
        <v>270</v>
      </c>
      <c r="J40" s="25">
        <v>3.12</v>
      </c>
      <c r="K40" s="14">
        <v>2.9</v>
      </c>
      <c r="L40" s="15" t="s">
        <v>148</v>
      </c>
      <c r="M40" s="25">
        <v>4.5</v>
      </c>
      <c r="N40" s="26">
        <v>4.5599999999999996</v>
      </c>
      <c r="O40" s="16" t="s">
        <v>271</v>
      </c>
      <c r="P40" s="16" t="s">
        <v>272</v>
      </c>
      <c r="Q40" s="16" t="s">
        <v>273</v>
      </c>
      <c r="R40" s="17" t="s">
        <v>274</v>
      </c>
      <c r="S40" s="24">
        <v>675.94895999999994</v>
      </c>
      <c r="T40" s="25">
        <v>747.22500000000002</v>
      </c>
      <c r="U40" s="25">
        <v>767.28383999999994</v>
      </c>
      <c r="V40" s="25">
        <v>787.60835999999995</v>
      </c>
      <c r="W40" s="25">
        <v>825.56001000000015</v>
      </c>
      <c r="X40" s="25">
        <v>867.98024999999984</v>
      </c>
      <c r="Y40" s="14">
        <v>915.13476000000014</v>
      </c>
      <c r="Z40" s="27">
        <v>30.36375731671875</v>
      </c>
      <c r="AA40" s="28">
        <v>0</v>
      </c>
      <c r="AB40" s="28">
        <v>6.0384435080573535</v>
      </c>
      <c r="AC40" s="29">
        <v>6.1963214893999812</v>
      </c>
      <c r="AD40" s="29">
        <v>6.2400320511997371</v>
      </c>
      <c r="AE40" s="29">
        <v>6.2840114576598278</v>
      </c>
      <c r="AF40" s="29">
        <v>6.3653201019273187</v>
      </c>
      <c r="AG40" s="29">
        <v>6.4549903175760068</v>
      </c>
      <c r="AH40" s="30">
        <v>6.5532282121104259</v>
      </c>
      <c r="AI40" s="1"/>
      <c r="AJ40" s="43">
        <v>0.2999656265198527</v>
      </c>
      <c r="AK40" s="43">
        <v>0</v>
      </c>
    </row>
    <row r="41" spans="1:37" x14ac:dyDescent="0.25">
      <c r="A41" s="120">
        <v>37</v>
      </c>
      <c r="B41" s="97" t="s">
        <v>254</v>
      </c>
      <c r="C41" s="98">
        <v>10.16</v>
      </c>
      <c r="D41" s="89" t="s">
        <v>275</v>
      </c>
      <c r="E41" s="113">
        <v>42.7</v>
      </c>
      <c r="F41" s="117" t="s">
        <v>245</v>
      </c>
      <c r="G41" s="103">
        <v>1.1112500000000001</v>
      </c>
      <c r="H41" s="25">
        <v>416</v>
      </c>
      <c r="I41" s="16" t="s">
        <v>276</v>
      </c>
      <c r="J41" s="25">
        <v>3.12</v>
      </c>
      <c r="K41" s="14">
        <v>2.95</v>
      </c>
      <c r="L41" s="15" t="s">
        <v>277</v>
      </c>
      <c r="M41" s="25">
        <v>4.5199999999999996</v>
      </c>
      <c r="N41" s="26">
        <v>4.58</v>
      </c>
      <c r="O41" s="16" t="s">
        <v>278</v>
      </c>
      <c r="P41" s="16" t="s">
        <v>279</v>
      </c>
      <c r="Q41" s="16" t="s">
        <v>280</v>
      </c>
      <c r="R41" s="17" t="s">
        <v>281</v>
      </c>
      <c r="S41" s="24">
        <v>785.85507000000007</v>
      </c>
      <c r="T41" s="25">
        <v>872.37807999999984</v>
      </c>
      <c r="U41" s="25">
        <v>895.6922800000001</v>
      </c>
      <c r="V41" s="25">
        <v>915.35563000000002</v>
      </c>
      <c r="W41" s="25">
        <v>963.41875000000005</v>
      </c>
      <c r="X41" s="25">
        <v>1012.7116300000001</v>
      </c>
      <c r="Y41" s="14">
        <v>1067.5</v>
      </c>
      <c r="Z41" s="27">
        <v>48.506983011461585</v>
      </c>
      <c r="AA41" s="28">
        <v>0</v>
      </c>
      <c r="AB41" s="28">
        <v>6.0696787394391807</v>
      </c>
      <c r="AC41" s="29">
        <v>6.2343644423469504</v>
      </c>
      <c r="AD41" s="29">
        <v>6.2780012742910465</v>
      </c>
      <c r="AE41" s="29">
        <v>6.3145704525327773</v>
      </c>
      <c r="AF41" s="29">
        <v>6.4030773851328711</v>
      </c>
      <c r="AG41" s="29">
        <v>6.4925957828899223</v>
      </c>
      <c r="AH41" s="30">
        <v>6.5906676444803374</v>
      </c>
      <c r="AI41" s="1"/>
      <c r="AJ41" s="43">
        <v>0.2999656265198527</v>
      </c>
      <c r="AK41" s="43">
        <v>0</v>
      </c>
    </row>
    <row r="42" spans="1:37" x14ac:dyDescent="0.25">
      <c r="A42" s="120">
        <v>38</v>
      </c>
      <c r="B42" s="97" t="s">
        <v>254</v>
      </c>
      <c r="C42" s="98">
        <v>10.16</v>
      </c>
      <c r="D42" s="89" t="s">
        <v>282</v>
      </c>
      <c r="E42" s="113">
        <v>48.38</v>
      </c>
      <c r="F42" s="117" t="s">
        <v>51</v>
      </c>
      <c r="G42" s="103">
        <v>1.27</v>
      </c>
      <c r="H42" s="25">
        <v>466</v>
      </c>
      <c r="I42" s="16" t="s">
        <v>283</v>
      </c>
      <c r="J42" s="25">
        <v>3.1</v>
      </c>
      <c r="K42" s="14">
        <v>3</v>
      </c>
      <c r="L42" s="15" t="s">
        <v>284</v>
      </c>
      <c r="M42" s="25">
        <v>4.54</v>
      </c>
      <c r="N42" s="26">
        <v>4.5999999999999996</v>
      </c>
      <c r="O42" s="16" t="s">
        <v>285</v>
      </c>
      <c r="P42" s="16" t="s">
        <v>286</v>
      </c>
      <c r="Q42" s="16" t="s">
        <v>287</v>
      </c>
      <c r="R42" s="17" t="s">
        <v>288</v>
      </c>
      <c r="S42" s="24">
        <v>902.88691200000017</v>
      </c>
      <c r="T42" s="25">
        <v>997.18920800000001</v>
      </c>
      <c r="U42" s="25">
        <v>1023.7207999999999</v>
      </c>
      <c r="V42" s="25">
        <v>1050.6007280000001</v>
      </c>
      <c r="W42" s="25">
        <v>1105.4055920000001</v>
      </c>
      <c r="X42" s="25">
        <v>1161.6038000000003</v>
      </c>
      <c r="Y42" s="14">
        <v>1224.0575420000002</v>
      </c>
      <c r="Z42" s="27">
        <v>72.840499479999991</v>
      </c>
      <c r="AA42" s="28">
        <v>0</v>
      </c>
      <c r="AB42" s="28">
        <v>6.1051126115740084</v>
      </c>
      <c r="AC42" s="29">
        <v>6.2627150661673889</v>
      </c>
      <c r="AD42" s="29">
        <v>6.3063460101710245</v>
      </c>
      <c r="AE42" s="29">
        <v>6.3502440897968642</v>
      </c>
      <c r="AF42" s="29">
        <v>6.4388197676282264</v>
      </c>
      <c r="AG42" s="29">
        <v>6.5283994975797865</v>
      </c>
      <c r="AH42" s="30">
        <v>6.6265300120047748</v>
      </c>
      <c r="AI42" s="1"/>
      <c r="AJ42" s="43">
        <v>0.2999656265198527</v>
      </c>
      <c r="AK42" s="43">
        <v>0</v>
      </c>
    </row>
    <row r="43" spans="1:37" x14ac:dyDescent="0.25">
      <c r="A43" s="120">
        <v>39</v>
      </c>
      <c r="B43" s="97" t="s">
        <v>254</v>
      </c>
      <c r="C43" s="98">
        <v>10.16</v>
      </c>
      <c r="D43" s="89" t="s">
        <v>289</v>
      </c>
      <c r="E43" s="113">
        <v>53.92</v>
      </c>
      <c r="F43" s="117" t="s">
        <v>290</v>
      </c>
      <c r="G43" s="103">
        <v>1.42875</v>
      </c>
      <c r="H43" s="25">
        <v>508</v>
      </c>
      <c r="I43" s="16" t="s">
        <v>291</v>
      </c>
      <c r="J43" s="25">
        <v>3.07</v>
      </c>
      <c r="K43" s="14">
        <v>3.07</v>
      </c>
      <c r="L43" s="15" t="s">
        <v>292</v>
      </c>
      <c r="M43" s="25">
        <v>4.57</v>
      </c>
      <c r="N43" s="26">
        <v>4.63</v>
      </c>
      <c r="O43" s="16" t="s">
        <v>266</v>
      </c>
      <c r="P43" s="16" t="s">
        <v>267</v>
      </c>
      <c r="Q43" s="16" t="s">
        <v>268</v>
      </c>
      <c r="R43" s="17" t="s">
        <v>293</v>
      </c>
      <c r="S43" s="24">
        <v>1015.615552</v>
      </c>
      <c r="T43" s="25">
        <v>1126.1138080000001</v>
      </c>
      <c r="U43" s="25">
        <v>1155.8776479999999</v>
      </c>
      <c r="V43" s="25">
        <v>1186.0297120000002</v>
      </c>
      <c r="W43" s="25">
        <v>1247.4985119999999</v>
      </c>
      <c r="X43" s="25">
        <v>1310.5202079999999</v>
      </c>
      <c r="Y43" s="14">
        <v>1380.5461119999998</v>
      </c>
      <c r="Z43" s="27">
        <v>104.32968722604492</v>
      </c>
      <c r="AA43" s="28">
        <v>0</v>
      </c>
      <c r="AB43" s="28">
        <v>6.1388435392995646</v>
      </c>
      <c r="AC43" s="29">
        <v>6.3035466207524795</v>
      </c>
      <c r="AD43" s="29">
        <v>6.3471804764005251</v>
      </c>
      <c r="AE43" s="29">
        <v>6.3910797209861183</v>
      </c>
      <c r="AF43" s="29">
        <v>6.4796527684745575</v>
      </c>
      <c r="AG43" s="29">
        <v>6.5692236984289094</v>
      </c>
      <c r="AH43" s="30">
        <v>6.6673382995015329</v>
      </c>
      <c r="AI43" s="1"/>
      <c r="AJ43" s="43">
        <v>0.2999656265198527</v>
      </c>
      <c r="AK43" s="43">
        <v>0</v>
      </c>
    </row>
    <row r="44" spans="1:37" x14ac:dyDescent="0.25">
      <c r="A44" s="120">
        <v>40</v>
      </c>
      <c r="B44" s="97" t="s">
        <v>254</v>
      </c>
      <c r="C44" s="98">
        <v>10.16</v>
      </c>
      <c r="D44" s="89" t="s">
        <v>294</v>
      </c>
      <c r="E44" s="113">
        <v>59.46</v>
      </c>
      <c r="F44" s="117" t="s">
        <v>66</v>
      </c>
      <c r="G44" s="103">
        <v>1.5874999999999999</v>
      </c>
      <c r="H44" s="25">
        <v>558</v>
      </c>
      <c r="I44" s="16" t="s">
        <v>295</v>
      </c>
      <c r="J44" s="25">
        <v>3.05</v>
      </c>
      <c r="K44" s="14">
        <v>3.12</v>
      </c>
      <c r="L44" s="15" t="s">
        <v>296</v>
      </c>
      <c r="M44" s="25">
        <v>4.5999999999999996</v>
      </c>
      <c r="N44" s="26">
        <v>4.66</v>
      </c>
      <c r="O44" s="16" t="s">
        <v>152</v>
      </c>
      <c r="P44" s="16" t="s">
        <v>273</v>
      </c>
      <c r="Q44" s="16" t="s">
        <v>297</v>
      </c>
      <c r="R44" s="17" t="s">
        <v>298</v>
      </c>
      <c r="S44" s="24">
        <v>1135.5016740000001</v>
      </c>
      <c r="T44" s="25">
        <v>1258.1735999999999</v>
      </c>
      <c r="U44" s="25">
        <v>1291.2095760000002</v>
      </c>
      <c r="V44" s="25">
        <v>1324.6736639999999</v>
      </c>
      <c r="W44" s="25">
        <v>1398.6478499999998</v>
      </c>
      <c r="X44" s="25">
        <v>1468.7155139999998</v>
      </c>
      <c r="Y44" s="14">
        <v>1546.5545999999999</v>
      </c>
      <c r="Z44" s="27">
        <v>143.96025055338538</v>
      </c>
      <c r="AA44" s="28">
        <v>0</v>
      </c>
      <c r="AB44" s="28">
        <v>6.1752570796688291</v>
      </c>
      <c r="AC44" s="29">
        <v>6.3401025228303682</v>
      </c>
      <c r="AD44" s="29">
        <v>6.3837684795111418</v>
      </c>
      <c r="AE44" s="29">
        <v>6.42769787715633</v>
      </c>
      <c r="AF44" s="29">
        <v>6.5237565865075009</v>
      </c>
      <c r="AG44" s="29">
        <v>6.613455980045531</v>
      </c>
      <c r="AH44" s="30">
        <v>6.7116987417493634</v>
      </c>
      <c r="AI44" s="1"/>
      <c r="AJ44" s="43">
        <v>0.2999656265198527</v>
      </c>
      <c r="AK44" s="43">
        <v>0</v>
      </c>
    </row>
    <row r="45" spans="1:37" x14ac:dyDescent="0.25">
      <c r="A45" s="120">
        <v>41</v>
      </c>
      <c r="B45" s="97" t="s">
        <v>299</v>
      </c>
      <c r="C45" s="98">
        <v>12.7</v>
      </c>
      <c r="D45" s="89" t="s">
        <v>300</v>
      </c>
      <c r="E45" s="113">
        <v>46.58</v>
      </c>
      <c r="F45" s="117" t="s">
        <v>50</v>
      </c>
      <c r="G45" s="103">
        <v>0.95250000000000001</v>
      </c>
      <c r="H45" s="25">
        <v>724</v>
      </c>
      <c r="I45" s="16" t="s">
        <v>301</v>
      </c>
      <c r="J45" s="25">
        <v>3.94</v>
      </c>
      <c r="K45" s="14">
        <v>3.53</v>
      </c>
      <c r="L45" s="15" t="s">
        <v>302</v>
      </c>
      <c r="M45" s="25">
        <v>5.51</v>
      </c>
      <c r="N45" s="26">
        <v>5.56</v>
      </c>
      <c r="O45" s="16" t="s">
        <v>303</v>
      </c>
      <c r="P45" s="16" t="s">
        <v>304</v>
      </c>
      <c r="Q45" s="16" t="s">
        <v>305</v>
      </c>
      <c r="R45" s="17" t="s">
        <v>306</v>
      </c>
      <c r="S45" s="24">
        <v>1303.499378</v>
      </c>
      <c r="T45" s="25">
        <v>1414.173458</v>
      </c>
      <c r="U45" s="25">
        <v>1439.9554879999998</v>
      </c>
      <c r="V45" s="25">
        <v>1471.201352</v>
      </c>
      <c r="W45" s="25">
        <v>1534.699208</v>
      </c>
      <c r="X45" s="25">
        <v>1594.0840499999997</v>
      </c>
      <c r="Y45" s="14">
        <v>1660.1531219999997</v>
      </c>
      <c r="Z45" s="27">
        <v>37.680325344843752</v>
      </c>
      <c r="AA45" s="28">
        <v>0</v>
      </c>
      <c r="AB45" s="28">
        <v>7.4812164786216417</v>
      </c>
      <c r="AC45" s="29">
        <v>7.6383636991177637</v>
      </c>
      <c r="AD45" s="29">
        <v>7.6745097563297158</v>
      </c>
      <c r="AE45" s="29">
        <v>7.7180891417500481</v>
      </c>
      <c r="AF45" s="29">
        <v>7.8059016135229378</v>
      </c>
      <c r="AG45" s="29">
        <v>7.8871414340050983</v>
      </c>
      <c r="AH45" s="30">
        <v>7.9765531402981322</v>
      </c>
      <c r="AI45" s="1"/>
      <c r="AJ45" s="43">
        <v>0.2999656265198527</v>
      </c>
      <c r="AK45" s="43">
        <v>0</v>
      </c>
    </row>
    <row r="46" spans="1:37" x14ac:dyDescent="0.25">
      <c r="A46" s="120">
        <v>42</v>
      </c>
      <c r="B46" s="97" t="s">
        <v>299</v>
      </c>
      <c r="C46" s="98">
        <v>12.7</v>
      </c>
      <c r="D46" s="89" t="s">
        <v>307</v>
      </c>
      <c r="E46" s="113">
        <v>61.28</v>
      </c>
      <c r="F46" s="117" t="s">
        <v>51</v>
      </c>
      <c r="G46" s="103">
        <v>1.27</v>
      </c>
      <c r="H46" s="25">
        <v>940</v>
      </c>
      <c r="I46" s="16" t="s">
        <v>308</v>
      </c>
      <c r="J46" s="25">
        <v>3.91</v>
      </c>
      <c r="K46" s="14">
        <v>3.63</v>
      </c>
      <c r="L46" s="15" t="s">
        <v>309</v>
      </c>
      <c r="M46" s="25">
        <v>5.56</v>
      </c>
      <c r="N46" s="26">
        <v>5.62</v>
      </c>
      <c r="O46" s="16" t="s">
        <v>310</v>
      </c>
      <c r="P46" s="16" t="s">
        <v>311</v>
      </c>
      <c r="Q46" s="16" t="s">
        <v>312</v>
      </c>
      <c r="R46" s="17" t="s">
        <v>313</v>
      </c>
      <c r="S46" s="24">
        <v>1747.435968</v>
      </c>
      <c r="T46" s="25">
        <v>1894.3854079999996</v>
      </c>
      <c r="U46" s="25">
        <v>1935.4920320000001</v>
      </c>
      <c r="V46" s="25">
        <v>1970.0845919999999</v>
      </c>
      <c r="W46" s="25">
        <v>2054.3568479999999</v>
      </c>
      <c r="X46" s="25">
        <v>2140.3939679999999</v>
      </c>
      <c r="Y46" s="14">
        <v>2228.195952</v>
      </c>
      <c r="Z46" s="27">
        <v>90.183475546666671</v>
      </c>
      <c r="AA46" s="28">
        <v>0</v>
      </c>
      <c r="AB46" s="28">
        <v>7.5485495295453946</v>
      </c>
      <c r="AC46" s="29">
        <v>7.7057510990168891</v>
      </c>
      <c r="AD46" s="29">
        <v>7.749154792620935</v>
      </c>
      <c r="AE46" s="29">
        <v>7.7854929195266758</v>
      </c>
      <c r="AF46" s="29">
        <v>7.8733156928958454</v>
      </c>
      <c r="AG46" s="29">
        <v>7.9619783973582852</v>
      </c>
      <c r="AH46" s="30">
        <v>8.0514532849666338</v>
      </c>
      <c r="AI46" s="1"/>
      <c r="AJ46" s="43">
        <v>0.2999656265198527</v>
      </c>
      <c r="AK46" s="43">
        <v>0</v>
      </c>
    </row>
    <row r="47" spans="1:37" x14ac:dyDescent="0.25">
      <c r="A47" s="120">
        <v>43</v>
      </c>
      <c r="B47" s="97" t="s">
        <v>299</v>
      </c>
      <c r="C47" s="98">
        <v>12.7</v>
      </c>
      <c r="D47" s="89" t="s">
        <v>314</v>
      </c>
      <c r="E47" s="113">
        <v>75.599999999999994</v>
      </c>
      <c r="F47" s="117" t="s">
        <v>315</v>
      </c>
      <c r="G47" s="103">
        <v>1.5874999999999999</v>
      </c>
      <c r="H47" s="25">
        <v>1132</v>
      </c>
      <c r="I47" s="16" t="s">
        <v>316</v>
      </c>
      <c r="J47" s="25">
        <v>3.86</v>
      </c>
      <c r="K47" s="14">
        <v>3.76</v>
      </c>
      <c r="L47" s="15" t="s">
        <v>317</v>
      </c>
      <c r="M47" s="25">
        <v>5.62</v>
      </c>
      <c r="N47" s="26">
        <v>5.68</v>
      </c>
      <c r="O47" s="16" t="s">
        <v>304</v>
      </c>
      <c r="P47" s="16" t="s">
        <v>318</v>
      </c>
      <c r="Q47" s="16" t="s">
        <v>319</v>
      </c>
      <c r="R47" s="17" t="s">
        <v>320</v>
      </c>
      <c r="S47" s="24">
        <v>2204.4960000000001</v>
      </c>
      <c r="T47" s="25">
        <v>2387.7806399999999</v>
      </c>
      <c r="U47" s="25">
        <v>2439.0374399999996</v>
      </c>
      <c r="V47" s="25">
        <v>2490.8385599999997</v>
      </c>
      <c r="W47" s="25">
        <v>2596.0737600000002</v>
      </c>
      <c r="X47" s="25">
        <v>2703.4862400000002</v>
      </c>
      <c r="Y47" s="14">
        <v>2803.8603599999997</v>
      </c>
      <c r="Z47" s="27">
        <v>177.83325068359372</v>
      </c>
      <c r="AA47" s="28">
        <v>0</v>
      </c>
      <c r="AB47" s="28">
        <v>7.6287089340202252</v>
      </c>
      <c r="AC47" s="29">
        <v>7.7859874132957598</v>
      </c>
      <c r="AD47" s="29">
        <v>7.8294061077453376</v>
      </c>
      <c r="AE47" s="29">
        <v>7.8730426138818785</v>
      </c>
      <c r="AF47" s="29">
        <v>7.9609547166153387</v>
      </c>
      <c r="AG47" s="29">
        <v>8.0496956464204281</v>
      </c>
      <c r="AH47" s="30">
        <v>8.1317464298882314</v>
      </c>
      <c r="AI47" s="1"/>
      <c r="AJ47" s="43">
        <v>0.2999656265198527</v>
      </c>
      <c r="AK47" s="43">
        <v>0</v>
      </c>
    </row>
    <row r="48" spans="1:37" x14ac:dyDescent="0.25">
      <c r="A48" s="120">
        <v>44</v>
      </c>
      <c r="B48" s="97" t="s">
        <v>299</v>
      </c>
      <c r="C48" s="98">
        <v>12.7</v>
      </c>
      <c r="D48" s="89" t="s">
        <v>321</v>
      </c>
      <c r="E48" s="113">
        <v>89.52</v>
      </c>
      <c r="F48" s="117" t="s">
        <v>74</v>
      </c>
      <c r="G48" s="103">
        <v>1.905</v>
      </c>
      <c r="H48" s="25">
        <v>1306</v>
      </c>
      <c r="I48" s="16" t="s">
        <v>322</v>
      </c>
      <c r="J48" s="25">
        <v>3.81</v>
      </c>
      <c r="K48" s="14">
        <v>3.86</v>
      </c>
      <c r="L48" s="15" t="s">
        <v>323</v>
      </c>
      <c r="M48" s="25">
        <v>5.66</v>
      </c>
      <c r="N48" s="26">
        <v>5.72</v>
      </c>
      <c r="O48" s="16" t="s">
        <v>324</v>
      </c>
      <c r="P48" s="16" t="s">
        <v>325</v>
      </c>
      <c r="Q48" s="16" t="s">
        <v>326</v>
      </c>
      <c r="R48" s="17" t="s">
        <v>327</v>
      </c>
      <c r="S48" s="24">
        <v>2639.4882479999997</v>
      </c>
      <c r="T48" s="25">
        <v>2867.826912</v>
      </c>
      <c r="U48" s="25">
        <v>2928.9511679999996</v>
      </c>
      <c r="V48" s="25">
        <v>2990.7199679999999</v>
      </c>
      <c r="W48" s="25">
        <v>3116.1912000000002</v>
      </c>
      <c r="X48" s="25">
        <v>3244.2406079999992</v>
      </c>
      <c r="Y48" s="14">
        <v>3374.8681919999995</v>
      </c>
      <c r="Z48" s="27">
        <v>310.22248439250001</v>
      </c>
      <c r="AA48" s="28">
        <v>0</v>
      </c>
      <c r="AB48" s="28">
        <v>7.6746726314547118</v>
      </c>
      <c r="AC48" s="29">
        <v>7.8390879571541996</v>
      </c>
      <c r="AD48" s="29">
        <v>7.8825186330258683</v>
      </c>
      <c r="AE48" s="29">
        <v>7.9261655294347717</v>
      </c>
      <c r="AF48" s="29">
        <v>8.0140938352380182</v>
      </c>
      <c r="AG48" s="29">
        <v>8.1028451793181873</v>
      </c>
      <c r="AH48" s="30">
        <v>8.1923928128477819</v>
      </c>
      <c r="AI48" s="1"/>
      <c r="AJ48" s="43">
        <v>0.2999656265198527</v>
      </c>
      <c r="AK48" s="43">
        <v>0</v>
      </c>
    </row>
    <row r="49" spans="1:37" x14ac:dyDescent="0.25">
      <c r="A49" s="120">
        <v>45</v>
      </c>
      <c r="B49" s="97" t="s">
        <v>328</v>
      </c>
      <c r="C49" s="98">
        <v>15.24</v>
      </c>
      <c r="D49" s="89" t="s">
        <v>329</v>
      </c>
      <c r="E49" s="113">
        <v>56.24</v>
      </c>
      <c r="F49" s="117" t="s">
        <v>50</v>
      </c>
      <c r="G49" s="103">
        <v>0.95250000000000001</v>
      </c>
      <c r="H49" s="25">
        <v>1282</v>
      </c>
      <c r="I49" s="16" t="s">
        <v>330</v>
      </c>
      <c r="J49" s="25">
        <v>4.78</v>
      </c>
      <c r="K49" s="14">
        <v>4.17</v>
      </c>
      <c r="L49" s="15" t="s">
        <v>331</v>
      </c>
      <c r="M49" s="25">
        <v>6.55</v>
      </c>
      <c r="N49" s="26">
        <v>6.61</v>
      </c>
      <c r="O49" s="16" t="s">
        <v>332</v>
      </c>
      <c r="P49" s="16" t="s">
        <v>333</v>
      </c>
      <c r="Q49" s="16" t="s">
        <v>334</v>
      </c>
      <c r="R49" s="17" t="s">
        <v>335</v>
      </c>
      <c r="S49" s="24">
        <v>2260.6005439999999</v>
      </c>
      <c r="T49" s="25">
        <v>2412.8366000000001</v>
      </c>
      <c r="U49" s="25">
        <v>2457.2437040000004</v>
      </c>
      <c r="V49" s="25">
        <v>2494.5589440000003</v>
      </c>
      <c r="W49" s="25">
        <v>2577.642296</v>
      </c>
      <c r="X49" s="25">
        <v>2669.8309039999999</v>
      </c>
      <c r="Y49" s="14">
        <v>2755.76</v>
      </c>
      <c r="Z49" s="27">
        <v>44.996893372968749</v>
      </c>
      <c r="AA49" s="28">
        <v>0</v>
      </c>
      <c r="AB49" s="28">
        <v>8.968439106109825</v>
      </c>
      <c r="AC49" s="29">
        <v>9.1181028728568307</v>
      </c>
      <c r="AD49" s="29">
        <v>9.1612990345256176</v>
      </c>
      <c r="AE49" s="29">
        <v>9.1974398611787613</v>
      </c>
      <c r="AF49" s="29">
        <v>9.2774026537603724</v>
      </c>
      <c r="AG49" s="29">
        <v>9.3653296791944278</v>
      </c>
      <c r="AH49" s="30">
        <v>9.4465496346549731</v>
      </c>
      <c r="AI49" s="1"/>
      <c r="AJ49" s="43">
        <v>0.2999656265198527</v>
      </c>
      <c r="AK49" s="43">
        <v>0</v>
      </c>
    </row>
    <row r="50" spans="1:37" ht="15.75" thickBot="1" x14ac:dyDescent="0.3">
      <c r="A50" s="120">
        <v>46</v>
      </c>
      <c r="B50" s="97" t="s">
        <v>328</v>
      </c>
      <c r="C50" s="98">
        <v>15.24</v>
      </c>
      <c r="D50" s="89" t="s">
        <v>336</v>
      </c>
      <c r="E50" s="113">
        <v>74.180000000000007</v>
      </c>
      <c r="F50" s="117" t="s">
        <v>51</v>
      </c>
      <c r="G50" s="103">
        <v>1.27</v>
      </c>
      <c r="H50" s="25">
        <v>1656</v>
      </c>
      <c r="I50" s="16" t="s">
        <v>337</v>
      </c>
      <c r="J50" s="25">
        <v>4.72</v>
      </c>
      <c r="K50" s="14">
        <v>4.2699999999999996</v>
      </c>
      <c r="L50" s="15" t="s">
        <v>338</v>
      </c>
      <c r="M50" s="25">
        <v>6.59</v>
      </c>
      <c r="N50" s="26">
        <v>6.64</v>
      </c>
      <c r="O50" s="16" t="s">
        <v>339</v>
      </c>
      <c r="P50" s="16" t="s">
        <v>340</v>
      </c>
      <c r="Q50" s="16" t="s">
        <v>341</v>
      </c>
      <c r="R50" s="17" t="s">
        <v>342</v>
      </c>
      <c r="S50" s="24">
        <v>3009.9944420000006</v>
      </c>
      <c r="T50" s="25">
        <v>3221.4964580000005</v>
      </c>
      <c r="U50" s="25">
        <v>3270.5665280000003</v>
      </c>
      <c r="V50" s="25">
        <v>3329.9402000000005</v>
      </c>
      <c r="W50" s="25">
        <v>3440.1790980000001</v>
      </c>
      <c r="X50" s="25">
        <v>3562.4870820000001</v>
      </c>
      <c r="Y50" s="14">
        <v>3676.4794880000004</v>
      </c>
      <c r="Z50" s="27">
        <v>107.52645161333334</v>
      </c>
      <c r="AA50" s="28">
        <v>0</v>
      </c>
      <c r="AB50" s="28">
        <v>9.004898666836846</v>
      </c>
      <c r="AC50" s="29">
        <v>9.1618447923985276</v>
      </c>
      <c r="AD50" s="29">
        <v>9.197874754528895</v>
      </c>
      <c r="AE50" s="29">
        <v>9.241282378544657</v>
      </c>
      <c r="AF50" s="29">
        <v>9.3213411052272939</v>
      </c>
      <c r="AG50" s="29">
        <v>9.4093676726972451</v>
      </c>
      <c r="AH50" s="30">
        <v>9.490674370138299</v>
      </c>
      <c r="AI50" s="1"/>
      <c r="AJ50" s="44">
        <v>0.2999656265198527</v>
      </c>
      <c r="AK50" s="44">
        <v>0</v>
      </c>
    </row>
    <row r="51" spans="1:37" x14ac:dyDescent="0.25">
      <c r="A51" s="120">
        <v>47</v>
      </c>
      <c r="B51" s="97" t="s">
        <v>328</v>
      </c>
      <c r="C51" s="98">
        <v>15.24</v>
      </c>
      <c r="D51" s="89" t="s">
        <v>343</v>
      </c>
      <c r="E51" s="113">
        <v>91.72</v>
      </c>
      <c r="F51" s="117" t="s">
        <v>66</v>
      </c>
      <c r="G51" s="103">
        <v>1.5874999999999999</v>
      </c>
      <c r="H51" s="25">
        <v>2014</v>
      </c>
      <c r="I51" s="16" t="s">
        <v>344</v>
      </c>
      <c r="J51" s="25">
        <v>4.67</v>
      </c>
      <c r="K51" s="14">
        <v>4.3899999999999997</v>
      </c>
      <c r="L51" s="15" t="s">
        <v>345</v>
      </c>
      <c r="M51" s="25">
        <v>6.64</v>
      </c>
      <c r="N51" s="26">
        <v>6.7</v>
      </c>
      <c r="O51" s="16" t="s">
        <v>346</v>
      </c>
      <c r="P51" s="16" t="s">
        <v>347</v>
      </c>
      <c r="Q51" s="16" t="s">
        <v>348</v>
      </c>
      <c r="R51" s="17" t="s">
        <v>349</v>
      </c>
      <c r="S51" s="24">
        <v>3780.3682079999999</v>
      </c>
      <c r="T51" s="25">
        <v>4043.8981119999999</v>
      </c>
      <c r="U51" s="25">
        <v>4117.3108000000002</v>
      </c>
      <c r="V51" s="25">
        <v>4191.3838719999994</v>
      </c>
      <c r="W51" s="25">
        <v>4328.899668</v>
      </c>
      <c r="X51" s="25">
        <v>4481.4483719999998</v>
      </c>
      <c r="Y51" s="14">
        <v>4636.6386120000006</v>
      </c>
      <c r="Z51" s="27">
        <v>211.70625081380206</v>
      </c>
      <c r="AA51" s="28">
        <v>0</v>
      </c>
      <c r="AB51" s="28">
        <v>9.0717914438108629</v>
      </c>
      <c r="AC51" s="29">
        <v>9.2287919036025503</v>
      </c>
      <c r="AD51" s="29">
        <v>9.2720547884489974</v>
      </c>
      <c r="AE51" s="29">
        <v>9.3155032070200043</v>
      </c>
      <c r="AF51" s="29">
        <v>9.3956319638436234</v>
      </c>
      <c r="AG51" s="29">
        <v>9.4837281698707496</v>
      </c>
      <c r="AH51" s="30">
        <v>9.5725179550628159</v>
      </c>
      <c r="AI51" s="1"/>
      <c r="AJ51" s="1"/>
      <c r="AK51" s="1"/>
    </row>
    <row r="52" spans="1:37" x14ac:dyDescent="0.25">
      <c r="A52" s="120">
        <v>48</v>
      </c>
      <c r="B52" s="97" t="s">
        <v>328</v>
      </c>
      <c r="C52" s="98">
        <v>15.24</v>
      </c>
      <c r="D52" s="89" t="s">
        <v>350</v>
      </c>
      <c r="E52" s="113">
        <v>108.88</v>
      </c>
      <c r="F52" s="117" t="s">
        <v>74</v>
      </c>
      <c r="G52" s="103">
        <v>1.905</v>
      </c>
      <c r="H52" s="25">
        <v>2346</v>
      </c>
      <c r="I52" s="16" t="s">
        <v>351</v>
      </c>
      <c r="J52" s="25">
        <v>4.6500000000000004</v>
      </c>
      <c r="K52" s="14">
        <v>4.5199999999999996</v>
      </c>
      <c r="L52" s="15" t="s">
        <v>352</v>
      </c>
      <c r="M52" s="25">
        <v>6.7</v>
      </c>
      <c r="N52" s="26">
        <v>6.76</v>
      </c>
      <c r="O52" s="16" t="s">
        <v>353</v>
      </c>
      <c r="P52" s="16" t="s">
        <v>354</v>
      </c>
      <c r="Q52" s="16" t="s">
        <v>355</v>
      </c>
      <c r="R52" s="17" t="s">
        <v>356</v>
      </c>
      <c r="S52" s="24">
        <v>4571.9147520000006</v>
      </c>
      <c r="T52" s="25">
        <v>4887.6232</v>
      </c>
      <c r="U52" s="25">
        <v>4975.5546879999993</v>
      </c>
      <c r="V52" s="25">
        <v>5064.2701120000002</v>
      </c>
      <c r="W52" s="25">
        <v>5244.0527680000005</v>
      </c>
      <c r="X52" s="25">
        <v>5426.9711679999991</v>
      </c>
      <c r="Y52" s="14">
        <v>5613.0253119999998</v>
      </c>
      <c r="Z52" s="27">
        <v>368.75502861750005</v>
      </c>
      <c r="AA52" s="28">
        <v>0</v>
      </c>
      <c r="AB52" s="28">
        <v>9.167513294236338</v>
      </c>
      <c r="AC52" s="29">
        <v>9.3243176694061631</v>
      </c>
      <c r="AD52" s="29">
        <v>9.3675236855852138</v>
      </c>
      <c r="AE52" s="29">
        <v>9.4109138769834679</v>
      </c>
      <c r="AF52" s="29">
        <v>9.4982366784577437</v>
      </c>
      <c r="AG52" s="29">
        <v>9.5862662178764886</v>
      </c>
      <c r="AH52" s="30">
        <v>9.6749832041197887</v>
      </c>
      <c r="AI52" s="1"/>
      <c r="AJ52" s="1"/>
      <c r="AK52" s="1"/>
    </row>
    <row r="53" spans="1:37" ht="15.75" thickBot="1" x14ac:dyDescent="0.3">
      <c r="A53" s="122">
        <v>49</v>
      </c>
      <c r="B53" s="104" t="s">
        <v>328</v>
      </c>
      <c r="C53" s="105">
        <v>15.24</v>
      </c>
      <c r="D53" s="90" t="s">
        <v>357</v>
      </c>
      <c r="E53" s="115">
        <v>125.52</v>
      </c>
      <c r="F53" s="92" t="s">
        <v>82</v>
      </c>
      <c r="G53" s="91">
        <v>2.2225000000000001</v>
      </c>
      <c r="H53" s="48">
        <v>2654</v>
      </c>
      <c r="I53" s="47" t="s">
        <v>358</v>
      </c>
      <c r="J53" s="48">
        <v>4.5999999999999996</v>
      </c>
      <c r="K53" s="45" t="s">
        <v>271</v>
      </c>
      <c r="L53" s="49" t="s">
        <v>359</v>
      </c>
      <c r="M53" s="48">
        <v>6.75</v>
      </c>
      <c r="N53" s="50">
        <v>6.81</v>
      </c>
      <c r="O53" s="47" t="s">
        <v>360</v>
      </c>
      <c r="P53" s="47" t="s">
        <v>361</v>
      </c>
      <c r="Q53" s="47" t="s">
        <v>362</v>
      </c>
      <c r="R53" s="51" t="s">
        <v>363</v>
      </c>
      <c r="S53" s="46">
        <v>5335.9054079999996</v>
      </c>
      <c r="T53" s="48">
        <v>5719.0050000000001</v>
      </c>
      <c r="U53" s="48">
        <v>5821.1280719999986</v>
      </c>
      <c r="V53" s="48">
        <v>5906.9209920000003</v>
      </c>
      <c r="W53" s="48">
        <v>6115.3846080000003</v>
      </c>
      <c r="X53" s="48">
        <v>6327.4631999999992</v>
      </c>
      <c r="Y53" s="45">
        <v>6543.1567679999998</v>
      </c>
      <c r="Z53" s="52">
        <v>590.21670346880217</v>
      </c>
      <c r="AA53" s="52">
        <v>0</v>
      </c>
      <c r="AB53" s="53">
        <v>9.2203470650512926</v>
      </c>
      <c r="AC53" s="54">
        <v>9.3843966241842107</v>
      </c>
      <c r="AD53" s="54">
        <v>9.4276455173070648</v>
      </c>
      <c r="AE53" s="54">
        <v>9.4638258648392295</v>
      </c>
      <c r="AF53" s="54">
        <v>9.5511674679067369</v>
      </c>
      <c r="AG53" s="54">
        <v>9.6392115860167742</v>
      </c>
      <c r="AH53" s="55">
        <v>9.7279391445464949</v>
      </c>
      <c r="AI53" s="1"/>
      <c r="AJ53" s="1"/>
      <c r="AK53" s="1"/>
    </row>
  </sheetData>
  <mergeCells count="13">
    <mergeCell ref="AB3:AH3"/>
    <mergeCell ref="AR6:AU6"/>
    <mergeCell ref="AV6:AW6"/>
    <mergeCell ref="AR7:AX7"/>
    <mergeCell ref="H2:K2"/>
    <mergeCell ref="L2:R2"/>
    <mergeCell ref="S2:Y2"/>
    <mergeCell ref="AB2:AH2"/>
    <mergeCell ref="A3:A4"/>
    <mergeCell ref="B3:C3"/>
    <mergeCell ref="F3:G3"/>
    <mergeCell ref="L3:R3"/>
    <mergeCell ref="S3:Y3"/>
  </mergeCells>
  <pageMargins left="0.511811024" right="0.511811024" top="0.78740157499999996" bottom="0.78740157499999996" header="0.31496062000000002" footer="0.31496062000000002"/>
  <pageSetup paperSize="9" scale="70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IR PARA</vt:lpstr>
      <vt:lpstr>Verificação!Area_de_impressao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Suelio Josileissu</dc:creator>
  <cp:lastModifiedBy>Suelio Josileissu da Silva</cp:lastModifiedBy>
  <cp:lastPrinted>2018-01-16T19:59:11Z</cp:lastPrinted>
  <dcterms:created xsi:type="dcterms:W3CDTF">2016-07-07T22:26:10Z</dcterms:created>
  <dcterms:modified xsi:type="dcterms:W3CDTF">2022-05-17T15:11:19Z</dcterms:modified>
</cp:coreProperties>
</file>