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sileissu\Desktop\Arquivos Excel Git\"/>
    </mc:Choice>
  </mc:AlternateContent>
  <xr:revisionPtr revIDLastSave="0" documentId="13_ncr:1_{F1D40F34-B8F8-4027-BE5B-3C663F189546}" xr6:coauthVersionLast="47" xr6:coauthVersionMax="47" xr10:uidLastSave="{00000000-0000-0000-0000-000000000000}"/>
  <bookViews>
    <workbookView xWindow="-120" yWindow="-120" windowWidth="29040" windowHeight="15840" tabRatio="939" xr2:uid="{00000000-000D-0000-FFFF-FFFF00000000}"/>
  </bookViews>
  <sheets>
    <sheet name="Main" sheetId="23" r:id="rId1"/>
    <sheet name="Relatório" sheetId="24" r:id="rId2"/>
    <sheet name="Tipos de Aço" sheetId="27" r:id="rId3"/>
    <sheet name="Perfis" sheetId="28" r:id="rId4"/>
    <sheet name="Otimizador" sheetId="30" r:id="rId5"/>
    <sheet name="Gerar Treliça" sheetId="26" r:id="rId6"/>
    <sheet name="Dim." sheetId="29" r:id="rId7"/>
    <sheet name="Configurações" sheetId="25" r:id="rId8"/>
    <sheet name="Coordenadas Nós" sheetId="14" r:id="rId9"/>
    <sheet name="Conectividades Barras" sheetId="15" r:id="rId10"/>
    <sheet name="Materiais" sheetId="16" r:id="rId11"/>
    <sheet name="Seções Transversais" sheetId="17" r:id="rId12"/>
    <sheet name="Cargas Nodais" sheetId="18" r:id="rId13"/>
    <sheet name="Carregamentos Barras" sheetId="19" r:id="rId14"/>
    <sheet name="Resultados Nó" sheetId="20" r:id="rId15"/>
    <sheet name="Resultados Barras - Locais" sheetId="22" r:id="rId16"/>
    <sheet name="Resultados Barras - Globais" sheetId="21" r:id="rId17"/>
  </sheets>
  <functionGroups builtInGroupCount="19"/>
  <externalReferences>
    <externalReference r:id="rId18"/>
  </externalReferences>
  <definedNames>
    <definedName name="Aço">[1]Dados!$A$2:$A$49</definedName>
    <definedName name="_xlnm.Print_Area" localSheetId="8">'Coordenadas Nós'!$A$1:$U$15</definedName>
    <definedName name="Perfis">[1]Dados!$F$2:$F$5</definedName>
    <definedName name="TipoTreliça">[1]Dados!$E$2:$E$4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3" i="14" l="1"/>
  <c r="P43" i="14"/>
  <c r="O43" i="14"/>
  <c r="N43" i="14"/>
  <c r="M43" i="14"/>
  <c r="L43" i="14"/>
  <c r="Q42" i="14"/>
  <c r="P42" i="14"/>
  <c r="O42" i="14"/>
  <c r="N42" i="14"/>
  <c r="M42" i="14"/>
  <c r="L42" i="14"/>
  <c r="Q41" i="14"/>
  <c r="P41" i="14"/>
  <c r="O41" i="14"/>
  <c r="N41" i="14"/>
  <c r="M41" i="14"/>
  <c r="L41" i="14"/>
  <c r="Q40" i="14"/>
  <c r="P40" i="14"/>
  <c r="O40" i="14"/>
  <c r="N40" i="14"/>
  <c r="M40" i="14"/>
  <c r="L40" i="14"/>
  <c r="Q39" i="14"/>
  <c r="P39" i="14"/>
  <c r="O39" i="14"/>
  <c r="N39" i="14"/>
  <c r="M39" i="14"/>
  <c r="L39" i="14"/>
  <c r="Q38" i="14"/>
  <c r="P38" i="14"/>
  <c r="O38" i="14"/>
  <c r="N38" i="14"/>
  <c r="M38" i="14"/>
  <c r="L38" i="14"/>
  <c r="Q37" i="14"/>
  <c r="P37" i="14"/>
  <c r="O37" i="14"/>
  <c r="N37" i="14"/>
  <c r="M37" i="14"/>
  <c r="L37" i="14"/>
  <c r="Q36" i="14"/>
  <c r="P36" i="14"/>
  <c r="O36" i="14"/>
  <c r="N36" i="14"/>
  <c r="M36" i="14"/>
  <c r="L36" i="14"/>
  <c r="Q35" i="14"/>
  <c r="P35" i="14"/>
  <c r="O35" i="14"/>
  <c r="N35" i="14"/>
  <c r="M35" i="14"/>
  <c r="L35" i="14"/>
  <c r="Q34" i="14"/>
  <c r="P34" i="14"/>
  <c r="O34" i="14"/>
  <c r="N34" i="14"/>
  <c r="M34" i="14"/>
  <c r="L34" i="14"/>
  <c r="Q33" i="14"/>
  <c r="P33" i="14"/>
  <c r="O33" i="14"/>
  <c r="N33" i="14"/>
  <c r="M33" i="14"/>
  <c r="L33" i="14"/>
  <c r="Q32" i="14"/>
  <c r="P32" i="14"/>
  <c r="O32" i="14"/>
  <c r="N32" i="14"/>
  <c r="M32" i="14"/>
  <c r="L32" i="14"/>
  <c r="Q31" i="14"/>
  <c r="P31" i="14"/>
  <c r="O31" i="14"/>
  <c r="N31" i="14"/>
  <c r="M31" i="14"/>
  <c r="L31" i="14"/>
  <c r="Q30" i="14"/>
  <c r="P30" i="14"/>
  <c r="O30" i="14"/>
  <c r="N30" i="14"/>
  <c r="M30" i="14"/>
  <c r="L30" i="14"/>
  <c r="Q29" i="14"/>
  <c r="P29" i="14"/>
  <c r="O29" i="14"/>
  <c r="N29" i="14"/>
  <c r="M29" i="14"/>
  <c r="L29" i="14"/>
  <c r="Q28" i="14"/>
  <c r="P28" i="14"/>
  <c r="O28" i="14"/>
  <c r="N28" i="14"/>
  <c r="M28" i="14"/>
  <c r="L28" i="14"/>
  <c r="Q27" i="14"/>
  <c r="P27" i="14"/>
  <c r="O27" i="14"/>
  <c r="N27" i="14"/>
  <c r="M27" i="14"/>
  <c r="L27" i="14"/>
  <c r="Q26" i="14"/>
  <c r="P26" i="14"/>
  <c r="O26" i="14"/>
  <c r="N26" i="14"/>
  <c r="M26" i="14"/>
  <c r="L26" i="14"/>
  <c r="Q25" i="14"/>
  <c r="P25" i="14"/>
  <c r="O25" i="14"/>
  <c r="N25" i="14"/>
  <c r="M25" i="14"/>
  <c r="L25" i="14"/>
  <c r="Q24" i="14"/>
  <c r="P24" i="14"/>
  <c r="O24" i="14"/>
  <c r="N24" i="14"/>
  <c r="M24" i="14"/>
  <c r="L24" i="14"/>
  <c r="Q23" i="14"/>
  <c r="P23" i="14"/>
  <c r="O23" i="14"/>
  <c r="N23" i="14"/>
  <c r="M23" i="14"/>
  <c r="L23" i="14"/>
  <c r="Q22" i="14"/>
  <c r="P22" i="14"/>
  <c r="O22" i="14"/>
  <c r="N22" i="14"/>
  <c r="M22" i="14"/>
  <c r="L22" i="14"/>
  <c r="Q21" i="14"/>
  <c r="P21" i="14"/>
  <c r="O21" i="14"/>
  <c r="N21" i="14"/>
  <c r="M21" i="14"/>
  <c r="L21" i="14"/>
  <c r="Q20" i="14"/>
  <c r="P20" i="14"/>
  <c r="O20" i="14"/>
  <c r="N20" i="14"/>
  <c r="M20" i="14"/>
  <c r="L20" i="14"/>
  <c r="Q19" i="14"/>
  <c r="P19" i="14"/>
  <c r="O19" i="14"/>
  <c r="N19" i="14"/>
  <c r="M19" i="14"/>
  <c r="L19" i="14"/>
  <c r="Q18" i="14"/>
  <c r="P18" i="14"/>
  <c r="O18" i="14"/>
  <c r="N18" i="14"/>
  <c r="M18" i="14"/>
  <c r="L18" i="14"/>
  <c r="Q17" i="14"/>
  <c r="P17" i="14"/>
  <c r="O17" i="14"/>
  <c r="N17" i="14"/>
  <c r="M17" i="14"/>
  <c r="L17" i="14"/>
  <c r="Q16" i="14"/>
  <c r="P16" i="14"/>
  <c r="O16" i="14"/>
  <c r="N16" i="14"/>
  <c r="M16" i="14"/>
  <c r="L16" i="14"/>
  <c r="Q15" i="14"/>
  <c r="P15" i="14"/>
  <c r="O15" i="14"/>
  <c r="N15" i="14"/>
  <c r="M15" i="14"/>
  <c r="L15" i="14"/>
  <c r="Q14" i="14"/>
  <c r="P14" i="14"/>
  <c r="O14" i="14"/>
  <c r="N14" i="14"/>
  <c r="M14" i="14"/>
  <c r="L14" i="14"/>
  <c r="Q13" i="14"/>
  <c r="P13" i="14"/>
  <c r="O13" i="14"/>
  <c r="N13" i="14"/>
  <c r="M13" i="14"/>
  <c r="L13" i="14"/>
  <c r="Q12" i="14"/>
  <c r="P12" i="14"/>
  <c r="O12" i="14"/>
  <c r="N12" i="14"/>
  <c r="M12" i="14"/>
  <c r="L12" i="14"/>
  <c r="Q11" i="14"/>
  <c r="P11" i="14"/>
  <c r="O11" i="14"/>
  <c r="N11" i="14"/>
  <c r="M11" i="14"/>
  <c r="L11" i="14"/>
  <c r="Q10" i="14"/>
  <c r="P10" i="14"/>
  <c r="O10" i="14"/>
  <c r="N10" i="14"/>
  <c r="M10" i="14"/>
  <c r="L10" i="14"/>
  <c r="Q9" i="14"/>
  <c r="P9" i="14"/>
  <c r="O9" i="14"/>
  <c r="N9" i="14"/>
  <c r="M9" i="14"/>
  <c r="L9" i="14"/>
  <c r="Q8" i="14"/>
  <c r="P8" i="14"/>
  <c r="O8" i="14"/>
  <c r="N8" i="14"/>
  <c r="M8" i="14"/>
  <c r="L8" i="14"/>
  <c r="Q7" i="14"/>
  <c r="P7" i="14"/>
  <c r="O7" i="14"/>
  <c r="N7" i="14"/>
  <c r="M7" i="14"/>
  <c r="L7" i="14"/>
  <c r="Q6" i="14"/>
  <c r="P6" i="14"/>
  <c r="O6" i="14"/>
  <c r="N6" i="14"/>
  <c r="M6" i="14"/>
  <c r="L6" i="14"/>
  <c r="Q5" i="14"/>
  <c r="P5" i="14"/>
  <c r="O5" i="14"/>
  <c r="N5" i="14"/>
  <c r="M5" i="14"/>
  <c r="L5" i="14"/>
  <c r="Q4" i="14"/>
  <c r="P4" i="14"/>
  <c r="O4" i="14"/>
  <c r="N4" i="14"/>
  <c r="M4" i="14"/>
  <c r="L4" i="14"/>
  <c r="Q3" i="14"/>
  <c r="P3" i="14"/>
  <c r="O3" i="14"/>
  <c r="N3" i="14"/>
  <c r="M3" i="14"/>
  <c r="L3" i="14"/>
  <c r="Q2" i="14"/>
  <c r="P2" i="14"/>
  <c r="O2" i="14"/>
  <c r="N2" i="14"/>
  <c r="M2" i="14"/>
  <c r="L2" i="14"/>
  <c r="D24" i="30" l="1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B23" i="30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22" i="30"/>
  <c r="C22" i="30" l="1"/>
  <c r="C23" i="30" l="1"/>
  <c r="J30" i="30"/>
  <c r="J31" i="30"/>
  <c r="J32" i="30"/>
  <c r="J33" i="30"/>
  <c r="J34" i="30"/>
  <c r="J35" i="30"/>
  <c r="J36" i="30"/>
  <c r="J37" i="30"/>
  <c r="J38" i="30"/>
  <c r="J39" i="30"/>
  <c r="J40" i="30"/>
  <c r="J41" i="30"/>
  <c r="C24" i="30" l="1"/>
  <c r="J22" i="30"/>
  <c r="J23" i="30"/>
  <c r="J24" i="30"/>
  <c r="J25" i="30"/>
  <c r="J26" i="30"/>
  <c r="J27" i="30"/>
  <c r="J28" i="30"/>
  <c r="J29" i="30"/>
  <c r="J21" i="30"/>
  <c r="C25" i="30" l="1"/>
  <c r="F17" i="30"/>
  <c r="D17" i="30"/>
  <c r="C17" i="30"/>
  <c r="C8" i="30"/>
  <c r="C26" i="30" l="1"/>
  <c r="O40" i="19"/>
  <c r="O39" i="19"/>
  <c r="O38" i="19"/>
  <c r="O37" i="19"/>
  <c r="O36" i="19"/>
  <c r="H3" i="17"/>
  <c r="G3" i="17"/>
  <c r="F3" i="17"/>
  <c r="E3" i="17"/>
  <c r="D3" i="17"/>
  <c r="C3" i="17"/>
  <c r="C2" i="17"/>
  <c r="F4" i="16"/>
  <c r="F3" i="16"/>
  <c r="F2" i="16"/>
  <c r="T2" i="14"/>
  <c r="O128" i="28"/>
  <c r="A128" i="28"/>
  <c r="O127" i="28"/>
  <c r="A127" i="28"/>
  <c r="O126" i="28"/>
  <c r="A126" i="28"/>
  <c r="O125" i="28"/>
  <c r="A125" i="28"/>
  <c r="O124" i="28"/>
  <c r="A124" i="28"/>
  <c r="O123" i="28"/>
  <c r="A123" i="28"/>
  <c r="O122" i="28"/>
  <c r="A122" i="28"/>
  <c r="O121" i="28"/>
  <c r="A121" i="28"/>
  <c r="O120" i="28"/>
  <c r="A120" i="28"/>
  <c r="O119" i="28"/>
  <c r="A119" i="28"/>
  <c r="O118" i="28"/>
  <c r="A118" i="28"/>
  <c r="O117" i="28"/>
  <c r="A117" i="28"/>
  <c r="O116" i="28"/>
  <c r="A116" i="28"/>
  <c r="O115" i="28"/>
  <c r="A115" i="28"/>
  <c r="O114" i="28"/>
  <c r="A114" i="28"/>
  <c r="O113" i="28"/>
  <c r="A113" i="28"/>
  <c r="AE112" i="28"/>
  <c r="O112" i="28"/>
  <c r="K112" i="28"/>
  <c r="A112" i="28"/>
  <c r="AE111" i="28"/>
  <c r="O111" i="28"/>
  <c r="K111" i="28"/>
  <c r="A111" i="28"/>
  <c r="AE110" i="28"/>
  <c r="O110" i="28"/>
  <c r="K110" i="28"/>
  <c r="A110" i="28"/>
  <c r="AE109" i="28"/>
  <c r="O109" i="28"/>
  <c r="K109" i="28"/>
  <c r="A109" i="28"/>
  <c r="AE108" i="28"/>
  <c r="O108" i="28"/>
  <c r="K108" i="28"/>
  <c r="A108" i="28"/>
  <c r="AE107" i="28"/>
  <c r="O107" i="28"/>
  <c r="K107" i="28"/>
  <c r="A107" i="28"/>
  <c r="AE106" i="28"/>
  <c r="O106" i="28"/>
  <c r="K106" i="28"/>
  <c r="A106" i="28"/>
  <c r="AE105" i="28"/>
  <c r="O105" i="28"/>
  <c r="K105" i="28"/>
  <c r="A105" i="28"/>
  <c r="AE104" i="28"/>
  <c r="O104" i="28"/>
  <c r="K104" i="28"/>
  <c r="A104" i="28"/>
  <c r="AE103" i="28"/>
  <c r="O103" i="28"/>
  <c r="K103" i="28"/>
  <c r="A103" i="28"/>
  <c r="AE102" i="28"/>
  <c r="O102" i="28"/>
  <c r="K102" i="28"/>
  <c r="A102" i="28"/>
  <c r="AE101" i="28"/>
  <c r="O101" i="28"/>
  <c r="K101" i="28"/>
  <c r="A101" i="28"/>
  <c r="AE100" i="28"/>
  <c r="O100" i="28"/>
  <c r="K100" i="28"/>
  <c r="A100" i="28"/>
  <c r="AE99" i="28"/>
  <c r="O99" i="28"/>
  <c r="K99" i="28"/>
  <c r="A99" i="28"/>
  <c r="AE98" i="28"/>
  <c r="O98" i="28"/>
  <c r="K98" i="28"/>
  <c r="A98" i="28"/>
  <c r="AE97" i="28"/>
  <c r="O97" i="28"/>
  <c r="K97" i="28"/>
  <c r="A97" i="28"/>
  <c r="AE96" i="28"/>
  <c r="O96" i="28"/>
  <c r="K96" i="28"/>
  <c r="A96" i="28"/>
  <c r="AE95" i="28"/>
  <c r="O95" i="28"/>
  <c r="K95" i="28"/>
  <c r="A95" i="28"/>
  <c r="AE94" i="28"/>
  <c r="O94" i="28"/>
  <c r="K94" i="28"/>
  <c r="A94" i="28"/>
  <c r="AE93" i="28"/>
  <c r="O93" i="28"/>
  <c r="K93" i="28"/>
  <c r="A93" i="28"/>
  <c r="AE92" i="28"/>
  <c r="O92" i="28"/>
  <c r="K92" i="28"/>
  <c r="A92" i="28"/>
  <c r="AE91" i="28"/>
  <c r="O91" i="28"/>
  <c r="K91" i="28"/>
  <c r="A91" i="28"/>
  <c r="AE90" i="28"/>
  <c r="O90" i="28"/>
  <c r="K90" i="28"/>
  <c r="A90" i="28"/>
  <c r="AE89" i="28"/>
  <c r="O89" i="28"/>
  <c r="K89" i="28"/>
  <c r="A89" i="28"/>
  <c r="AE88" i="28"/>
  <c r="O88" i="28"/>
  <c r="K88" i="28"/>
  <c r="A88" i="28"/>
  <c r="AE87" i="28"/>
  <c r="O87" i="28"/>
  <c r="K87" i="28"/>
  <c r="A87" i="28"/>
  <c r="AE86" i="28"/>
  <c r="O86" i="28"/>
  <c r="K86" i="28"/>
  <c r="A86" i="28"/>
  <c r="AE85" i="28"/>
  <c r="O85" i="28"/>
  <c r="K85" i="28"/>
  <c r="A85" i="28"/>
  <c r="AE84" i="28"/>
  <c r="O84" i="28"/>
  <c r="K84" i="28"/>
  <c r="A84" i="28"/>
  <c r="AE83" i="28"/>
  <c r="O83" i="28"/>
  <c r="K83" i="28"/>
  <c r="A83" i="28"/>
  <c r="AE82" i="28"/>
  <c r="O82" i="28"/>
  <c r="K82" i="28"/>
  <c r="A82" i="28"/>
  <c r="AE81" i="28"/>
  <c r="O81" i="28"/>
  <c r="K81" i="28"/>
  <c r="A81" i="28"/>
  <c r="AE80" i="28"/>
  <c r="O80" i="28"/>
  <c r="K80" i="28"/>
  <c r="A80" i="28"/>
  <c r="AE79" i="28"/>
  <c r="O79" i="28"/>
  <c r="K79" i="28"/>
  <c r="A79" i="28"/>
  <c r="AE78" i="28"/>
  <c r="O78" i="28"/>
  <c r="K78" i="28"/>
  <c r="A78" i="28"/>
  <c r="AE77" i="28"/>
  <c r="O77" i="28"/>
  <c r="K77" i="28"/>
  <c r="A77" i="28"/>
  <c r="AE76" i="28"/>
  <c r="O76" i="28"/>
  <c r="K76" i="28"/>
  <c r="A76" i="28"/>
  <c r="AE75" i="28"/>
  <c r="O75" i="28"/>
  <c r="K75" i="28"/>
  <c r="A75" i="28"/>
  <c r="AE74" i="28"/>
  <c r="O74" i="28"/>
  <c r="K74" i="28"/>
  <c r="A74" i="28"/>
  <c r="AE73" i="28"/>
  <c r="O73" i="28"/>
  <c r="K73" i="28"/>
  <c r="A73" i="28"/>
  <c r="AE72" i="28"/>
  <c r="O72" i="28"/>
  <c r="K72" i="28"/>
  <c r="A72" i="28"/>
  <c r="AE71" i="28"/>
  <c r="O71" i="28"/>
  <c r="K71" i="28"/>
  <c r="A71" i="28"/>
  <c r="AE70" i="28"/>
  <c r="O70" i="28"/>
  <c r="K70" i="28"/>
  <c r="A70" i="28"/>
  <c r="AE69" i="28"/>
  <c r="O69" i="28"/>
  <c r="K69" i="28"/>
  <c r="A69" i="28"/>
  <c r="AE68" i="28"/>
  <c r="O68" i="28"/>
  <c r="K68" i="28"/>
  <c r="A68" i="28"/>
  <c r="AE67" i="28"/>
  <c r="Z67" i="28"/>
  <c r="U67" i="28"/>
  <c r="O67" i="28"/>
  <c r="K67" i="28"/>
  <c r="H67" i="28"/>
  <c r="E67" i="28"/>
  <c r="A67" i="28"/>
  <c r="AE66" i="28"/>
  <c r="Z66" i="28"/>
  <c r="U66" i="28"/>
  <c r="O66" i="28"/>
  <c r="K66" i="28"/>
  <c r="H66" i="28"/>
  <c r="E66" i="28"/>
  <c r="A66" i="28"/>
  <c r="AE65" i="28"/>
  <c r="Z65" i="28"/>
  <c r="U65" i="28"/>
  <c r="O65" i="28"/>
  <c r="K65" i="28"/>
  <c r="H65" i="28"/>
  <c r="E65" i="28"/>
  <c r="A65" i="28"/>
  <c r="AE64" i="28"/>
  <c r="Z64" i="28"/>
  <c r="U64" i="28"/>
  <c r="O64" i="28"/>
  <c r="K64" i="28"/>
  <c r="H64" i="28"/>
  <c r="E64" i="28"/>
  <c r="A64" i="28"/>
  <c r="AE63" i="28"/>
  <c r="Z63" i="28"/>
  <c r="U63" i="28"/>
  <c r="O63" i="28"/>
  <c r="K63" i="28"/>
  <c r="H63" i="28"/>
  <c r="E63" i="28"/>
  <c r="A63" i="28"/>
  <c r="AE62" i="28"/>
  <c r="Z62" i="28"/>
  <c r="U62" i="28"/>
  <c r="O62" i="28"/>
  <c r="K62" i="28"/>
  <c r="H62" i="28"/>
  <c r="E62" i="28"/>
  <c r="A62" i="28"/>
  <c r="AE61" i="28"/>
  <c r="Z61" i="28"/>
  <c r="U61" i="28"/>
  <c r="O61" i="28"/>
  <c r="K61" i="28"/>
  <c r="H61" i="28"/>
  <c r="E61" i="28"/>
  <c r="A61" i="28"/>
  <c r="AE60" i="28"/>
  <c r="Z60" i="28"/>
  <c r="U60" i="28"/>
  <c r="O60" i="28"/>
  <c r="K60" i="28"/>
  <c r="H60" i="28"/>
  <c r="E60" i="28"/>
  <c r="A60" i="28"/>
  <c r="AE59" i="28"/>
  <c r="Z59" i="28"/>
  <c r="U59" i="28"/>
  <c r="O59" i="28"/>
  <c r="K59" i="28"/>
  <c r="H59" i="28"/>
  <c r="E59" i="28"/>
  <c r="A59" i="28"/>
  <c r="AE58" i="28"/>
  <c r="Z58" i="28"/>
  <c r="U58" i="28"/>
  <c r="O58" i="28"/>
  <c r="K58" i="28"/>
  <c r="H58" i="28"/>
  <c r="E58" i="28"/>
  <c r="A58" i="28"/>
  <c r="AE57" i="28"/>
  <c r="Z57" i="28"/>
  <c r="U57" i="28"/>
  <c r="O57" i="28"/>
  <c r="K57" i="28"/>
  <c r="H57" i="28"/>
  <c r="E57" i="28"/>
  <c r="A57" i="28"/>
  <c r="AE56" i="28"/>
  <c r="Z56" i="28"/>
  <c r="U56" i="28"/>
  <c r="O56" i="28"/>
  <c r="K56" i="28"/>
  <c r="H56" i="28"/>
  <c r="E56" i="28"/>
  <c r="A56" i="28"/>
  <c r="AE55" i="28"/>
  <c r="Z55" i="28"/>
  <c r="U55" i="28"/>
  <c r="O55" i="28"/>
  <c r="K55" i="28"/>
  <c r="H55" i="28"/>
  <c r="E55" i="28"/>
  <c r="A55" i="28"/>
  <c r="AE54" i="28"/>
  <c r="Z54" i="28"/>
  <c r="U54" i="28"/>
  <c r="O54" i="28"/>
  <c r="K54" i="28"/>
  <c r="H54" i="28"/>
  <c r="E54" i="28"/>
  <c r="A54" i="28"/>
  <c r="AE53" i="28"/>
  <c r="Z53" i="28"/>
  <c r="U53" i="28"/>
  <c r="O53" i="28"/>
  <c r="K53" i="28"/>
  <c r="H53" i="28"/>
  <c r="E53" i="28"/>
  <c r="A53" i="28"/>
  <c r="AE52" i="28"/>
  <c r="Z52" i="28"/>
  <c r="U52" i="28"/>
  <c r="O52" i="28"/>
  <c r="K52" i="28"/>
  <c r="H52" i="28"/>
  <c r="E52" i="28"/>
  <c r="A52" i="28"/>
  <c r="AE51" i="28"/>
  <c r="Z51" i="28"/>
  <c r="U51" i="28"/>
  <c r="O51" i="28"/>
  <c r="K51" i="28"/>
  <c r="H51" i="28"/>
  <c r="E51" i="28"/>
  <c r="A51" i="28"/>
  <c r="AE50" i="28"/>
  <c r="Z50" i="28"/>
  <c r="U50" i="28"/>
  <c r="O50" i="28"/>
  <c r="K50" i="28"/>
  <c r="H50" i="28"/>
  <c r="E50" i="28"/>
  <c r="A50" i="28"/>
  <c r="AE49" i="28"/>
  <c r="Z49" i="28"/>
  <c r="U49" i="28"/>
  <c r="O49" i="28"/>
  <c r="K49" i="28"/>
  <c r="H49" i="28"/>
  <c r="E49" i="28"/>
  <c r="A49" i="28"/>
  <c r="AE48" i="28"/>
  <c r="Z48" i="28"/>
  <c r="U48" i="28"/>
  <c r="O48" i="28"/>
  <c r="K48" i="28"/>
  <c r="H48" i="28"/>
  <c r="E48" i="28"/>
  <c r="A48" i="28"/>
  <c r="AE47" i="28"/>
  <c r="Z47" i="28"/>
  <c r="U47" i="28"/>
  <c r="O47" i="28"/>
  <c r="K47" i="28"/>
  <c r="H47" i="28"/>
  <c r="E47" i="28"/>
  <c r="A47" i="28"/>
  <c r="AE46" i="28"/>
  <c r="Z46" i="28"/>
  <c r="U46" i="28"/>
  <c r="O46" i="28"/>
  <c r="K46" i="28"/>
  <c r="H46" i="28"/>
  <c r="E46" i="28"/>
  <c r="A46" i="28"/>
  <c r="AE45" i="28"/>
  <c r="Z45" i="28"/>
  <c r="U45" i="28"/>
  <c r="O45" i="28"/>
  <c r="K45" i="28"/>
  <c r="H45" i="28"/>
  <c r="E45" i="28"/>
  <c r="A45" i="28"/>
  <c r="AE44" i="28"/>
  <c r="Z44" i="28"/>
  <c r="U44" i="28"/>
  <c r="O44" i="28"/>
  <c r="K44" i="28"/>
  <c r="H44" i="28"/>
  <c r="E44" i="28"/>
  <c r="A44" i="28"/>
  <c r="AE43" i="28"/>
  <c r="Z43" i="28"/>
  <c r="U43" i="28"/>
  <c r="O43" i="28"/>
  <c r="K43" i="28"/>
  <c r="H43" i="28"/>
  <c r="E43" i="28"/>
  <c r="A43" i="28"/>
  <c r="AE42" i="28"/>
  <c r="Z42" i="28"/>
  <c r="U42" i="28"/>
  <c r="O42" i="28"/>
  <c r="K42" i="28"/>
  <c r="H42" i="28"/>
  <c r="E42" i="28"/>
  <c r="A42" i="28"/>
  <c r="AE41" i="28"/>
  <c r="Z41" i="28"/>
  <c r="U41" i="28"/>
  <c r="O41" i="28"/>
  <c r="K41" i="28"/>
  <c r="H41" i="28"/>
  <c r="E41" i="28"/>
  <c r="A41" i="28"/>
  <c r="AE40" i="28"/>
  <c r="Z40" i="28"/>
  <c r="U40" i="28"/>
  <c r="O40" i="28"/>
  <c r="K40" i="28"/>
  <c r="H40" i="28"/>
  <c r="E40" i="28"/>
  <c r="A40" i="28"/>
  <c r="AE39" i="28"/>
  <c r="Z39" i="28"/>
  <c r="U39" i="28"/>
  <c r="O39" i="28"/>
  <c r="K39" i="28"/>
  <c r="H39" i="28"/>
  <c r="E39" i="28"/>
  <c r="A39" i="28"/>
  <c r="AE38" i="28"/>
  <c r="Z38" i="28"/>
  <c r="U38" i="28"/>
  <c r="O38" i="28"/>
  <c r="K38" i="28"/>
  <c r="H38" i="28"/>
  <c r="E38" i="28"/>
  <c r="A38" i="28"/>
  <c r="AE37" i="28"/>
  <c r="Z37" i="28"/>
  <c r="U37" i="28"/>
  <c r="O37" i="28"/>
  <c r="K37" i="28"/>
  <c r="H37" i="28"/>
  <c r="E37" i="28"/>
  <c r="A37" i="28"/>
  <c r="AE36" i="28"/>
  <c r="Z36" i="28"/>
  <c r="U36" i="28"/>
  <c r="O36" i="28"/>
  <c r="K36" i="28"/>
  <c r="H36" i="28"/>
  <c r="E36" i="28"/>
  <c r="A36" i="28"/>
  <c r="AE35" i="28"/>
  <c r="Z35" i="28"/>
  <c r="U35" i="28"/>
  <c r="O35" i="28"/>
  <c r="K35" i="28"/>
  <c r="H35" i="28"/>
  <c r="E35" i="28"/>
  <c r="A35" i="28"/>
  <c r="AE34" i="28"/>
  <c r="Z34" i="28"/>
  <c r="U34" i="28"/>
  <c r="O34" i="28"/>
  <c r="K34" i="28"/>
  <c r="H34" i="28"/>
  <c r="E34" i="28"/>
  <c r="A34" i="28"/>
  <c r="AE33" i="28"/>
  <c r="Z33" i="28"/>
  <c r="U33" i="28"/>
  <c r="O33" i="28"/>
  <c r="K33" i="28"/>
  <c r="H33" i="28"/>
  <c r="E33" i="28"/>
  <c r="A33" i="28"/>
  <c r="AE32" i="28"/>
  <c r="Z32" i="28"/>
  <c r="U32" i="28"/>
  <c r="O32" i="28"/>
  <c r="K32" i="28"/>
  <c r="H32" i="28"/>
  <c r="E32" i="28"/>
  <c r="A32" i="28"/>
  <c r="AE31" i="28"/>
  <c r="Z31" i="28"/>
  <c r="U31" i="28"/>
  <c r="O31" i="28"/>
  <c r="K31" i="28"/>
  <c r="H31" i="28"/>
  <c r="E31" i="28"/>
  <c r="A31" i="28"/>
  <c r="AE30" i="28"/>
  <c r="Z30" i="28"/>
  <c r="U30" i="28"/>
  <c r="O30" i="28"/>
  <c r="K30" i="28"/>
  <c r="H30" i="28"/>
  <c r="E30" i="28"/>
  <c r="A30" i="28"/>
  <c r="AE29" i="28"/>
  <c r="Z29" i="28"/>
  <c r="U29" i="28"/>
  <c r="O29" i="28"/>
  <c r="K29" i="28"/>
  <c r="H29" i="28"/>
  <c r="E29" i="28"/>
  <c r="A29" i="28"/>
  <c r="AE28" i="28"/>
  <c r="Z28" i="28"/>
  <c r="U28" i="28"/>
  <c r="O28" i="28"/>
  <c r="K28" i="28"/>
  <c r="H28" i="28"/>
  <c r="E28" i="28"/>
  <c r="A28" i="28"/>
  <c r="AE27" i="28"/>
  <c r="Z27" i="28"/>
  <c r="U27" i="28"/>
  <c r="O27" i="28"/>
  <c r="K27" i="28"/>
  <c r="H27" i="28"/>
  <c r="E27" i="28"/>
  <c r="A27" i="28"/>
  <c r="AE26" i="28"/>
  <c r="Z26" i="28"/>
  <c r="U26" i="28"/>
  <c r="O26" i="28"/>
  <c r="K26" i="28"/>
  <c r="H26" i="28"/>
  <c r="E26" i="28"/>
  <c r="A26" i="28"/>
  <c r="AE25" i="28"/>
  <c r="Z25" i="28"/>
  <c r="U25" i="28"/>
  <c r="O25" i="28"/>
  <c r="K25" i="28"/>
  <c r="H25" i="28"/>
  <c r="E25" i="28"/>
  <c r="A25" i="28"/>
  <c r="AE24" i="28"/>
  <c r="Z24" i="28"/>
  <c r="U24" i="28"/>
  <c r="O24" i="28"/>
  <c r="K24" i="28"/>
  <c r="H24" i="28"/>
  <c r="E24" i="28"/>
  <c r="A24" i="28"/>
  <c r="AE23" i="28"/>
  <c r="Z23" i="28"/>
  <c r="U23" i="28"/>
  <c r="O23" i="28"/>
  <c r="K23" i="28"/>
  <c r="H23" i="28"/>
  <c r="E23" i="28"/>
  <c r="A23" i="28"/>
  <c r="AE22" i="28"/>
  <c r="Z22" i="28"/>
  <c r="U22" i="28"/>
  <c r="O22" i="28"/>
  <c r="K22" i="28"/>
  <c r="H22" i="28"/>
  <c r="E22" i="28"/>
  <c r="A22" i="28"/>
  <c r="AE21" i="28"/>
  <c r="Z21" i="28"/>
  <c r="U21" i="28"/>
  <c r="O21" i="28"/>
  <c r="K21" i="28"/>
  <c r="H21" i="28"/>
  <c r="E21" i="28"/>
  <c r="A21" i="28"/>
  <c r="AE20" i="28"/>
  <c r="Z20" i="28"/>
  <c r="U20" i="28"/>
  <c r="O20" i="28"/>
  <c r="K20" i="28"/>
  <c r="H20" i="28"/>
  <c r="E20" i="28"/>
  <c r="A20" i="28"/>
  <c r="AE19" i="28"/>
  <c r="Z19" i="28"/>
  <c r="U19" i="28"/>
  <c r="O19" i="28"/>
  <c r="K19" i="28"/>
  <c r="H19" i="28"/>
  <c r="E19" i="28"/>
  <c r="A19" i="28"/>
  <c r="AE18" i="28"/>
  <c r="Z18" i="28"/>
  <c r="U18" i="28"/>
  <c r="O18" i="28"/>
  <c r="K18" i="28"/>
  <c r="H18" i="28"/>
  <c r="E18" i="28"/>
  <c r="A18" i="28"/>
  <c r="AE17" i="28"/>
  <c r="Z17" i="28"/>
  <c r="U17" i="28"/>
  <c r="O17" i="28"/>
  <c r="K17" i="28"/>
  <c r="H17" i="28"/>
  <c r="E17" i="28"/>
  <c r="A17" i="28"/>
  <c r="AE16" i="28"/>
  <c r="Z16" i="28"/>
  <c r="U16" i="28"/>
  <c r="O16" i="28"/>
  <c r="K16" i="28"/>
  <c r="H16" i="28"/>
  <c r="E16" i="28"/>
  <c r="A16" i="28"/>
  <c r="AE15" i="28"/>
  <c r="Z15" i="28"/>
  <c r="U15" i="28"/>
  <c r="O15" i="28"/>
  <c r="K15" i="28"/>
  <c r="H15" i="28"/>
  <c r="E15" i="28"/>
  <c r="A15" i="28"/>
  <c r="AE14" i="28"/>
  <c r="Z14" i="28"/>
  <c r="U14" i="28"/>
  <c r="O14" i="28"/>
  <c r="K14" i="28"/>
  <c r="H14" i="28"/>
  <c r="E14" i="28"/>
  <c r="A14" i="28"/>
  <c r="AE13" i="28"/>
  <c r="Z13" i="28"/>
  <c r="U13" i="28"/>
  <c r="O13" i="28"/>
  <c r="K13" i="28"/>
  <c r="H13" i="28"/>
  <c r="E13" i="28"/>
  <c r="A13" i="28"/>
  <c r="AE12" i="28"/>
  <c r="Z12" i="28"/>
  <c r="U12" i="28"/>
  <c r="O12" i="28"/>
  <c r="K12" i="28"/>
  <c r="H12" i="28"/>
  <c r="E12" i="28"/>
  <c r="A12" i="28"/>
  <c r="AE11" i="28"/>
  <c r="Z11" i="28"/>
  <c r="U11" i="28"/>
  <c r="O11" i="28"/>
  <c r="K11" i="28"/>
  <c r="H11" i="28"/>
  <c r="E11" i="28"/>
  <c r="A11" i="28"/>
  <c r="AE10" i="28"/>
  <c r="Z10" i="28"/>
  <c r="U10" i="28"/>
  <c r="O10" i="28"/>
  <c r="K10" i="28"/>
  <c r="H10" i="28"/>
  <c r="E10" i="28"/>
  <c r="A10" i="28"/>
  <c r="AE9" i="28"/>
  <c r="Z9" i="28"/>
  <c r="U9" i="28"/>
  <c r="O9" i="28"/>
  <c r="K9" i="28"/>
  <c r="H9" i="28"/>
  <c r="E9" i="28"/>
  <c r="A9" i="28"/>
  <c r="AE8" i="28"/>
  <c r="Z8" i="28"/>
  <c r="U8" i="28"/>
  <c r="O8" i="28"/>
  <c r="K8" i="28"/>
  <c r="H8" i="28"/>
  <c r="E8" i="28"/>
  <c r="A8" i="28"/>
  <c r="AE7" i="28"/>
  <c r="Z7" i="28"/>
  <c r="U7" i="28"/>
  <c r="O7" i="28"/>
  <c r="K7" i="28"/>
  <c r="H7" i="28"/>
  <c r="E7" i="28"/>
  <c r="A7" i="28"/>
  <c r="AE6" i="28"/>
  <c r="Z6" i="28"/>
  <c r="U6" i="28"/>
  <c r="O6" i="28"/>
  <c r="K6" i="28"/>
  <c r="H6" i="28"/>
  <c r="E6" i="28"/>
  <c r="A6" i="28"/>
  <c r="AE5" i="28"/>
  <c r="Z5" i="28"/>
  <c r="U5" i="28"/>
  <c r="O5" i="28"/>
  <c r="K5" i="28"/>
  <c r="H5" i="28"/>
  <c r="E5" i="28"/>
  <c r="A5" i="28"/>
  <c r="AE4" i="28"/>
  <c r="Z4" i="28"/>
  <c r="U4" i="28"/>
  <c r="O4" i="28"/>
  <c r="K4" i="28"/>
  <c r="H4" i="28"/>
  <c r="E4" i="28"/>
  <c r="A4" i="28"/>
  <c r="AE3" i="28"/>
  <c r="Z3" i="28"/>
  <c r="U3" i="28"/>
  <c r="O3" i="28"/>
  <c r="K3" i="28"/>
  <c r="H3" i="28"/>
  <c r="E3" i="28"/>
  <c r="A3" i="28"/>
  <c r="AH81" i="28"/>
  <c r="S19" i="28"/>
  <c r="S92" i="28"/>
  <c r="AH14" i="28"/>
  <c r="AH74" i="28"/>
  <c r="S127" i="28"/>
  <c r="X13" i="28"/>
  <c r="AC4" i="28"/>
  <c r="AC41" i="28"/>
  <c r="S56" i="28"/>
  <c r="X47" i="28"/>
  <c r="AC40" i="28"/>
  <c r="X10" i="28"/>
  <c r="AH12" i="28"/>
  <c r="AC55" i="28"/>
  <c r="AH86" i="28"/>
  <c r="AH87" i="28"/>
  <c r="S40" i="28"/>
  <c r="AC24" i="28"/>
  <c r="S72" i="28"/>
  <c r="AC67" i="28"/>
  <c r="X21" i="28"/>
  <c r="X38" i="28"/>
  <c r="AH51" i="28"/>
  <c r="AH24" i="28"/>
  <c r="AH13" i="28"/>
  <c r="X29" i="28"/>
  <c r="S105" i="28"/>
  <c r="AH102" i="28"/>
  <c r="AC56" i="28"/>
  <c r="AH32" i="28"/>
  <c r="X39" i="28"/>
  <c r="X15" i="28"/>
  <c r="S102" i="28"/>
  <c r="AH89" i="28"/>
  <c r="S97" i="28"/>
  <c r="AH84" i="28"/>
  <c r="AH7" i="28"/>
  <c r="X33" i="28"/>
  <c r="S13" i="28"/>
  <c r="S15" i="28"/>
  <c r="AH35" i="28"/>
  <c r="AH101" i="28"/>
  <c r="AC19" i="28"/>
  <c r="AC59" i="28"/>
  <c r="S42" i="28"/>
  <c r="X53" i="28"/>
  <c r="S121" i="28"/>
  <c r="S32" i="28"/>
  <c r="AC54" i="28"/>
  <c r="S36" i="28"/>
  <c r="X31" i="28"/>
  <c r="S128" i="28"/>
  <c r="AH15" i="28"/>
  <c r="S94" i="28"/>
  <c r="AH40" i="28"/>
  <c r="AC35" i="28"/>
  <c r="AC12" i="28"/>
  <c r="X51" i="28"/>
  <c r="AH36" i="28"/>
  <c r="S28" i="28"/>
  <c r="S110" i="28"/>
  <c r="AH63" i="28"/>
  <c r="X18" i="28"/>
  <c r="AC6" i="28"/>
  <c r="S123" i="28"/>
  <c r="S30" i="28"/>
  <c r="AH38" i="28"/>
  <c r="S85" i="28"/>
  <c r="S11" i="28"/>
  <c r="AH82" i="28"/>
  <c r="S116" i="28"/>
  <c r="AH6" i="28"/>
  <c r="S104" i="28"/>
  <c r="AH49" i="28"/>
  <c r="X45" i="28"/>
  <c r="AC30" i="28"/>
  <c r="AC16" i="28"/>
  <c r="S69" i="28"/>
  <c r="S99" i="28"/>
  <c r="AC60" i="28"/>
  <c r="X55" i="28"/>
  <c r="AH94" i="28"/>
  <c r="X41" i="28"/>
  <c r="AH79" i="28"/>
  <c r="X19" i="28"/>
  <c r="AH37" i="28"/>
  <c r="S12" i="28"/>
  <c r="S117" i="28"/>
  <c r="X8" i="28"/>
  <c r="S55" i="28"/>
  <c r="S54" i="28"/>
  <c r="S119" i="28"/>
  <c r="S125" i="28"/>
  <c r="AC28" i="28"/>
  <c r="S46" i="28"/>
  <c r="S31" i="28"/>
  <c r="X56" i="28"/>
  <c r="AH58" i="28"/>
  <c r="AH73" i="28"/>
  <c r="AC46" i="28"/>
  <c r="AC51" i="28"/>
  <c r="S74" i="28"/>
  <c r="AC21" i="28"/>
  <c r="X48" i="28"/>
  <c r="AC15" i="28"/>
  <c r="X25" i="28"/>
  <c r="S96" i="28"/>
  <c r="AH25" i="28"/>
  <c r="S107" i="28"/>
  <c r="S64" i="28"/>
  <c r="AH10" i="28"/>
  <c r="X42" i="28"/>
  <c r="AH106" i="28"/>
  <c r="S90" i="28"/>
  <c r="S14" i="28"/>
  <c r="X22" i="28"/>
  <c r="AC13" i="28"/>
  <c r="X9" i="28"/>
  <c r="AC39" i="28"/>
  <c r="S27" i="28"/>
  <c r="S80" i="28"/>
  <c r="X32" i="28"/>
  <c r="S43" i="28"/>
  <c r="AH59" i="28"/>
  <c r="S70" i="28"/>
  <c r="AH31" i="28"/>
  <c r="S3" i="28"/>
  <c r="AH90" i="28"/>
  <c r="AC23" i="28"/>
  <c r="AH104" i="28"/>
  <c r="S22" i="28"/>
  <c r="X37" i="28"/>
  <c r="S39" i="28"/>
  <c r="AH57" i="28"/>
  <c r="S86" i="28"/>
  <c r="S8" i="28"/>
  <c r="X20" i="28"/>
  <c r="AH107" i="28"/>
  <c r="S49" i="28"/>
  <c r="X58" i="28"/>
  <c r="AH83" i="28"/>
  <c r="X12" i="28"/>
  <c r="X59" i="28"/>
  <c r="S50" i="28"/>
  <c r="S67" i="28"/>
  <c r="AH55" i="28"/>
  <c r="AH108" i="28"/>
  <c r="X28" i="28"/>
  <c r="S45" i="28"/>
  <c r="X54" i="28"/>
  <c r="AH5" i="28"/>
  <c r="S17" i="28"/>
  <c r="AH76" i="28"/>
  <c r="S126" i="28"/>
  <c r="S83" i="28"/>
  <c r="AH111" i="28"/>
  <c r="AC14" i="28"/>
  <c r="AH54" i="28"/>
  <c r="S118" i="28"/>
  <c r="AH66" i="28"/>
  <c r="S63" i="28"/>
  <c r="S41" i="28"/>
  <c r="X36" i="28"/>
  <c r="AH50" i="28"/>
  <c r="AH21" i="28"/>
  <c r="S4" i="28"/>
  <c r="AC50" i="28"/>
  <c r="S124" i="28"/>
  <c r="X49" i="28"/>
  <c r="AC42" i="28"/>
  <c r="AH78" i="28"/>
  <c r="S91" i="28"/>
  <c r="X64" i="28"/>
  <c r="S114" i="28"/>
  <c r="AC27" i="28"/>
  <c r="X62" i="28"/>
  <c r="X4" i="28"/>
  <c r="X57" i="28"/>
  <c r="AC31" i="28"/>
  <c r="AC61" i="28"/>
  <c r="S66" i="28"/>
  <c r="X63" i="28"/>
  <c r="S57" i="28"/>
  <c r="AC3" i="28"/>
  <c r="S33" i="28"/>
  <c r="S81" i="28"/>
  <c r="AH9" i="28"/>
  <c r="AC10" i="28"/>
  <c r="AC53" i="28"/>
  <c r="AC33" i="28"/>
  <c r="S21" i="28"/>
  <c r="AC58" i="28"/>
  <c r="AH99" i="28"/>
  <c r="X6" i="28"/>
  <c r="S93" i="28"/>
  <c r="X3" i="28"/>
  <c r="AH8" i="28"/>
  <c r="AH22" i="28"/>
  <c r="X50" i="28"/>
  <c r="X23" i="28"/>
  <c r="AH85" i="28"/>
  <c r="S98" i="28"/>
  <c r="S65" i="28"/>
  <c r="S48" i="28"/>
  <c r="S44" i="28"/>
  <c r="S10" i="28"/>
  <c r="S73" i="28"/>
  <c r="S23" i="28"/>
  <c r="AH30" i="28"/>
  <c r="AH68" i="28"/>
  <c r="S47" i="28"/>
  <c r="AC64" i="28"/>
  <c r="X61" i="28"/>
  <c r="AH112" i="28"/>
  <c r="X40" i="28"/>
  <c r="X60" i="28"/>
  <c r="S52" i="28"/>
  <c r="AC26" i="28"/>
  <c r="AH46" i="28"/>
  <c r="S88" i="28"/>
  <c r="AC29" i="28"/>
  <c r="AC47" i="28"/>
  <c r="AH61" i="28"/>
  <c r="S87" i="28"/>
  <c r="S58" i="28"/>
  <c r="AC49" i="28"/>
  <c r="AH43" i="28"/>
  <c r="S101" i="28"/>
  <c r="AH91" i="28"/>
  <c r="AH71" i="28"/>
  <c r="AH29" i="28"/>
  <c r="S7" i="28"/>
  <c r="S109" i="28"/>
  <c r="S53" i="28"/>
  <c r="X24" i="28"/>
  <c r="AH92" i="28"/>
  <c r="AH60" i="28"/>
  <c r="AH34" i="28"/>
  <c r="S34" i="28"/>
  <c r="AH3" i="28"/>
  <c r="AC17" i="28"/>
  <c r="AC11" i="28"/>
  <c r="AH109" i="28"/>
  <c r="X34" i="28"/>
  <c r="AH33" i="28"/>
  <c r="S112" i="28"/>
  <c r="AH16" i="28"/>
  <c r="AH62" i="28"/>
  <c r="S38" i="28"/>
  <c r="S113" i="28"/>
  <c r="AC48" i="28"/>
  <c r="X52" i="28"/>
  <c r="S77" i="28"/>
  <c r="S18" i="28"/>
  <c r="AH45" i="28"/>
  <c r="AH27" i="28"/>
  <c r="AH56" i="28"/>
  <c r="AH42" i="28"/>
  <c r="S71" i="28"/>
  <c r="S84" i="28"/>
  <c r="S16" i="28"/>
  <c r="X17" i="28"/>
  <c r="S68" i="28"/>
  <c r="AC36" i="28"/>
  <c r="S29" i="28"/>
  <c r="AC43" i="28"/>
  <c r="S95" i="28"/>
  <c r="AH105" i="28"/>
  <c r="AH53" i="28"/>
  <c r="X11" i="28"/>
  <c r="AC7" i="28"/>
  <c r="AC45" i="28"/>
  <c r="AH52" i="28"/>
  <c r="X43" i="28"/>
  <c r="AH64" i="28"/>
  <c r="X5" i="28"/>
  <c r="S5" i="28"/>
  <c r="AC62" i="28"/>
  <c r="AH47" i="28"/>
  <c r="AH110" i="28"/>
  <c r="S120" i="28"/>
  <c r="AC22" i="28"/>
  <c r="AH23" i="28"/>
  <c r="X26" i="28"/>
  <c r="AH44" i="28"/>
  <c r="AH75" i="28"/>
  <c r="S51" i="28"/>
  <c r="AC38" i="28"/>
  <c r="S79" i="28"/>
  <c r="S103" i="28"/>
  <c r="AC57" i="28"/>
  <c r="AC18" i="28"/>
  <c r="S111" i="28"/>
  <c r="AC63" i="28"/>
  <c r="AC65" i="28"/>
  <c r="AC32" i="28"/>
  <c r="AH96" i="28"/>
  <c r="S89" i="28"/>
  <c r="X7" i="28"/>
  <c r="AH98" i="28"/>
  <c r="AH28" i="28"/>
  <c r="X44" i="28"/>
  <c r="X30" i="28"/>
  <c r="AH39" i="28"/>
  <c r="AH100" i="28"/>
  <c r="S37" i="28"/>
  <c r="X35" i="28"/>
  <c r="AH77" i="28"/>
  <c r="S82" i="28"/>
  <c r="X66" i="28"/>
  <c r="X16" i="28"/>
  <c r="AH97" i="28"/>
  <c r="S59" i="28"/>
  <c r="S26" i="28"/>
  <c r="S20" i="28"/>
  <c r="S60" i="28"/>
  <c r="AC37" i="28"/>
  <c r="AH69" i="28"/>
  <c r="S25" i="28"/>
  <c r="S115" i="28"/>
  <c r="AH20" i="28"/>
  <c r="AH41" i="28"/>
  <c r="S122" i="28"/>
  <c r="AC66" i="28"/>
  <c r="S9" i="28"/>
  <c r="S108" i="28"/>
  <c r="S75" i="28"/>
  <c r="AC52" i="28"/>
  <c r="X14" i="28"/>
  <c r="X27" i="28"/>
  <c r="S76" i="28"/>
  <c r="S35" i="28"/>
  <c r="S62" i="28"/>
  <c r="AH17" i="28"/>
  <c r="AC20" i="28"/>
  <c r="AH70" i="28"/>
  <c r="AH95" i="28"/>
  <c r="AC34" i="28"/>
  <c r="AC5" i="28"/>
  <c r="AH80" i="28"/>
  <c r="X46" i="28"/>
  <c r="S78" i="28"/>
  <c r="S6" i="28"/>
  <c r="AH93" i="28"/>
  <c r="S24" i="28"/>
  <c r="AH26" i="28"/>
  <c r="AH11" i="28"/>
  <c r="AC25" i="28"/>
  <c r="S100" i="28"/>
  <c r="X67" i="28"/>
  <c r="AH88" i="28"/>
  <c r="AH48" i="28"/>
  <c r="AC9" i="28"/>
  <c r="AH4" i="28"/>
  <c r="X65" i="28"/>
  <c r="AH19" i="28"/>
  <c r="AH65" i="28"/>
  <c r="AH67" i="28"/>
  <c r="S106" i="28"/>
  <c r="S61" i="28"/>
  <c r="AC44" i="28"/>
  <c r="AH18" i="28"/>
  <c r="AC8" i="28"/>
  <c r="AH103" i="28"/>
  <c r="AH72" i="28"/>
  <c r="C27" i="30" l="1"/>
  <c r="G4" i="30"/>
  <c r="C28" i="30" l="1"/>
  <c r="E21" i="30"/>
  <c r="F21" i="30" s="1"/>
  <c r="G21" i="30" s="1"/>
  <c r="A22" i="30"/>
  <c r="E22" i="30"/>
  <c r="F22" i="30" s="1"/>
  <c r="G22" i="30" s="1"/>
  <c r="A23" i="30"/>
  <c r="E23" i="30"/>
  <c r="F23" i="30" s="1"/>
  <c r="G23" i="30" s="1"/>
  <c r="A24" i="30"/>
  <c r="E24" i="30"/>
  <c r="F24" i="30" s="1"/>
  <c r="G24" i="30" s="1"/>
  <c r="A25" i="30"/>
  <c r="E25" i="30"/>
  <c r="F25" i="30" s="1"/>
  <c r="G25" i="30" s="1"/>
  <c r="A26" i="30"/>
  <c r="E26" i="30"/>
  <c r="F26" i="30" s="1"/>
  <c r="G26" i="30" s="1"/>
  <c r="A27" i="30"/>
  <c r="E27" i="30"/>
  <c r="F27" i="30" s="1"/>
  <c r="G27" i="30" s="1"/>
  <c r="E28" i="30"/>
  <c r="F28" i="30" s="1"/>
  <c r="G28" i="30" s="1"/>
  <c r="C29" i="30" l="1"/>
  <c r="A28" i="30"/>
  <c r="A21" i="30"/>
  <c r="D21" i="30"/>
  <c r="D23" i="30"/>
  <c r="D22" i="30"/>
  <c r="C30" i="30" l="1"/>
  <c r="E29" i="30"/>
  <c r="F29" i="30" s="1"/>
  <c r="G29" i="30" s="1"/>
  <c r="A29" i="30" l="1"/>
  <c r="C31" i="30"/>
  <c r="E30" i="30"/>
  <c r="F30" i="30" s="1"/>
  <c r="G30" i="30" s="1"/>
  <c r="A30" i="30" l="1"/>
  <c r="C32" i="30"/>
  <c r="A31" i="30"/>
  <c r="E31" i="30"/>
  <c r="F31" i="30" s="1"/>
  <c r="G31" i="30" s="1"/>
  <c r="C33" i="30" l="1"/>
  <c r="A32" i="30"/>
  <c r="E32" i="30"/>
  <c r="F32" i="30" s="1"/>
  <c r="G32" i="30" s="1"/>
  <c r="C34" i="30" l="1"/>
  <c r="A33" i="30"/>
  <c r="E33" i="30"/>
  <c r="F33" i="30" s="1"/>
  <c r="G33" i="30" s="1"/>
  <c r="C35" i="30" l="1"/>
  <c r="A34" i="30"/>
  <c r="E34" i="30"/>
  <c r="F34" i="30" s="1"/>
  <c r="G34" i="30" s="1"/>
  <c r="C36" i="30" l="1"/>
  <c r="E35" i="30"/>
  <c r="F35" i="30" s="1"/>
  <c r="G35" i="30" s="1"/>
  <c r="A35" i="30"/>
  <c r="C37" i="30" l="1"/>
  <c r="E36" i="30"/>
  <c r="F36" i="30" s="1"/>
  <c r="G36" i="30" s="1"/>
  <c r="A36" i="30"/>
  <c r="C38" i="30" l="1"/>
  <c r="E37" i="30"/>
  <c r="F37" i="30" s="1"/>
  <c r="G37" i="30" s="1"/>
  <c r="A37" i="30"/>
  <c r="C39" i="30" l="1"/>
  <c r="A38" i="30"/>
  <c r="E38" i="30"/>
  <c r="F38" i="30" s="1"/>
  <c r="G38" i="30" s="1"/>
  <c r="C40" i="30" l="1"/>
  <c r="A39" i="30"/>
  <c r="E39" i="30"/>
  <c r="F39" i="30" s="1"/>
  <c r="G39" i="30" s="1"/>
  <c r="C41" i="30" l="1"/>
  <c r="A40" i="30"/>
  <c r="E40" i="30"/>
  <c r="F40" i="30" s="1"/>
  <c r="G40" i="30" s="1"/>
  <c r="A41" i="30" l="1"/>
  <c r="E41" i="30"/>
  <c r="F41" i="30" s="1"/>
  <c r="G41" i="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Kawazoe</author>
  </authors>
  <commentList>
    <comment ref="A1" authorId="0" shapeId="0" xr:uid="{E4581EC7-B0A9-462C-9FD9-EFFAB891C2D3}">
      <text>
        <r>
          <rPr>
            <sz val="12"/>
            <color indexed="81"/>
            <rFont val="Calibri"/>
            <family val="2"/>
            <scheme val="minor"/>
          </rPr>
          <t>Altura ótima da joist.</t>
        </r>
      </text>
    </comment>
    <comment ref="B1" authorId="0" shapeId="0" xr:uid="{4B869E17-A6DF-4AD5-B9C1-CDD1AF45B9D7}">
      <text>
        <r>
          <rPr>
            <sz val="12"/>
            <color indexed="81"/>
            <rFont val="Calibri"/>
            <family val="2"/>
            <scheme val="minor"/>
          </rPr>
          <t>Número de módulos.</t>
        </r>
      </text>
    </comment>
    <comment ref="C1" authorId="0" shapeId="0" xr:uid="{B19B78A2-8631-4B7E-A8AD-CC630E643825}">
      <text>
        <r>
          <rPr>
            <sz val="12"/>
            <color indexed="81"/>
            <rFont val="Calibri"/>
            <family val="2"/>
            <scheme val="minor"/>
          </rPr>
          <t>Comprimento de cada módulo.</t>
        </r>
      </text>
    </comment>
    <comment ref="D1" authorId="0" shapeId="0" xr:uid="{0DDB23D8-392F-40AA-A5D1-3286C9A0A8A8}">
      <text>
        <r>
          <rPr>
            <sz val="12"/>
            <color indexed="81"/>
            <rFont val="Calibri"/>
            <family val="2"/>
            <scheme val="minor"/>
          </rPr>
          <t>Inclinação das diagonais em relação ao eixo horizontal.</t>
        </r>
      </text>
    </comment>
  </commentList>
</comments>
</file>

<file path=xl/sharedStrings.xml><?xml version="1.0" encoding="utf-8"?>
<sst xmlns="http://schemas.openxmlformats.org/spreadsheetml/2006/main" count="4346" uniqueCount="426">
  <si>
    <t>Barra</t>
  </si>
  <si>
    <t>Material</t>
  </si>
  <si>
    <t>Nó</t>
  </si>
  <si>
    <t>Seção</t>
  </si>
  <si>
    <t>Rótula Inicial</t>
  </si>
  <si>
    <t>Rótula Final</t>
  </si>
  <si>
    <t>N° Nó</t>
  </si>
  <si>
    <t>N° Barra</t>
  </si>
  <si>
    <t>N° Material</t>
  </si>
  <si>
    <t>Coeficiente de Dilatação Térmica (α)</t>
  </si>
  <si>
    <t>N° Seção</t>
  </si>
  <si>
    <r>
      <t>Força Direção X Global Inicial (Fx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</si>
  <si>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r>
      <t>Força Direção Y Global Inicial (Fy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</si>
  <si>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r>
      <t>Momento Entorno Z Global Inicial (Mz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</si>
  <si>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t>Força Direção X Local Inicial (Fxi)</t>
  </si>
  <si>
    <t>Força Direção Y Local Inicial (Fyi)</t>
  </si>
  <si>
    <t>Momento Entorno Z Local Inicial (Mzi)</t>
  </si>
  <si>
    <r>
      <t>Coeficiente Poisson (</t>
    </r>
    <r>
      <rPr>
        <sz val="12"/>
        <color theme="1"/>
        <rFont val="Calibri"/>
        <family val="2"/>
      </rPr>
      <t>ν</t>
    </r>
    <r>
      <rPr>
        <sz val="12"/>
        <color theme="1"/>
        <rFont val="Arial"/>
        <family val="2"/>
      </rPr>
      <t>)</t>
    </r>
  </si>
  <si>
    <t>Descrição</t>
  </si>
  <si>
    <t>Aço</t>
  </si>
  <si>
    <t>Módulo de Elasticidade (E - MPa)</t>
  </si>
  <si>
    <r>
      <t>Peso específico (</t>
    </r>
    <r>
      <rPr>
        <sz val="12"/>
        <color theme="1"/>
        <rFont val="Calibri"/>
        <family val="2"/>
      </rPr>
      <t>γ - kgf/m³</t>
    </r>
    <r>
      <rPr>
        <sz val="12"/>
        <color theme="1"/>
        <rFont val="Arial"/>
        <family val="2"/>
      </rPr>
      <t>)</t>
    </r>
  </si>
  <si>
    <t>criar um banco de dados para seções típicas de todos os tipos de perfis</t>
  </si>
  <si>
    <t>criar banco de dados para varios tipos de materiais</t>
  </si>
  <si>
    <r>
      <rPr>
        <sz val="12"/>
        <color theme="1"/>
        <rFont val="Symbol"/>
        <family val="1"/>
        <charset val="2"/>
      </rPr>
      <t>d</t>
    </r>
    <r>
      <rPr>
        <vertAlign val="subscript"/>
        <sz val="12"/>
        <color theme="1"/>
        <rFont val="Arial"/>
        <family val="2"/>
      </rPr>
      <t>x</t>
    </r>
  </si>
  <si>
    <r>
      <rPr>
        <sz val="12"/>
        <color theme="1"/>
        <rFont val="Symbol"/>
        <family val="1"/>
        <charset val="2"/>
      </rPr>
      <t>d</t>
    </r>
    <r>
      <rPr>
        <vertAlign val="subscript"/>
        <sz val="12"/>
        <color theme="1"/>
        <rFont val="Arial"/>
        <family val="2"/>
      </rPr>
      <t>y</t>
    </r>
  </si>
  <si>
    <r>
      <rPr>
        <sz val="12"/>
        <color theme="1"/>
        <rFont val="Symbol"/>
        <family val="1"/>
        <charset val="2"/>
      </rPr>
      <t>q</t>
    </r>
    <r>
      <rPr>
        <vertAlign val="subscript"/>
        <sz val="12"/>
        <color theme="1"/>
        <rFont val="Arial"/>
        <family val="2"/>
      </rPr>
      <t>z</t>
    </r>
  </si>
  <si>
    <t>Opção de análise</t>
  </si>
  <si>
    <t>1 - Análise com redução do sistema de equações</t>
  </si>
  <si>
    <t>2 - Análise com molas fictícias</t>
  </si>
  <si>
    <t>Deslocamento Direção X (m)</t>
  </si>
  <si>
    <t>Deslocamento Direção Y (m)</t>
  </si>
  <si>
    <t>Rotação Entorno  Z (rad)</t>
  </si>
  <si>
    <t>Reação Direção X (Rx) (tf)</t>
  </si>
  <si>
    <t>Reação Direção Y (Ry) (tf)</t>
  </si>
  <si>
    <t>Reação Entorno Z (Mz) (tf.m)</t>
  </si>
  <si>
    <t>Área da seção transversal  (cm²)</t>
  </si>
  <si>
    <t>X (cm)</t>
  </si>
  <si>
    <t>Y (cm)</t>
  </si>
  <si>
    <t>Z (cm)</t>
  </si>
  <si>
    <t>Concreto C30</t>
  </si>
  <si>
    <t>Força global Direção X (Fx - tf)</t>
  </si>
  <si>
    <t>Força global Direção Y (Fy - tf)</t>
  </si>
  <si>
    <t>Momento global Direção Z (Mz - tfm)</t>
  </si>
  <si>
    <t>Distância do nó inicial ao ponto de aplicação da carga (DP) (cm)</t>
  </si>
  <si>
    <t>Momento Entorno Z Global final (Mzf)</t>
  </si>
  <si>
    <t>Ângulo</t>
  </si>
  <si>
    <t>Carga</t>
  </si>
  <si>
    <t>cos</t>
  </si>
  <si>
    <t>Carga X</t>
  </si>
  <si>
    <t>Carga Y</t>
  </si>
  <si>
    <t>Delta y</t>
  </si>
  <si>
    <t>Delta x</t>
  </si>
  <si>
    <t>Mola Genérica</t>
  </si>
  <si>
    <t>Elevado a</t>
  </si>
  <si>
    <t>Convenção de diagrma</t>
  </si>
  <si>
    <t>O número do nó é um valor inteiro e, necessariamente, deve ser sequencial (iniciando em 1 e terminando no último nó).</t>
  </si>
  <si>
    <t>A descrição pode ser um texto que serve  apenas de referência, não tem influência dentro do cálculo</t>
  </si>
  <si>
    <t>X, Y, Z</t>
  </si>
  <si>
    <t>São as coordenadas do nó e tem de ser valores reais</t>
  </si>
  <si>
    <t xml:space="preserve">Coeficientes de molas que podem simular o efeito de apoios fixos ou </t>
  </si>
  <si>
    <t>Representam as restrições/vínculos/apoios fixos dos nós,  porém não implementado.</t>
  </si>
  <si>
    <t>Nó Final</t>
  </si>
  <si>
    <t>Rótula Inicial/Final</t>
  </si>
  <si>
    <t>Nó Inicial</t>
  </si>
  <si>
    <t>A identificação das barras deve ser feita sequencialmente, iniciando no valor inteiro 1 até a última barra existente</t>
  </si>
  <si>
    <t>A descrição da barra pode incluir qualquer valor, no entanto não tem influência no cálculo da estrutura</t>
  </si>
  <si>
    <t>Nó inicial/final</t>
  </si>
  <si>
    <t>Os nós inicial e final devem coincidir com os nós da planilha (Coordenadas Nós) e devem ser valores inteiros</t>
  </si>
  <si>
    <t>A seção tem índice com valor inteiro e correspondem aos valores apresentandos na planilha Seções Transversais</t>
  </si>
  <si>
    <t>A presença ou não de rótula nas extremidades de barra é indicado nestas duas colunas, onde o valor 1 representa se existe e o valor 0 se não existe.</t>
  </si>
  <si>
    <t>Instruções da planilha: Conectividades Barras</t>
  </si>
  <si>
    <t>Instruções da planilha: Coordenadas Nós</t>
  </si>
  <si>
    <t>Para os nós rotulados deve-se rotular as barras que chegam naquele nó, deixando apenas uma não rotulada. Cf. exemplo abaixo</t>
  </si>
  <si>
    <t>Instruções da planilha: Materiais</t>
  </si>
  <si>
    <t>A identificação do material deve ser feita por um número inteiro positivo não nulo</t>
  </si>
  <si>
    <t>Para se situar acerca do material empregado</t>
  </si>
  <si>
    <t>Módulo de Elasticidade</t>
  </si>
  <si>
    <t>Refere-se a propriedade física do material e é expresso em MPa</t>
  </si>
  <si>
    <t>Coeficiente Poisson</t>
  </si>
  <si>
    <t>Peso específico</t>
  </si>
  <si>
    <t>Valor característico do material a ser utilizado, não implementado o efeito do cortante sobre os elementos</t>
  </si>
  <si>
    <t>Valor para considerar o peso próprio dos elementos na análise estrutural, não implementado</t>
  </si>
  <si>
    <t>Coeficiente de Dilatação Térmica</t>
  </si>
  <si>
    <t>Valor que exprime a relação entre a variação do comprimento com a variação da temperatura, não implementado</t>
  </si>
  <si>
    <t>Instruções da planilha: Seções Transversais</t>
  </si>
  <si>
    <t>Momento de Inércia</t>
  </si>
  <si>
    <t>Área da seção transversal</t>
  </si>
  <si>
    <t>A identificação da seção deve ser feita com algarismos inteiros e não nulos</t>
  </si>
  <si>
    <t>A área de seção transversal deve ser colocada  em cm²</t>
  </si>
  <si>
    <t>Este valor indica a qual material está atrelado a seção considerada</t>
  </si>
  <si>
    <t>Instruções da planilha: Cargas Nodais</t>
  </si>
  <si>
    <t>Força global direção x</t>
  </si>
  <si>
    <t>Força global direção y</t>
  </si>
  <si>
    <t>Momento global direção z</t>
  </si>
  <si>
    <t>Número que identifica o nó a ser carregado</t>
  </si>
  <si>
    <t>Ação considerada no nó em coordenadas globais e com unidade em toneladas força</t>
  </si>
  <si>
    <t>Ação considerada no nó em coordenadas globais e com unidade em toneladas força metro</t>
  </si>
  <si>
    <t>A imagem abaixo indica os eixos positivos adotados no programa</t>
  </si>
  <si>
    <t>Instruções da planilha: Carregamento barras</t>
  </si>
  <si>
    <t>Carga distribuída local direção x</t>
  </si>
  <si>
    <t>Carga distribuída local direção y</t>
  </si>
  <si>
    <t>Carga localizada direção x</t>
  </si>
  <si>
    <t>Carga localizada direção y</t>
  </si>
  <si>
    <t>Distância do nó inicial ao ponto de aplicação da carga</t>
  </si>
  <si>
    <t>Número que identifica a barra a ser carregada</t>
  </si>
  <si>
    <t>Carga no eixo axial da barra</t>
  </si>
  <si>
    <t>Carga perpendicular a barra no plano XY</t>
  </si>
  <si>
    <t>Carga pontual no eixo axial da barra</t>
  </si>
  <si>
    <t>Carga pontual perpendicular a barra</t>
  </si>
  <si>
    <t>Distância que define o ponto de aplicação das cargas Px e Py</t>
  </si>
  <si>
    <t>Note que se houver um carregamento vertical em coordenadas globais, deve-se fazer a decomposição da carga em vetores perpendiculares e paralelos ao eixo da barra.</t>
  </si>
  <si>
    <t>Por exemplo:</t>
  </si>
  <si>
    <t>(verificar eixo local da barra de acordo com os nós inicial e final)</t>
  </si>
  <si>
    <t>sen</t>
  </si>
  <si>
    <t>Viga (20x70)</t>
  </si>
  <si>
    <r>
      <t>k</t>
    </r>
    <r>
      <rPr>
        <vertAlign val="subscript"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 xml:space="preserve"> (tf/m)</t>
    </r>
  </si>
  <si>
    <r>
      <t>k</t>
    </r>
    <r>
      <rPr>
        <vertAlign val="subscript"/>
        <sz val="12"/>
        <color theme="1"/>
        <rFont val="Arial"/>
        <family val="2"/>
      </rPr>
      <t>y</t>
    </r>
    <r>
      <rPr>
        <sz val="12"/>
        <color theme="1"/>
        <rFont val="Arial"/>
        <family val="2"/>
      </rPr>
      <t xml:space="preserve"> (tf/m)</t>
    </r>
  </si>
  <si>
    <r>
      <t>k</t>
    </r>
    <r>
      <rPr>
        <vertAlign val="subscript"/>
        <sz val="12"/>
        <color theme="1"/>
        <rFont val="Arial"/>
        <family val="2"/>
      </rPr>
      <t>θz</t>
    </r>
    <r>
      <rPr>
        <sz val="12"/>
        <color theme="1"/>
        <rFont val="Arial"/>
        <family val="2"/>
      </rPr>
      <t xml:space="preserve"> (tf/m)</t>
    </r>
  </si>
  <si>
    <r>
      <t>A respeito da seção, o momento de inércia deve ser posto em cm</t>
    </r>
    <r>
      <rPr>
        <vertAlign val="superscript"/>
        <sz val="11"/>
        <color theme="0"/>
        <rFont val="Arial"/>
        <family val="2"/>
      </rPr>
      <t>4</t>
    </r>
  </si>
  <si>
    <r>
      <rPr>
        <sz val="11"/>
        <color theme="0"/>
        <rFont val="Symbol"/>
        <family val="1"/>
        <charset val="2"/>
      </rPr>
      <t>d</t>
    </r>
    <r>
      <rPr>
        <vertAlign val="subscript"/>
        <sz val="11"/>
        <color theme="0"/>
        <rFont val="Arial"/>
        <family val="2"/>
      </rPr>
      <t>x</t>
    </r>
    <r>
      <rPr>
        <sz val="11"/>
        <color theme="0"/>
        <rFont val="Arial"/>
        <family val="2"/>
      </rPr>
      <t xml:space="preserve">, </t>
    </r>
    <r>
      <rPr>
        <sz val="11"/>
        <color theme="0"/>
        <rFont val="Symbol"/>
        <family val="1"/>
        <charset val="2"/>
      </rPr>
      <t>d</t>
    </r>
    <r>
      <rPr>
        <vertAlign val="subscript"/>
        <sz val="11"/>
        <color theme="0"/>
        <rFont val="Arial"/>
        <family val="2"/>
      </rPr>
      <t>y</t>
    </r>
    <r>
      <rPr>
        <sz val="11"/>
        <color theme="0"/>
        <rFont val="Arial"/>
        <family val="2"/>
      </rPr>
      <t xml:space="preserve">, </t>
    </r>
    <r>
      <rPr>
        <sz val="11"/>
        <color theme="0"/>
        <rFont val="Symbol"/>
        <family val="1"/>
        <charset val="2"/>
      </rPr>
      <t>q</t>
    </r>
    <r>
      <rPr>
        <vertAlign val="subscript"/>
        <sz val="11"/>
        <color theme="0"/>
        <rFont val="Arial"/>
        <family val="2"/>
      </rPr>
      <t>z</t>
    </r>
  </si>
  <si>
    <r>
      <t>k</t>
    </r>
    <r>
      <rPr>
        <vertAlign val="subscript"/>
        <sz val="11"/>
        <color theme="0"/>
        <rFont val="Arial"/>
        <family val="2"/>
      </rPr>
      <t>x</t>
    </r>
    <r>
      <rPr>
        <sz val="11"/>
        <color theme="0"/>
        <rFont val="Arial"/>
        <family val="1"/>
        <charset val="2"/>
      </rPr>
      <t>, k</t>
    </r>
    <r>
      <rPr>
        <vertAlign val="subscript"/>
        <sz val="11"/>
        <color theme="0"/>
        <rFont val="Arial"/>
        <family val="2"/>
      </rPr>
      <t>y</t>
    </r>
    <r>
      <rPr>
        <sz val="11"/>
        <color theme="0"/>
        <rFont val="Arial"/>
        <family val="1"/>
        <charset val="2"/>
      </rPr>
      <t>, k</t>
    </r>
    <r>
      <rPr>
        <vertAlign val="subscript"/>
        <sz val="11"/>
        <color theme="0"/>
        <rFont val="Symbol"/>
        <family val="1"/>
        <charset val="2"/>
      </rPr>
      <t>q</t>
    </r>
    <r>
      <rPr>
        <vertAlign val="subscript"/>
        <sz val="11"/>
        <color theme="0"/>
        <rFont val="Cambria"/>
        <family val="1"/>
      </rPr>
      <t>z</t>
    </r>
  </si>
  <si>
    <t>(deve entrar com valor negativo na barra (perpendicular e para baixo), neste exemplo)</t>
  </si>
  <si>
    <t>Por enquanto, apenas análise com molas fictícias está funcionando.</t>
  </si>
  <si>
    <t>U 25x50x4mm</t>
  </si>
  <si>
    <t>1 - Opção de nomear nós e barras ativado</t>
  </si>
  <si>
    <t>2 - Opção de nomear nós e barras desativado</t>
  </si>
  <si>
    <t>Considerar peso próprio das barras</t>
  </si>
  <si>
    <t>1 - Opção para considerar o peso próprio das barras</t>
  </si>
  <si>
    <t>Desenhar a estrutura após processar</t>
  </si>
  <si>
    <t>1 - Opção para desenhar após processar</t>
  </si>
  <si>
    <t>2 - Opção para não desenhar após desenhar</t>
  </si>
  <si>
    <t>Momento global Direção X (Mx - tfm)</t>
  </si>
  <si>
    <t>Momento global Direção Y (My - tfm)</t>
  </si>
  <si>
    <t>Carga Distribuída Local Direção XL (Qx) (tf/m)</t>
  </si>
  <si>
    <t>Carga Distribuída Local Direção YL (Qy) (tf/m)</t>
  </si>
  <si>
    <t>Carga Distribuída Local Direção ZL (Qz) (tf/m)</t>
  </si>
  <si>
    <t>Carga Localizada Direção ZL (Pz) (tf)</t>
  </si>
  <si>
    <t>Carga Localizada Direção YL (Py) (tf)</t>
  </si>
  <si>
    <t>Carga Localizada Direção XL (Px) (tf)</t>
  </si>
  <si>
    <t>Momento localizado Entorno XL (Mx) (tf)</t>
  </si>
  <si>
    <t>Momento localizado Entorno YL (My) (tf)</t>
  </si>
  <si>
    <t>Momento localizado Entorno ZL (Mz) (tf)</t>
  </si>
  <si>
    <r>
      <rPr>
        <sz val="12"/>
        <color theme="1"/>
        <rFont val="Symbol"/>
        <family val="1"/>
        <charset val="2"/>
      </rPr>
      <t>d</t>
    </r>
    <r>
      <rPr>
        <vertAlign val="subscript"/>
        <sz val="12"/>
        <color theme="1"/>
        <rFont val="Arial"/>
        <family val="2"/>
      </rPr>
      <t>z</t>
    </r>
  </si>
  <si>
    <r>
      <rPr>
        <sz val="12"/>
        <color theme="1"/>
        <rFont val="Symbol"/>
        <family val="1"/>
        <charset val="2"/>
      </rPr>
      <t>q</t>
    </r>
    <r>
      <rPr>
        <vertAlign val="subscript"/>
        <sz val="12"/>
        <color theme="1"/>
        <rFont val="Arial"/>
        <family val="2"/>
      </rPr>
      <t>x</t>
    </r>
  </si>
  <si>
    <r>
      <rPr>
        <sz val="12"/>
        <color theme="1"/>
        <rFont val="Symbol"/>
        <family val="1"/>
        <charset val="2"/>
      </rPr>
      <t>q</t>
    </r>
    <r>
      <rPr>
        <vertAlign val="subscript"/>
        <sz val="12"/>
        <color theme="1"/>
        <rFont val="Arial"/>
        <family val="2"/>
      </rPr>
      <t>y</t>
    </r>
  </si>
  <si>
    <r>
      <t>k</t>
    </r>
    <r>
      <rPr>
        <vertAlign val="subscript"/>
        <sz val="12"/>
        <color theme="1"/>
        <rFont val="Arial"/>
        <family val="2"/>
      </rPr>
      <t>θy</t>
    </r>
    <r>
      <rPr>
        <sz val="12"/>
        <color theme="1"/>
        <rFont val="Arial"/>
        <family val="2"/>
      </rPr>
      <t xml:space="preserve"> (tf/m)</t>
    </r>
  </si>
  <si>
    <r>
      <t>k</t>
    </r>
    <r>
      <rPr>
        <vertAlign val="subscript"/>
        <sz val="12"/>
        <color theme="1"/>
        <rFont val="Arial"/>
        <family val="2"/>
      </rPr>
      <t>z</t>
    </r>
    <r>
      <rPr>
        <sz val="12"/>
        <color theme="1"/>
        <rFont val="Arial"/>
        <family val="2"/>
      </rPr>
      <t xml:space="preserve"> (tf/m)</t>
    </r>
  </si>
  <si>
    <r>
      <t>k</t>
    </r>
    <r>
      <rPr>
        <vertAlign val="subscript"/>
        <sz val="12"/>
        <color theme="1"/>
        <rFont val="Arial"/>
        <family val="2"/>
      </rPr>
      <t>θx</t>
    </r>
    <r>
      <rPr>
        <sz val="12"/>
        <color theme="1"/>
        <rFont val="Arial"/>
        <family val="2"/>
      </rPr>
      <t xml:space="preserve"> (tf/m)</t>
    </r>
  </si>
  <si>
    <r>
      <t>Momento de Inércia (I</t>
    </r>
    <r>
      <rPr>
        <vertAlign val="sub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) (cm</t>
    </r>
    <r>
      <rPr>
        <vertAlign val="superscript"/>
        <sz val="11"/>
        <color theme="1"/>
        <rFont val="Arial"/>
        <family val="2"/>
      </rPr>
      <t>4</t>
    </r>
    <r>
      <rPr>
        <sz val="11"/>
        <color theme="1"/>
        <rFont val="Arial"/>
        <family val="2"/>
      </rPr>
      <t>)</t>
    </r>
  </si>
  <si>
    <t>Força Direção X Local final (Fxj)</t>
  </si>
  <si>
    <t>Força Direção Y Local final (Fyj)</t>
  </si>
  <si>
    <t>Momento Entorno Z Local final (Mzj)</t>
  </si>
  <si>
    <t>Deslocamento Direção Z(m)</t>
  </si>
  <si>
    <t>Rotação Entorno  X (rad)</t>
  </si>
  <si>
    <t>Rotação Entorno  Y (rad)</t>
  </si>
  <si>
    <t>Reação Direção Z (Rz) (tf)</t>
  </si>
  <si>
    <t>Reação Entorno Y (Ry) (tf.m)</t>
  </si>
  <si>
    <t>Reação Entorno X (Rx) (tf.m)</t>
  </si>
  <si>
    <t>Força Direção Z Local Inicial (Fzi)</t>
  </si>
  <si>
    <t>Momento Entorno Y Local Inicial (Myi)</t>
  </si>
  <si>
    <t>Momento Entorno X Local Inicial (Mxi)</t>
  </si>
  <si>
    <t>Força Direção Z Local final (Fzj)</t>
  </si>
  <si>
    <t>Momento Entorno X Local final (Mxj)</t>
  </si>
  <si>
    <t>Momento Entorno Y Local final (Myj)</t>
  </si>
  <si>
    <r>
      <t>Força Direção Z Global Inicial (Fz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</si>
  <si>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r>
      <t>Momento Entorno X Global Inicial (Mx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</si>
  <si>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r>
      <t>Momento Entorno Y Global Inicial (My</t>
    </r>
    <r>
      <rPr>
        <vertAlign val="subscript"/>
        <sz val="11"/>
        <color theme="1"/>
        <rFont val="Arial"/>
        <family val="2"/>
      </rPr>
      <t>i</t>
    </r>
    <r>
      <rPr>
        <sz val="11"/>
        <color theme="1"/>
        <rFont val="Arial"/>
        <family val="2"/>
      </rPr>
      <t>)</t>
    </r>
  </si>
  <si>
    <t>Momento Entorno X Global final (Mxj)</t>
  </si>
  <si>
    <t>Força Direção X Global final (Fxj)</t>
  </si>
  <si>
    <t>Força Direção Y Global final (Fyj)</t>
  </si>
  <si>
    <t>Força Direção Z Global final (Fzj)</t>
  </si>
  <si>
    <t>Momento Entorno Y Global final (Myj)</t>
  </si>
  <si>
    <t>Força global Direção Z (Fz - tf)</t>
  </si>
  <si>
    <t>Banzo Inferior</t>
  </si>
  <si>
    <t>Vão</t>
  </si>
  <si>
    <t>Altura inicial</t>
  </si>
  <si>
    <t>Altura Meio</t>
  </si>
  <si>
    <t>Altura final</t>
  </si>
  <si>
    <t>Número de módulos</t>
  </si>
  <si>
    <t>Tipo</t>
  </si>
  <si>
    <t>(cm)</t>
  </si>
  <si>
    <t>Gerar treliça</t>
  </si>
  <si>
    <t>Os tipos de treliça englobados correspondem aos seguintes:</t>
  </si>
  <si>
    <t>Tipo 1</t>
  </si>
  <si>
    <t>Tipo 2</t>
  </si>
  <si>
    <t>Tipo 3</t>
  </si>
  <si>
    <t>Tipo 4</t>
  </si>
  <si>
    <t>Tipo 5</t>
  </si>
  <si>
    <t>Tipo 6</t>
  </si>
  <si>
    <t>Tipo 7</t>
  </si>
  <si>
    <t>Tipo de Estrutura</t>
  </si>
  <si>
    <t>2D - Opção para estrutura 2D</t>
  </si>
  <si>
    <t>3D - Opção para estrutura 3D</t>
  </si>
  <si>
    <t>Área efetiva de cortante  Y  (cm²)</t>
  </si>
  <si>
    <t>Área efetiva de cortante  Z  (cm²)</t>
  </si>
  <si>
    <t>2 - Opção para não considerar o peso próprio das barra</t>
  </si>
  <si>
    <t>Teste</t>
  </si>
  <si>
    <t>Rotação da seção</t>
  </si>
  <si>
    <t>teste</t>
  </si>
  <si>
    <t>Considerar deformação por corte</t>
  </si>
  <si>
    <t>NÃO</t>
  </si>
  <si>
    <t>2D</t>
  </si>
  <si>
    <t xml:space="preserve"> </t>
  </si>
  <si>
    <t>Tipo 8</t>
  </si>
  <si>
    <t>Banzo Superior</t>
  </si>
  <si>
    <t>Diagonais</t>
  </si>
  <si>
    <t>Tipo 9</t>
  </si>
  <si>
    <t>Tipo 10</t>
  </si>
  <si>
    <t>Warren</t>
  </si>
  <si>
    <r>
      <t xml:space="preserve">Opção para considerar a deformação por cortante, as variáveis </t>
    </r>
    <r>
      <rPr>
        <sz val="11"/>
        <color theme="0"/>
        <rFont val="Symbol"/>
        <family val="1"/>
        <charset val="2"/>
      </rPr>
      <t>f</t>
    </r>
    <r>
      <rPr>
        <sz val="11"/>
        <color theme="0"/>
        <rFont val="Arial"/>
        <family val="2"/>
      </rPr>
      <t xml:space="preserve">Y e </t>
    </r>
    <r>
      <rPr>
        <sz val="11"/>
        <color theme="0"/>
        <rFont val="Symbol"/>
        <family val="1"/>
        <charset val="2"/>
      </rPr>
      <t>f</t>
    </r>
    <r>
      <rPr>
        <sz val="11"/>
        <color theme="0"/>
        <rFont val="Arial"/>
        <family val="2"/>
      </rPr>
      <t>Z serão determinadas cf. Silvio de Souza Lima</t>
    </r>
  </si>
  <si>
    <r>
      <t>Momento de Inércia (I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) (maior) (cm</t>
    </r>
    <r>
      <rPr>
        <vertAlign val="superscript"/>
        <sz val="11"/>
        <color theme="1"/>
        <rFont val="Arial"/>
        <family val="2"/>
      </rPr>
      <t>4</t>
    </r>
    <r>
      <rPr>
        <sz val="11"/>
        <color theme="1"/>
        <rFont val="Arial"/>
        <family val="2"/>
      </rPr>
      <t>)</t>
    </r>
  </si>
  <si>
    <r>
      <t>Momento de Inércia (I</t>
    </r>
    <r>
      <rPr>
        <vertAlign val="sub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) (menor) (cm</t>
    </r>
    <r>
      <rPr>
        <vertAlign val="superscript"/>
        <sz val="11"/>
        <color theme="1"/>
        <rFont val="Arial"/>
        <family val="2"/>
      </rPr>
      <t>4</t>
    </r>
    <r>
      <rPr>
        <sz val="11"/>
        <color theme="1"/>
        <rFont val="Arial"/>
        <family val="2"/>
      </rPr>
      <t>)</t>
    </r>
  </si>
  <si>
    <t>fy (MPa)</t>
  </si>
  <si>
    <t>fu (MPa)</t>
  </si>
  <si>
    <t>AR 290</t>
  </si>
  <si>
    <t>AR 345</t>
  </si>
  <si>
    <t>AR 345 COR</t>
  </si>
  <si>
    <t>AR 350</t>
  </si>
  <si>
    <t>AR 350 COR</t>
  </si>
  <si>
    <t>AR 415</t>
  </si>
  <si>
    <t>ASTM A242</t>
  </si>
  <si>
    <t>ASTM A307</t>
  </si>
  <si>
    <t>ASTM A325 - A</t>
  </si>
  <si>
    <t>ASTM A325 - B</t>
  </si>
  <si>
    <t>ASTM A325M - A</t>
  </si>
  <si>
    <t>ASTM A325M - B</t>
  </si>
  <si>
    <t>ASTM A36</t>
  </si>
  <si>
    <t>ASTM A490</t>
  </si>
  <si>
    <t>ASTM A490M</t>
  </si>
  <si>
    <t>ASTM A500</t>
  </si>
  <si>
    <t>ASTM A570 GR 30</t>
  </si>
  <si>
    <t>ASTM A570 GR 33</t>
  </si>
  <si>
    <t>ASTM A570 GR 36</t>
  </si>
  <si>
    <t>ASTM A570 GR 40</t>
  </si>
  <si>
    <t>ASTM A570 GR 42</t>
  </si>
  <si>
    <t>ASTM A570 GR 45</t>
  </si>
  <si>
    <t>ASTM A570 GR 50</t>
  </si>
  <si>
    <t>ASTM A570 GR 55</t>
  </si>
  <si>
    <t>ASTM A572 GR 42</t>
  </si>
  <si>
    <t>ASTM A572 GR 50</t>
  </si>
  <si>
    <t>ASTM A572 GR 55</t>
  </si>
  <si>
    <t>ASTM A572 GR 60</t>
  </si>
  <si>
    <t>ASTM A572 GR 65</t>
  </si>
  <si>
    <t>ASTM A588</t>
  </si>
  <si>
    <t>ASTM A913 GR 50</t>
  </si>
  <si>
    <t>ASTM A913 GR 60</t>
  </si>
  <si>
    <t>ASTM A913 GR 65</t>
  </si>
  <si>
    <t>ASTM A992</t>
  </si>
  <si>
    <t>COS-AR-COR 400</t>
  </si>
  <si>
    <t>COS-AR-COR 400 E</t>
  </si>
  <si>
    <t>COS-AR-COR 500</t>
  </si>
  <si>
    <t>COS-CIVIL 300</t>
  </si>
  <si>
    <t>COS-CIVIL 350</t>
  </si>
  <si>
    <t>CSN-COR 420</t>
  </si>
  <si>
    <t>ISO 4016 Classe 10.9</t>
  </si>
  <si>
    <t>ISO 4016 Classe 8.8</t>
  </si>
  <si>
    <t>ISO 898-1 Classe 4.6</t>
  </si>
  <si>
    <t>MR 250</t>
  </si>
  <si>
    <t>SAE 1010</t>
  </si>
  <si>
    <t>USI-LN 380</t>
  </si>
  <si>
    <t>USI-SAC-300</t>
  </si>
  <si>
    <t>USI-SAC-350</t>
  </si>
  <si>
    <t>Perfil U</t>
  </si>
  <si>
    <t>Cantoneira</t>
  </si>
  <si>
    <t>Dupla Cantoneira</t>
  </si>
  <si>
    <t>Tubo circular</t>
  </si>
  <si>
    <t>Perfil</t>
  </si>
  <si>
    <t>bw</t>
  </si>
  <si>
    <t>bf</t>
  </si>
  <si>
    <t>t</t>
  </si>
  <si>
    <t>De</t>
  </si>
  <si>
    <t>Peso</t>
  </si>
  <si>
    <t>Carga em área</t>
  </si>
  <si>
    <t>Carga em barra</t>
  </si>
  <si>
    <t>Dados geométricos</t>
  </si>
  <si>
    <t>I.E.</t>
  </si>
  <si>
    <t>Banzos</t>
  </si>
  <si>
    <t>Montantes</t>
  </si>
  <si>
    <t>fy</t>
  </si>
  <si>
    <t>fu</t>
  </si>
  <si>
    <r>
      <rPr>
        <sz val="11"/>
        <color theme="1"/>
        <rFont val="Symbol"/>
        <family val="1"/>
        <charset val="2"/>
      </rPr>
      <t>d</t>
    </r>
    <r>
      <rPr>
        <vertAlign val="subscript"/>
        <sz val="11"/>
        <color theme="1"/>
        <rFont val="Arial"/>
        <family val="2"/>
      </rPr>
      <t>máx</t>
    </r>
  </si>
  <si>
    <t>Vinculação</t>
  </si>
  <si>
    <t>Bi-Apoiado</t>
  </si>
  <si>
    <t>N° trav.</t>
  </si>
  <si>
    <t>SE ALTERAR AS LINHAS DEVE-SE EDITAR O CÓDIGO PARA PEGAR OS DADOS NAS POSIÇÕES CORRETAS</t>
  </si>
  <si>
    <t>H</t>
  </si>
  <si>
    <r>
      <t>N</t>
    </r>
    <r>
      <rPr>
        <b/>
        <vertAlign val="subscript"/>
        <sz val="11"/>
        <color theme="1"/>
        <rFont val="Calibri"/>
        <family val="2"/>
        <scheme val="minor"/>
      </rPr>
      <t>mód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</si>
  <si>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mód</t>
    </r>
  </si>
  <si>
    <t>θ</t>
  </si>
  <si>
    <t>Banzo superior</t>
  </si>
  <si>
    <t>Banzo inferior</t>
  </si>
  <si>
    <t>Diagonal</t>
  </si>
  <si>
    <t>Montante</t>
  </si>
  <si>
    <t>(mm)</t>
  </si>
  <si>
    <t>(Graus)</t>
  </si>
  <si>
    <t>δ</t>
  </si>
  <si>
    <t>h</t>
  </si>
  <si>
    <t>Peso (crescente)</t>
  </si>
  <si>
    <t>Treliça</t>
  </si>
  <si>
    <t>Perfis</t>
  </si>
  <si>
    <t>Travamento</t>
  </si>
  <si>
    <t>Com montante</t>
  </si>
  <si>
    <t>Sem montante</t>
  </si>
  <si>
    <t>L25X3</t>
  </si>
  <si>
    <t>Mont. Alternado</t>
  </si>
  <si>
    <t>Dupla cantoneira</t>
  </si>
  <si>
    <t>Montante alternado</t>
  </si>
  <si>
    <t>L32X3</t>
  </si>
  <si>
    <t>L38X3</t>
  </si>
  <si>
    <t>L44X3</t>
  </si>
  <si>
    <t>L51X3</t>
  </si>
  <si>
    <t>L64X5</t>
  </si>
  <si>
    <t>L75X5</t>
  </si>
  <si>
    <t>E</t>
  </si>
  <si>
    <r>
      <rPr>
        <sz val="11"/>
        <color theme="1"/>
        <rFont val="Symbol"/>
        <family val="1"/>
        <charset val="2"/>
      </rPr>
      <t>d</t>
    </r>
    <r>
      <rPr>
        <vertAlign val="subscript"/>
        <sz val="11"/>
        <color theme="1"/>
        <rFont val="Arial"/>
        <family val="2"/>
      </rPr>
      <t>lim</t>
    </r>
  </si>
  <si>
    <t>Incl. Aprox.</t>
  </si>
  <si>
    <t>Lmod, aprox</t>
  </si>
  <si>
    <t>Trav a cada</t>
  </si>
  <si>
    <t>nós superiores</t>
  </si>
  <si>
    <t>nós inferiores</t>
  </si>
  <si>
    <t>Tabela 2 - Otimização</t>
  </si>
  <si>
    <t>Tabela 3 - Cargas</t>
  </si>
  <si>
    <t>Tabela 4 - Perfis da treliça</t>
  </si>
  <si>
    <t>Tabela 5 - Propriedades do aço</t>
  </si>
  <si>
    <t>Tabela 6 - Dados para otimização</t>
  </si>
  <si>
    <t>Vinculação interna</t>
  </si>
  <si>
    <t>Rotulado</t>
  </si>
  <si>
    <t>Banzos contínuos</t>
  </si>
  <si>
    <t>2L30X2</t>
  </si>
  <si>
    <t>2L30X2,25</t>
  </si>
  <si>
    <t>Altura da treliça a ser desenhada</t>
  </si>
  <si>
    <t>Nomear nós</t>
  </si>
  <si>
    <t>Nomear barras</t>
  </si>
  <si>
    <t>tf/m</t>
  </si>
  <si>
    <t>pp</t>
  </si>
  <si>
    <t>H_inicial (cm)</t>
  </si>
  <si>
    <t>H_meio (cm)</t>
  </si>
  <si>
    <t>H_final (cm)</t>
  </si>
  <si>
    <t xml:space="preserve">PROGRAMA QUE SOLUCIONA VIGAS, TRELIÇAS PLANAS, PÓRTICOS PLANOS, GRELHAS, TRELIÇAS ESPACIAIS E PÓRTICOS ESPACIAIS PELO MÉTODO DOS DESLOCAMENTOS V1.0 Alpha_x000D_
_x000D_
Início do último processamento 02/05/2021 17:45:03_x000D_
_x000D_
Pré-processamento_x000D_
_x000D_
Graus de liberdade da estrutura = 300_x000D_
Número de nós da estrutura = 100_x000D_
Número de elementos de barra = 173_x000D_
Nós carregados_x000D_
Quantidade de nós carregados: 51_x000D_
Barras carregadas_x000D_
Quantidade de barras carregadas: 0_x000D_
_x000D_
Processamento_x000D_
_x000D_
Vetor de cargas nodais equivalentes criado_x000D_
Matriz de rigidez global restringida criada_x000D_
Vetor de cargas nodais criado_x000D_
Opção de análise = 2 - Análise com molas fictícias_x000D_
Subtração da matriz de cargas nodais e cargas nodais equivalentes efetuada_x000D_
Vínculos de apoio incorporados - condições de contorno aplicadas_x000D_
Matriz inversa da matriz de rigidez calculada_x000D_
Deslocamentos nodais obtidos_x000D_
Reações da estrutura calculadas_x000D_
Esforços de extremidade de barra calculados_x000D_
_x000D_
Pós-processamento_x000D_
_x000D_
Deslocamentos e reações nodais impressos na planilha: Resultados Nó_x000D_
Esforços de extremidade locais das barras impressos na planlha: Resultados Barras - Locais_x000D_
Esforços de extremidade globais das barras impressos na planilha: Resultados Barras - Globais_x000D_
_x000D_
Término do último processamento 02/05/2021 17:45:25_x000D_
_x000D_
Fim
</t>
  </si>
  <si>
    <t>Executar até</t>
  </si>
  <si>
    <t>Comprimento</t>
  </si>
  <si>
    <t>Peso (kg)</t>
  </si>
  <si>
    <t>Nmód (un.)</t>
  </si>
  <si>
    <t>2L30X2,65</t>
  </si>
  <si>
    <t>h=75cm</t>
  </si>
  <si>
    <t>h=80cm</t>
  </si>
  <si>
    <t>h=85cm</t>
  </si>
  <si>
    <t>h=90cm</t>
  </si>
  <si>
    <t>h=95cm</t>
  </si>
  <si>
    <t>h=100cm</t>
  </si>
  <si>
    <t>h=105cm</t>
  </si>
  <si>
    <t>h=110cm</t>
  </si>
  <si>
    <t>h=115cm</t>
  </si>
  <si>
    <t>2L40X2,25</t>
  </si>
  <si>
    <t>U300X100X9,5</t>
  </si>
  <si>
    <t>U100X75X8</t>
  </si>
  <si>
    <t>U100X50X2,65</t>
  </si>
  <si>
    <t>U200X100X8</t>
  </si>
  <si>
    <t>U200X100X6,3</t>
  </si>
  <si>
    <t>U100X75X6,3</t>
  </si>
  <si>
    <t>U125X75X6,3</t>
  </si>
  <si>
    <t>U100X75X4,25</t>
  </si>
  <si>
    <t>U100X75X3,75</t>
  </si>
  <si>
    <t>U100X75X3,35</t>
  </si>
  <si>
    <t>U125X75X4,75</t>
  </si>
  <si>
    <t>U200X100X4,75</t>
  </si>
  <si>
    <t>U125X75X4,25</t>
  </si>
  <si>
    <t>U75X40X1,5</t>
  </si>
  <si>
    <t>U100X75X2,65</t>
  </si>
  <si>
    <t>U100X75X4,75</t>
  </si>
  <si>
    <t>U125X75X3,35</t>
  </si>
  <si>
    <t>U100X50X1,5</t>
  </si>
  <si>
    <t>U300X100X8</t>
  </si>
  <si>
    <t>U75X40X1,2</t>
  </si>
  <si>
    <t>U100X50X3</t>
  </si>
  <si>
    <t>U125X75X3</t>
  </si>
  <si>
    <t>U100X75X3</t>
  </si>
  <si>
    <t>U125X75X3,75</t>
  </si>
  <si>
    <t>U75X40X2</t>
  </si>
  <si>
    <t>U250X100X6,3</t>
  </si>
  <si>
    <t>U100X50X2,25</t>
  </si>
  <si>
    <t>U100X50X3,35</t>
  </si>
  <si>
    <t>U75X40X2,25</t>
  </si>
  <si>
    <t>U250X100X8</t>
  </si>
  <si>
    <t>U250X100X4,75</t>
  </si>
  <si>
    <t>U150X75X4,75</t>
  </si>
  <si>
    <t>U125X75X2,65</t>
  </si>
  <si>
    <t>U100X50X2</t>
  </si>
  <si>
    <t>2L40X2</t>
  </si>
  <si>
    <t>2L40X2,65</t>
  </si>
  <si>
    <t>U100X40X1,5</t>
  </si>
  <si>
    <t>2L50X3</t>
  </si>
  <si>
    <t>2L50X4,25</t>
  </si>
  <si>
    <t>2L50X3,35</t>
  </si>
  <si>
    <t>2L30X3</t>
  </si>
  <si>
    <t>U150X75X8</t>
  </si>
  <si>
    <t>2L50X3,75</t>
  </si>
  <si>
    <t>U125X75X8</t>
  </si>
  <si>
    <t>U150X75X6,3</t>
  </si>
  <si>
    <t>2L50X2,65</t>
  </si>
  <si>
    <t>2L40X3</t>
  </si>
  <si>
    <t>U100X50X3,75</t>
  </si>
  <si>
    <t>h=120cm</t>
  </si>
  <si>
    <t>h=125cm</t>
  </si>
  <si>
    <t>U125X50X2,25</t>
  </si>
  <si>
    <t>h=130cm</t>
  </si>
  <si>
    <t>h=135cm</t>
  </si>
  <si>
    <t>h=140cm</t>
  </si>
  <si>
    <t>U100X40X1,2</t>
  </si>
  <si>
    <t>2L50X2</t>
  </si>
  <si>
    <t>h=145cm</t>
  </si>
  <si>
    <t>U150X75X4,25</t>
  </si>
  <si>
    <t>h=150cm</t>
  </si>
  <si>
    <t>2L60X3</t>
  </si>
  <si>
    <t>h=155cm</t>
  </si>
  <si>
    <t>U200X100X4,25</t>
  </si>
  <si>
    <t>2L60X3,35</t>
  </si>
  <si>
    <t>h=160cm</t>
  </si>
  <si>
    <t>U150X75X3,75</t>
  </si>
  <si>
    <t>h=165cm</t>
  </si>
  <si>
    <t>h=170cm</t>
  </si>
  <si>
    <t>h=175cm</t>
  </si>
  <si>
    <t>U300X100X4,75</t>
  </si>
  <si>
    <t>2L60X2,65</t>
  </si>
  <si>
    <t>2L50X2,25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</si>
</sst>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"/>
    <numFmt numFmtId="165" formatCode="0.00\ &quot;kg/m²&quot;"/>
    <numFmt numFmtId="166" formatCode="0.00\ &quot;tf/m&quot;"/>
    <numFmt numFmtId="167" formatCode="0.00\ &quot;m&quot;"/>
    <numFmt numFmtId="168" formatCode="General\ &quot;un.&quot;"/>
    <numFmt numFmtId="169" formatCode="0.0000"/>
    <numFmt numFmtId="170" formatCode="0.00\ &quot;cm&quot;"/>
    <numFmt numFmtId="171" formatCode="0\ &quot;un.&quot;"/>
    <numFmt numFmtId="172" formatCode="0.00\ &quot;kg&quot;"/>
    <numFmt numFmtId="173" formatCode="0.00E+00\ &quot;mm&quot;"/>
    <numFmt numFmtId="174" formatCode="0\ &quot;mm&quot;"/>
    <numFmt numFmtId="175" formatCode="0.00\ &quot;MPa&quot;"/>
    <numFmt numFmtId="176" formatCode="0.00\ &quot;mm&quot;"/>
    <numFmt numFmtId="177" formatCode="0.0\ &quot;%&quot;"/>
  </numFmts>
  <fonts count="28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</font>
    <font>
      <vertAlign val="subscript"/>
      <sz val="12"/>
      <color theme="1"/>
      <name val="Arial"/>
      <family val="2"/>
    </font>
    <font>
      <vertAlign val="superscript"/>
      <sz val="11"/>
      <color theme="1"/>
      <name val="Arial"/>
      <family val="2"/>
    </font>
    <font>
      <sz val="12"/>
      <color theme="1"/>
      <name val="Symbol"/>
      <family val="1"/>
      <charset val="2"/>
    </font>
    <font>
      <sz val="12"/>
      <color theme="1"/>
      <name val="Arial"/>
      <family val="1"/>
      <charset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sz val="11"/>
      <color theme="0" tint="-0.34998626667073579"/>
      <name val="Arial"/>
      <family val="2"/>
    </font>
    <font>
      <sz val="11"/>
      <color theme="0"/>
      <name val="Arial"/>
      <family val="2"/>
    </font>
    <font>
      <vertAlign val="superscript"/>
      <sz val="11"/>
      <color theme="0"/>
      <name val="Arial"/>
      <family val="2"/>
    </font>
    <font>
      <sz val="11"/>
      <color theme="0"/>
      <name val="Arial"/>
      <family val="1"/>
      <charset val="2"/>
    </font>
    <font>
      <sz val="11"/>
      <color theme="0"/>
      <name val="Symbol"/>
      <family val="1"/>
      <charset val="2"/>
    </font>
    <font>
      <vertAlign val="subscript"/>
      <sz val="11"/>
      <color theme="0"/>
      <name val="Arial"/>
      <family val="2"/>
    </font>
    <font>
      <vertAlign val="subscript"/>
      <sz val="11"/>
      <color theme="0"/>
      <name val="Symbol"/>
      <family val="1"/>
      <charset val="2"/>
    </font>
    <font>
      <vertAlign val="subscript"/>
      <sz val="11"/>
      <color theme="0"/>
      <name val="Cambria"/>
      <family val="1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Symbol"/>
      <family val="1"/>
      <charset val="2"/>
    </font>
    <font>
      <sz val="11"/>
      <color theme="1"/>
      <name val="Aria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2"/>
      <color indexed="81"/>
      <name val="Calibri"/>
      <family val="2"/>
      <scheme val="minor"/>
    </font>
    <font>
      <sz val="11"/>
      <color theme="1"/>
      <name val="Blackadder ITC"/>
      <family val="5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BFBFBF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/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19">
    <xf numFmtId="0" fontId="0" fillId="0" borderId="0" xfId="0"/>
    <xf numFmtId="0" fontId="0" fillId="0" borderId="1" xfId="0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1" fontId="3" fillId="0" borderId="6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top" wrapText="1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11" fontId="3" fillId="0" borderId="4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1" fontId="11" fillId="3" borderId="0" xfId="0" applyNumberFormat="1" applyFont="1" applyFill="1"/>
    <xf numFmtId="1" fontId="11" fillId="3" borderId="0" xfId="0" applyNumberFormat="1" applyFont="1" applyFill="1" applyAlignment="1">
      <alignment horizontal="center" vertical="center" wrapText="1"/>
    </xf>
    <xf numFmtId="1" fontId="11" fillId="3" borderId="0" xfId="0" applyNumberFormat="1" applyFont="1" applyFill="1" applyAlignment="1">
      <alignment horizontal="center" vertical="center"/>
    </xf>
    <xf numFmtId="0" fontId="11" fillId="3" borderId="0" xfId="0" applyFont="1" applyFill="1"/>
    <xf numFmtId="0" fontId="12" fillId="3" borderId="0" xfId="0" applyFont="1" applyFill="1" applyAlignment="1">
      <alignment horizontal="left" vertical="center"/>
    </xf>
    <xf numFmtId="0" fontId="12" fillId="3" borderId="0" xfId="0" applyFont="1" applyFill="1"/>
    <xf numFmtId="1" fontId="12" fillId="3" borderId="0" xfId="0" applyNumberFormat="1" applyFont="1" applyFill="1"/>
    <xf numFmtId="0" fontId="0" fillId="3" borderId="0" xfId="0" applyFill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0" xfId="0" applyFont="1" applyFill="1" applyAlignment="1">
      <alignment horizontal="right"/>
    </xf>
    <xf numFmtId="164" fontId="12" fillId="3" borderId="0" xfId="0" applyNumberFormat="1" applyFont="1" applyFill="1"/>
    <xf numFmtId="0" fontId="0" fillId="3" borderId="0" xfId="0" applyFill="1" applyAlignment="1">
      <alignment wrapText="1"/>
    </xf>
    <xf numFmtId="0" fontId="12" fillId="3" borderId="0" xfId="0" applyFont="1" applyFill="1" applyAlignment="1">
      <alignment wrapText="1"/>
    </xf>
    <xf numFmtId="0" fontId="12" fillId="3" borderId="0" xfId="0" applyFont="1" applyFill="1" applyAlignment="1">
      <alignment horizontal="left"/>
    </xf>
    <xf numFmtId="0" fontId="12" fillId="3" borderId="13" xfId="0" applyFont="1" applyFill="1" applyBorder="1"/>
    <xf numFmtId="0" fontId="12" fillId="3" borderId="15" xfId="0" applyFont="1" applyFill="1" applyBorder="1"/>
    <xf numFmtId="0" fontId="14" fillId="3" borderId="0" xfId="0" applyFont="1" applyFill="1"/>
    <xf numFmtId="0" fontId="12" fillId="4" borderId="24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  <xf numFmtId="0" fontId="0" fillId="6" borderId="0" xfId="0" applyFill="1"/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2" fillId="3" borderId="0" xfId="0" quotePrefix="1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9" fillId="3" borderId="0" xfId="0" applyFont="1" applyFill="1"/>
    <xf numFmtId="0" fontId="10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10" fillId="3" borderId="0" xfId="0" applyFont="1" applyFill="1" applyAlignment="1">
      <alignment vertical="center"/>
    </xf>
    <xf numFmtId="0" fontId="0" fillId="7" borderId="2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7" xfId="0" applyBorder="1" applyAlignment="1">
      <alignment horizontal="center"/>
    </xf>
    <xf numFmtId="11" fontId="3" fillId="0" borderId="9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 wrapText="1"/>
    </xf>
    <xf numFmtId="0" fontId="3" fillId="7" borderId="18" xfId="0" applyFont="1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7" borderId="3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2" fontId="0" fillId="7" borderId="6" xfId="0" applyNumberForma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5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7" borderId="17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 wrapText="1"/>
    </xf>
    <xf numFmtId="0" fontId="3" fillId="7" borderId="18" xfId="0" applyFont="1" applyFill="1" applyBorder="1" applyAlignment="1">
      <alignment horizontal="center" vertical="center" wrapText="1"/>
    </xf>
    <xf numFmtId="0" fontId="8" fillId="7" borderId="18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64" fontId="11" fillId="3" borderId="0" xfId="0" applyNumberFormat="1" applyFont="1" applyFill="1"/>
    <xf numFmtId="169" fontId="11" fillId="3" borderId="0" xfId="0" applyNumberFormat="1" applyFont="1" applyFill="1"/>
    <xf numFmtId="11" fontId="12" fillId="3" borderId="23" xfId="0" applyNumberFormat="1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167" fontId="0" fillId="0" borderId="8" xfId="0" applyNumberForma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0" fontId="0" fillId="0" borderId="7" xfId="0" applyFill="1" applyBorder="1"/>
    <xf numFmtId="0" fontId="0" fillId="0" borderId="9" xfId="0" applyFill="1" applyBorder="1"/>
    <xf numFmtId="0" fontId="0" fillId="0" borderId="0" xfId="0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2" fontId="0" fillId="0" borderId="54" xfId="0" applyNumberFormat="1" applyBorder="1" applyAlignment="1">
      <alignment horizontal="right" vertical="center"/>
    </xf>
    <xf numFmtId="2" fontId="0" fillId="0" borderId="55" xfId="0" applyNumberFormat="1" applyBorder="1" applyAlignment="1">
      <alignment horizontal="right" vertical="center"/>
    </xf>
    <xf numFmtId="2" fontId="0" fillId="0" borderId="56" xfId="0" applyNumberForma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2" fontId="0" fillId="0" borderId="58" xfId="0" applyNumberFormat="1" applyBorder="1" applyAlignment="1">
      <alignment horizontal="right" vertical="center"/>
    </xf>
    <xf numFmtId="2" fontId="0" fillId="0" borderId="59" xfId="0" applyNumberFormat="1" applyBorder="1" applyAlignment="1">
      <alignment horizontal="right" vertical="center"/>
    </xf>
    <xf numFmtId="2" fontId="0" fillId="0" borderId="60" xfId="0" applyNumberFormat="1" applyBorder="1" applyAlignment="1">
      <alignment horizontal="right" vertical="center"/>
    </xf>
    <xf numFmtId="0" fontId="0" fillId="2" borderId="61" xfId="0" applyFill="1" applyBorder="1" applyAlignment="1">
      <alignment horizontal="center" vertical="center"/>
    </xf>
    <xf numFmtId="2" fontId="0" fillId="0" borderId="62" xfId="0" applyNumberFormat="1" applyBorder="1" applyAlignment="1">
      <alignment horizontal="right" vertical="center"/>
    </xf>
    <xf numFmtId="2" fontId="0" fillId="0" borderId="63" xfId="0" applyNumberFormat="1" applyBorder="1" applyAlignment="1">
      <alignment horizontal="right" vertical="center"/>
    </xf>
    <xf numFmtId="2" fontId="0" fillId="0" borderId="64" xfId="0" applyNumberForma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9" fillId="9" borderId="70" xfId="0" applyFont="1" applyFill="1" applyBorder="1" applyAlignment="1">
      <alignment horizontal="center" vertical="center"/>
    </xf>
    <xf numFmtId="0" fontId="19" fillId="9" borderId="50" xfId="0" applyFont="1" applyFill="1" applyBorder="1" applyAlignment="1">
      <alignment horizontal="center" vertical="center"/>
    </xf>
    <xf numFmtId="0" fontId="24" fillId="9" borderId="50" xfId="0" applyFont="1" applyFill="1" applyBorder="1" applyAlignment="1">
      <alignment horizontal="center" vertical="center"/>
    </xf>
    <xf numFmtId="0" fontId="19" fillId="9" borderId="71" xfId="0" applyFont="1" applyFill="1" applyBorder="1" applyAlignment="1">
      <alignment horizontal="center" vertical="center"/>
    </xf>
    <xf numFmtId="0" fontId="19" fillId="9" borderId="41" xfId="0" applyFont="1" applyFill="1" applyBorder="1" applyAlignment="1">
      <alignment horizontal="center" vertical="center"/>
    </xf>
    <xf numFmtId="1" fontId="0" fillId="9" borderId="72" xfId="0" applyNumberFormat="1" applyFill="1" applyBorder="1" applyAlignment="1">
      <alignment vertical="center"/>
    </xf>
    <xf numFmtId="0" fontId="0" fillId="11" borderId="73" xfId="0" applyFill="1" applyBorder="1" applyAlignment="1">
      <alignment vertical="center"/>
    </xf>
    <xf numFmtId="1" fontId="0" fillId="11" borderId="74" xfId="0" applyNumberFormat="1" applyFill="1" applyBorder="1" applyAlignment="1">
      <alignment vertical="center"/>
    </xf>
    <xf numFmtId="2" fontId="0" fillId="11" borderId="74" xfId="0" applyNumberFormat="1" applyFill="1" applyBorder="1" applyAlignment="1">
      <alignment vertical="center"/>
    </xf>
    <xf numFmtId="2" fontId="0" fillId="11" borderId="74" xfId="0" applyNumberFormat="1" applyFill="1" applyBorder="1" applyAlignment="1">
      <alignment horizontal="center" vertical="center"/>
    </xf>
    <xf numFmtId="2" fontId="0" fillId="11" borderId="75" xfId="0" applyNumberFormat="1" applyFill="1" applyBorder="1" applyAlignment="1">
      <alignment horizontal="center" vertical="center"/>
    </xf>
    <xf numFmtId="0" fontId="0" fillId="11" borderId="76" xfId="0" applyFill="1" applyBorder="1" applyAlignment="1">
      <alignment vertical="center"/>
    </xf>
    <xf numFmtId="1" fontId="0" fillId="11" borderId="58" xfId="0" applyNumberFormat="1" applyFill="1" applyBorder="1" applyAlignment="1">
      <alignment vertical="center"/>
    </xf>
    <xf numFmtId="2" fontId="0" fillId="11" borderId="58" xfId="0" applyNumberFormat="1" applyFill="1" applyBorder="1" applyAlignment="1">
      <alignment vertical="center"/>
    </xf>
    <xf numFmtId="2" fontId="0" fillId="11" borderId="58" xfId="0" applyNumberFormat="1" applyFill="1" applyBorder="1" applyAlignment="1">
      <alignment horizontal="center" vertical="center"/>
    </xf>
    <xf numFmtId="2" fontId="0" fillId="11" borderId="77" xfId="0" applyNumberFormat="1" applyFill="1" applyBorder="1" applyAlignment="1">
      <alignment horizontal="center" vertical="center"/>
    </xf>
    <xf numFmtId="0" fontId="0" fillId="11" borderId="78" xfId="0" applyFill="1" applyBorder="1" applyAlignment="1">
      <alignment vertical="center"/>
    </xf>
    <xf numFmtId="1" fontId="0" fillId="11" borderId="79" xfId="0" applyNumberFormat="1" applyFill="1" applyBorder="1" applyAlignment="1">
      <alignment vertical="center"/>
    </xf>
    <xf numFmtId="2" fontId="0" fillId="11" borderId="79" xfId="0" applyNumberFormat="1" applyFill="1" applyBorder="1" applyAlignment="1">
      <alignment vertical="center"/>
    </xf>
    <xf numFmtId="2" fontId="0" fillId="11" borderId="79" xfId="0" applyNumberFormat="1" applyFill="1" applyBorder="1" applyAlignment="1">
      <alignment horizontal="center" vertical="center"/>
    </xf>
    <xf numFmtId="2" fontId="0" fillId="11" borderId="80" xfId="0" applyNumberForma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/>
    </xf>
    <xf numFmtId="0" fontId="24" fillId="9" borderId="1" xfId="0" applyFont="1" applyFill="1" applyBorder="1" applyAlignment="1">
      <alignment horizontal="center"/>
    </xf>
    <xf numFmtId="1" fontId="0" fillId="3" borderId="73" xfId="0" applyNumberFormat="1" applyFill="1" applyBorder="1"/>
    <xf numFmtId="1" fontId="0" fillId="3" borderId="74" xfId="0" applyNumberFormat="1" applyFill="1" applyBorder="1"/>
    <xf numFmtId="0" fontId="0" fillId="3" borderId="75" xfId="0" applyFill="1" applyBorder="1"/>
    <xf numFmtId="1" fontId="0" fillId="3" borderId="76" xfId="0" applyNumberFormat="1" applyFill="1" applyBorder="1"/>
    <xf numFmtId="1" fontId="0" fillId="3" borderId="58" xfId="0" applyNumberFormat="1" applyFill="1" applyBorder="1"/>
    <xf numFmtId="0" fontId="0" fillId="3" borderId="77" xfId="0" applyFill="1" applyBorder="1"/>
    <xf numFmtId="1" fontId="0" fillId="3" borderId="78" xfId="0" applyNumberFormat="1" applyFill="1" applyBorder="1"/>
    <xf numFmtId="1" fontId="0" fillId="3" borderId="79" xfId="0" applyNumberFormat="1" applyFill="1" applyBorder="1"/>
    <xf numFmtId="0" fontId="0" fillId="3" borderId="80" xfId="0" applyFill="1" applyBorder="1"/>
    <xf numFmtId="0" fontId="19" fillId="0" borderId="0" xfId="0" applyFont="1"/>
    <xf numFmtId="0" fontId="1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27" fillId="6" borderId="0" xfId="0" applyFont="1" applyFill="1"/>
    <xf numFmtId="2" fontId="0" fillId="7" borderId="10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168" fontId="0" fillId="0" borderId="8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166" fontId="0" fillId="10" borderId="9" xfId="0" applyNumberFormat="1" applyFill="1" applyBorder="1" applyAlignment="1">
      <alignment horizontal="center"/>
    </xf>
    <xf numFmtId="0" fontId="0" fillId="10" borderId="5" xfId="0" applyFill="1" applyBorder="1"/>
    <xf numFmtId="0" fontId="0" fillId="10" borderId="7" xfId="0" applyFill="1" applyBorder="1"/>
    <xf numFmtId="0" fontId="0" fillId="10" borderId="2" xfId="0" applyFill="1" applyBorder="1"/>
    <xf numFmtId="0" fontId="0" fillId="10" borderId="43" xfId="0" applyFill="1" applyBorder="1"/>
    <xf numFmtId="0" fontId="0" fillId="10" borderId="41" xfId="0" applyFill="1" applyBorder="1"/>
    <xf numFmtId="0" fontId="22" fillId="10" borderId="44" xfId="0" applyFont="1" applyFill="1" applyBorder="1"/>
    <xf numFmtId="175" fontId="0" fillId="10" borderId="8" xfId="0" applyNumberFormat="1" applyFill="1" applyBorder="1"/>
    <xf numFmtId="174" fontId="0" fillId="10" borderId="9" xfId="0" applyNumberFormat="1" applyFill="1" applyBorder="1"/>
    <xf numFmtId="0" fontId="0" fillId="10" borderId="13" xfId="0" applyFill="1" applyBorder="1"/>
    <xf numFmtId="0" fontId="0" fillId="10" borderId="14" xfId="0" applyFill="1" applyBorder="1"/>
    <xf numFmtId="0" fontId="22" fillId="10" borderId="15" xfId="0" applyFont="1" applyFill="1" applyBorder="1"/>
    <xf numFmtId="170" fontId="0" fillId="10" borderId="3" xfId="0" applyNumberFormat="1" applyFill="1" applyBorder="1"/>
    <xf numFmtId="2" fontId="0" fillId="10" borderId="3" xfId="0" applyNumberFormat="1" applyFill="1" applyBorder="1"/>
    <xf numFmtId="170" fontId="0" fillId="10" borderId="1" xfId="0" applyNumberFormat="1" applyFill="1" applyBorder="1"/>
    <xf numFmtId="2" fontId="0" fillId="10" borderId="1" xfId="0" applyNumberFormat="1" applyFill="1" applyBorder="1"/>
    <xf numFmtId="170" fontId="0" fillId="10" borderId="8" xfId="0" applyNumberFormat="1" applyFill="1" applyBorder="1"/>
    <xf numFmtId="2" fontId="0" fillId="10" borderId="8" xfId="0" applyNumberFormat="1" applyFill="1" applyBorder="1"/>
    <xf numFmtId="176" fontId="0" fillId="10" borderId="4" xfId="0" applyNumberFormat="1" applyFill="1" applyBorder="1"/>
    <xf numFmtId="176" fontId="0" fillId="10" borderId="6" xfId="0" applyNumberFormat="1" applyFill="1" applyBorder="1"/>
    <xf numFmtId="176" fontId="0" fillId="10" borderId="9" xfId="0" applyNumberFormat="1" applyFill="1" applyBorder="1"/>
    <xf numFmtId="0" fontId="0" fillId="3" borderId="0" xfId="0" applyFill="1" applyBorder="1"/>
    <xf numFmtId="0" fontId="22" fillId="3" borderId="0" xfId="0" applyFont="1" applyFill="1" applyBorder="1"/>
    <xf numFmtId="170" fontId="0" fillId="3" borderId="0" xfId="0" applyNumberFormat="1" applyFill="1" applyBorder="1"/>
    <xf numFmtId="171" fontId="0" fillId="3" borderId="0" xfId="0" applyNumberFormat="1" applyFill="1" applyBorder="1"/>
    <xf numFmtId="2" fontId="0" fillId="3" borderId="0" xfId="0" applyNumberFormat="1" applyFill="1" applyBorder="1"/>
    <xf numFmtId="172" fontId="0" fillId="3" borderId="0" xfId="0" applyNumberFormat="1" applyFill="1" applyBorder="1"/>
    <xf numFmtId="173" fontId="0" fillId="3" borderId="0" xfId="0" applyNumberFormat="1" applyFill="1" applyBorder="1"/>
    <xf numFmtId="0" fontId="0" fillId="10" borderId="82" xfId="0" applyFill="1" applyBorder="1" applyAlignment="1">
      <alignment horizontal="center"/>
    </xf>
    <xf numFmtId="0" fontId="0" fillId="0" borderId="82" xfId="0" applyFill="1" applyBorder="1"/>
    <xf numFmtId="177" fontId="0" fillId="6" borderId="0" xfId="0" applyNumberFormat="1" applyFill="1"/>
    <xf numFmtId="2" fontId="0" fillId="0" borderId="2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2" fontId="0" fillId="0" borderId="1" xfId="0" applyNumberFormat="1" applyFill="1" applyBorder="1"/>
    <xf numFmtId="2" fontId="0" fillId="0" borderId="41" xfId="0" applyNumberFormat="1" applyFill="1" applyBorder="1"/>
    <xf numFmtId="2" fontId="0" fillId="0" borderId="8" xfId="0" applyNumberFormat="1" applyFill="1" applyBorder="1"/>
    <xf numFmtId="2" fontId="0" fillId="8" borderId="19" xfId="0" applyNumberFormat="1" applyFill="1" applyBorder="1" applyAlignment="1">
      <alignment horizontal="center" vertical="center" wrapText="1"/>
    </xf>
    <xf numFmtId="2" fontId="0" fillId="8" borderId="17" xfId="0" applyNumberFormat="1" applyFill="1" applyBorder="1" applyAlignment="1">
      <alignment horizontal="center" vertical="center" wrapText="1"/>
    </xf>
    <xf numFmtId="2" fontId="0" fillId="8" borderId="18" xfId="0" applyNumberFormat="1" applyFill="1" applyBorder="1" applyAlignment="1">
      <alignment horizontal="center" vertical="center" wrapText="1"/>
    </xf>
    <xf numFmtId="171" fontId="0" fillId="0" borderId="3" xfId="0" applyNumberFormat="1" applyBorder="1"/>
    <xf numFmtId="171" fontId="0" fillId="0" borderId="41" xfId="0" applyNumberFormat="1" applyBorder="1"/>
    <xf numFmtId="171" fontId="0" fillId="0" borderId="81" xfId="0" applyNumberFormat="1" applyBorder="1"/>
    <xf numFmtId="2" fontId="0" fillId="0" borderId="7" xfId="0" applyNumberFormat="1" applyFill="1" applyBorder="1"/>
    <xf numFmtId="0" fontId="20" fillId="0" borderId="26" xfId="0" applyFont="1" applyFill="1" applyBorder="1" applyAlignment="1">
      <alignment horizontal="center" vertical="top" wrapText="1"/>
    </xf>
    <xf numFmtId="0" fontId="20" fillId="0" borderId="34" xfId="0" applyFont="1" applyFill="1" applyBorder="1" applyAlignment="1">
      <alignment horizontal="center" vertical="top" wrapText="1"/>
    </xf>
    <xf numFmtId="0" fontId="20" fillId="0" borderId="35" xfId="0" applyFont="1" applyFill="1" applyBorder="1" applyAlignment="1">
      <alignment horizontal="center" vertical="top" wrapText="1"/>
    </xf>
    <xf numFmtId="0" fontId="20" fillId="0" borderId="65" xfId="0" applyFont="1" applyFill="1" applyBorder="1" applyAlignment="1">
      <alignment horizontal="center" vertical="top" wrapText="1"/>
    </xf>
    <xf numFmtId="0" fontId="20" fillId="0" borderId="0" xfId="0" applyFont="1" applyFill="1" applyBorder="1" applyAlignment="1">
      <alignment horizontal="center" vertical="top" wrapText="1"/>
    </xf>
    <xf numFmtId="0" fontId="20" fillId="0" borderId="66" xfId="0" applyFont="1" applyFill="1" applyBorder="1" applyAlignment="1">
      <alignment horizontal="center" vertical="top" wrapText="1"/>
    </xf>
    <xf numFmtId="0" fontId="20" fillId="0" borderId="36" xfId="0" applyFont="1" applyFill="1" applyBorder="1" applyAlignment="1">
      <alignment horizontal="center" vertical="top" wrapText="1"/>
    </xf>
    <xf numFmtId="0" fontId="20" fillId="0" borderId="37" xfId="0" applyFont="1" applyFill="1" applyBorder="1" applyAlignment="1">
      <alignment horizontal="center" vertical="top" wrapText="1"/>
    </xf>
    <xf numFmtId="0" fontId="20" fillId="0" borderId="38" xfId="0" applyFont="1" applyFill="1" applyBorder="1" applyAlignment="1">
      <alignment horizontal="center" vertical="top" wrapText="1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0" fillId="10" borderId="67" xfId="0" applyFill="1" applyBorder="1" applyAlignment="1">
      <alignment horizontal="left"/>
    </xf>
    <xf numFmtId="0" fontId="0" fillId="10" borderId="68" xfId="0" applyFill="1" applyBorder="1" applyAlignment="1">
      <alignment horizontal="left"/>
    </xf>
    <xf numFmtId="0" fontId="0" fillId="10" borderId="69" xfId="0" applyFill="1" applyBorder="1" applyAlignment="1">
      <alignment horizontal="left"/>
    </xf>
    <xf numFmtId="0" fontId="0" fillId="10" borderId="36" xfId="0" quotePrefix="1" applyFill="1" applyBorder="1" applyAlignment="1">
      <alignment horizontal="left"/>
    </xf>
    <xf numFmtId="0" fontId="0" fillId="10" borderId="37" xfId="0" quotePrefix="1" applyFill="1" applyBorder="1" applyAlignment="1">
      <alignment horizontal="left"/>
    </xf>
    <xf numFmtId="0" fontId="0" fillId="10" borderId="38" xfId="0" quotePrefix="1" applyFill="1" applyBorder="1" applyAlignment="1">
      <alignment horizontal="left"/>
    </xf>
    <xf numFmtId="0" fontId="0" fillId="10" borderId="26" xfId="0" applyFill="1" applyBorder="1" applyAlignment="1">
      <alignment horizontal="center" vertical="distributed" wrapText="1"/>
    </xf>
    <xf numFmtId="0" fontId="0" fillId="10" borderId="35" xfId="0" applyFill="1" applyBorder="1" applyAlignment="1">
      <alignment horizontal="center" vertical="distributed" wrapText="1"/>
    </xf>
    <xf numFmtId="0" fontId="0" fillId="10" borderId="65" xfId="0" applyFill="1" applyBorder="1" applyAlignment="1">
      <alignment horizontal="center" vertical="distributed" wrapText="1"/>
    </xf>
    <xf numFmtId="0" fontId="0" fillId="10" borderId="66" xfId="0" applyFill="1" applyBorder="1" applyAlignment="1">
      <alignment horizontal="center" vertical="distributed" wrapText="1"/>
    </xf>
    <xf numFmtId="0" fontId="0" fillId="10" borderId="36" xfId="0" applyFill="1" applyBorder="1" applyAlignment="1">
      <alignment horizontal="center" vertical="distributed" wrapText="1"/>
    </xf>
    <xf numFmtId="0" fontId="0" fillId="10" borderId="38" xfId="0" applyFill="1" applyBorder="1" applyAlignment="1">
      <alignment horizontal="center" vertical="distributed" wrapText="1"/>
    </xf>
    <xf numFmtId="0" fontId="0" fillId="10" borderId="26" xfId="0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0" fontId="0" fillId="0" borderId="39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9" fillId="9" borderId="50" xfId="0" applyFont="1" applyFill="1" applyBorder="1" applyAlignment="1">
      <alignment horizontal="center" vertical="center"/>
    </xf>
    <xf numFmtId="0" fontId="19" fillId="9" borderId="41" xfId="0" applyFont="1" applyFill="1" applyBorder="1" applyAlignment="1">
      <alignment horizontal="center" vertical="center"/>
    </xf>
    <xf numFmtId="0" fontId="19" fillId="9" borderId="50" xfId="0" applyFont="1" applyFill="1" applyBorder="1" applyAlignment="1">
      <alignment horizontal="center" vertical="center" wrapText="1"/>
    </xf>
    <xf numFmtId="0" fontId="19" fillId="9" borderId="41" xfId="0" applyFont="1" applyFill="1" applyBorder="1" applyAlignment="1">
      <alignment horizontal="center" vertical="center" wrapText="1"/>
    </xf>
    <xf numFmtId="0" fontId="25" fillId="9" borderId="50" xfId="0" applyFont="1" applyFill="1" applyBorder="1" applyAlignment="1">
      <alignment horizontal="center" vertical="center" wrapText="1"/>
    </xf>
    <xf numFmtId="0" fontId="25" fillId="9" borderId="41" xfId="0" applyFont="1" applyFill="1" applyBorder="1" applyAlignment="1">
      <alignment horizontal="center" vertical="center" wrapText="1"/>
    </xf>
    <xf numFmtId="0" fontId="12" fillId="3" borderId="0" xfId="0" quotePrefix="1" applyFont="1" applyFill="1" applyAlignment="1">
      <alignment horizontal="left" vertical="center"/>
    </xf>
    <xf numFmtId="0" fontId="9" fillId="3" borderId="0" xfId="0" applyFont="1" applyFill="1" applyAlignment="1">
      <alignment horizont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wrapText="1"/>
    </xf>
    <xf numFmtId="0" fontId="12" fillId="3" borderId="0" xfId="0" quotePrefix="1" applyFont="1" applyFill="1" applyAlignment="1">
      <alignment horizontal="left"/>
    </xf>
    <xf numFmtId="0" fontId="12" fillId="3" borderId="0" xfId="0" quotePrefix="1" applyFont="1" applyFill="1" applyAlignment="1">
      <alignment horizontal="left" vertical="center" wrapText="1"/>
    </xf>
    <xf numFmtId="0" fontId="12" fillId="3" borderId="0" xfId="0" applyFont="1" applyFill="1" applyAlignment="1">
      <alignment horizontal="left"/>
    </xf>
  </cellXfs>
  <cellStyles count="2">
    <cellStyle name="Normal" xfId="0" builtinId="0"/>
    <cellStyle name="Normal 2" xfId="1" xr:uid="{3B5AC887-2F57-4C49-895F-DE2FCF24CE7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Peso x H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Otimizador!$C$21:$C$41</c:f>
              <c:numCache>
                <c:formatCode>0.00</c:formatCode>
                <c:ptCount val="2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</c:numCache>
            </c:numRef>
          </c:xVal>
          <c:yVal>
            <c:numRef>
              <c:f>Otimizador!$H$21:$H$41</c:f>
              <c:numCache>
                <c:formatCode>0.00</c:formatCode>
                <c:ptCount val="21"/>
                <c:pt idx="0">
                  <c:v>1137.7790480912374</c:v>
                </c:pt>
                <c:pt idx="1">
                  <c:v>1014.6976670282507</c:v>
                </c:pt>
                <c:pt idx="2">
                  <c:v>971.07069040879605</c:v>
                </c:pt>
                <c:pt idx="3">
                  <c:v>901.02384076253463</c:v>
                </c:pt>
                <c:pt idx="4">
                  <c:v>828.71672991678622</c:v>
                </c:pt>
                <c:pt idx="5">
                  <c:v>727.9202529060143</c:v>
                </c:pt>
                <c:pt idx="6">
                  <c:v>627.80674084624184</c:v>
                </c:pt>
                <c:pt idx="7">
                  <c:v>636.96386589299925</c:v>
                </c:pt>
                <c:pt idx="8">
                  <c:v>542.85385372163887</c:v>
                </c:pt>
                <c:pt idx="9">
                  <c:v>594.41124062403401</c:v>
                </c:pt>
                <c:pt idx="10">
                  <c:v>570.3969013085707</c:v>
                </c:pt>
                <c:pt idx="11">
                  <c:v>487.01584594914715</c:v>
                </c:pt>
                <c:pt idx="12">
                  <c:v>473.96214629251563</c:v>
                </c:pt>
                <c:pt idx="13">
                  <c:v>477.90967837398784</c:v>
                </c:pt>
                <c:pt idx="14">
                  <c:v>454.97807326825017</c:v>
                </c:pt>
                <c:pt idx="15">
                  <c:v>464.00506601479594</c:v>
                </c:pt>
                <c:pt idx="16">
                  <c:v>482.68313324677098</c:v>
                </c:pt>
                <c:pt idx="17">
                  <c:v>453.44483322297083</c:v>
                </c:pt>
                <c:pt idx="18">
                  <c:v>475.01494364600637</c:v>
                </c:pt>
                <c:pt idx="19">
                  <c:v>450.4955758821834</c:v>
                </c:pt>
                <c:pt idx="20">
                  <c:v>571.54580145666034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9-410B-9E93-2E72432EB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8403552"/>
        <c:axId val="-1528401376"/>
      </c:scatterChart>
      <c:valAx>
        <c:axId val="-1528403552"/>
        <c:scaling>
          <c:orientation val="minMax"/>
          <c:max val="175"/>
          <c:min val="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chemeClr val="tx1"/>
                    </a:solidFill>
                  </a:rPr>
                  <a:t>Altura da treliça (cm)</a:t>
                </a:r>
              </a:p>
            </c:rich>
          </c:tx>
          <c:layout>
            <c:manualLayout>
              <c:xMode val="edge"/>
              <c:yMode val="edge"/>
              <c:x val="0.41100538194444436"/>
              <c:y val="0.924593749999999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28401376"/>
        <c:crosses val="autoZero"/>
        <c:crossBetween val="midCat"/>
      </c:valAx>
      <c:valAx>
        <c:axId val="-15284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Peso da treliça (kgf)</a:t>
                </a:r>
              </a:p>
            </c:rich>
          </c:tx>
          <c:layout>
            <c:manualLayout>
              <c:xMode val="edge"/>
              <c:yMode val="edge"/>
              <c:x val="1.7638888888888888E-2"/>
              <c:y val="0.300359722222222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28403552"/>
        <c:crosses val="autoZero"/>
        <c:crossBetween val="midCat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522672</xdr:colOff>
      <xdr:row>7</xdr:row>
      <xdr:rowOff>11570</xdr:rowOff>
    </xdr:from>
    <xdr:to>
      <xdr:col>4</xdr:col>
      <xdr:colOff>511958</xdr:colOff>
      <xdr:row>10</xdr:row>
      <xdr:rowOff>169762</xdr:rowOff>
    </xdr:to>
    <xdr:sp macro="[0]!Plan11.subIrParaPlan1" textlink="">
      <xdr:nvSpPr>
        <xdr:cNvPr id="19" name="Fluxograma: Entrada Manual 18">
          <a:extLst>
            <a:ext uri="{FF2B5EF4-FFF2-40B4-BE49-F238E27FC236}">
              <a16:creationId xmlns:a16="http://schemas.microsoft.com/office/drawing/2014/main" id="{B07721A0-0EEE-439E-AEA1-F0D6BA664D7B}"/>
            </a:ext>
          </a:extLst>
        </xdr:cNvPr>
        <xdr:cNvSpPr/>
      </xdr:nvSpPr>
      <xdr:spPr>
        <a:xfrm>
          <a:off x="2150581" y="1258479"/>
          <a:ext cx="1617195" cy="677738"/>
        </a:xfrm>
        <a:prstGeom prst="flowChartManualInput">
          <a:avLst/>
        </a:prstGeom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COORDENADAS</a:t>
          </a:r>
          <a:r>
            <a:rPr lang="pt-BR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NÓS</a:t>
          </a:r>
          <a:endParaRPr lang="pt-BR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495458</xdr:colOff>
      <xdr:row>13</xdr:row>
      <xdr:rowOff>10187</xdr:rowOff>
    </xdr:from>
    <xdr:to>
      <xdr:col>4</xdr:col>
      <xdr:colOff>484744</xdr:colOff>
      <xdr:row>16</xdr:row>
      <xdr:rowOff>156155</xdr:rowOff>
    </xdr:to>
    <xdr:sp macro="[0]!Plan11.subIrParaPlan2" textlink="">
      <xdr:nvSpPr>
        <xdr:cNvPr id="21" name="Fluxograma: Entrada Manual 20">
          <a:extLst>
            <a:ext uri="{FF2B5EF4-FFF2-40B4-BE49-F238E27FC236}">
              <a16:creationId xmlns:a16="http://schemas.microsoft.com/office/drawing/2014/main" id="{F34EF16D-DB00-4B33-B7EC-55749CDE008A}"/>
            </a:ext>
          </a:extLst>
        </xdr:cNvPr>
        <xdr:cNvSpPr/>
      </xdr:nvSpPr>
      <xdr:spPr>
        <a:xfrm>
          <a:off x="2123367" y="2296187"/>
          <a:ext cx="1617195" cy="665513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CONECTIVIDADES BARRAS</a:t>
          </a:r>
        </a:p>
      </xdr:txBody>
    </xdr:sp>
    <xdr:clientData/>
  </xdr:twoCellAnchor>
  <xdr:twoCellAnchor>
    <xdr:from>
      <xdr:col>2</xdr:col>
      <xdr:colOff>495458</xdr:colOff>
      <xdr:row>19</xdr:row>
      <xdr:rowOff>10188</xdr:rowOff>
    </xdr:from>
    <xdr:to>
      <xdr:col>4</xdr:col>
      <xdr:colOff>484744</xdr:colOff>
      <xdr:row>22</xdr:row>
      <xdr:rowOff>156155</xdr:rowOff>
    </xdr:to>
    <xdr:sp macro="[0]!Plan11.subIrParaPlan4" textlink="">
      <xdr:nvSpPr>
        <xdr:cNvPr id="23" name="Fluxograma: Entrada Manual 22">
          <a:extLst>
            <a:ext uri="{FF2B5EF4-FFF2-40B4-BE49-F238E27FC236}">
              <a16:creationId xmlns:a16="http://schemas.microsoft.com/office/drawing/2014/main" id="{AABBABE6-DE89-4021-ABAB-4331235B1C72}"/>
            </a:ext>
          </a:extLst>
        </xdr:cNvPr>
        <xdr:cNvSpPr/>
      </xdr:nvSpPr>
      <xdr:spPr>
        <a:xfrm>
          <a:off x="2123367" y="3335279"/>
          <a:ext cx="1617195" cy="665512"/>
        </a:xfrm>
        <a:prstGeom prst="flowChartManualInpu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SEÇÕES TRANSVERSAIS</a:t>
          </a:r>
        </a:p>
      </xdr:txBody>
    </xdr:sp>
    <xdr:clientData/>
  </xdr:twoCellAnchor>
  <xdr:twoCellAnchor>
    <xdr:from>
      <xdr:col>5</xdr:col>
      <xdr:colOff>271338</xdr:colOff>
      <xdr:row>13</xdr:row>
      <xdr:rowOff>23793</xdr:rowOff>
    </xdr:from>
    <xdr:to>
      <xdr:col>7</xdr:col>
      <xdr:colOff>260624</xdr:colOff>
      <xdr:row>16</xdr:row>
      <xdr:rowOff>169761</xdr:rowOff>
    </xdr:to>
    <xdr:sp macro="[0]!Plan11.subIrParaPlan5" textlink="">
      <xdr:nvSpPr>
        <xdr:cNvPr id="24" name="Fluxograma: Entrada Manual 23">
          <a:extLst>
            <a:ext uri="{FF2B5EF4-FFF2-40B4-BE49-F238E27FC236}">
              <a16:creationId xmlns:a16="http://schemas.microsoft.com/office/drawing/2014/main" id="{9E4C9C6B-9A5E-492C-9399-AA1A19B3E528}"/>
            </a:ext>
          </a:extLst>
        </xdr:cNvPr>
        <xdr:cNvSpPr/>
      </xdr:nvSpPr>
      <xdr:spPr>
        <a:xfrm>
          <a:off x="4341111" y="2309793"/>
          <a:ext cx="1617195" cy="665513"/>
        </a:xfrm>
        <a:prstGeom prst="flowChartManualInp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CARGAS NODAIS</a:t>
          </a:r>
        </a:p>
      </xdr:txBody>
    </xdr:sp>
    <xdr:clientData/>
  </xdr:twoCellAnchor>
  <xdr:twoCellAnchor>
    <xdr:from>
      <xdr:col>5</xdr:col>
      <xdr:colOff>271338</xdr:colOff>
      <xdr:row>19</xdr:row>
      <xdr:rowOff>23794</xdr:rowOff>
    </xdr:from>
    <xdr:to>
      <xdr:col>7</xdr:col>
      <xdr:colOff>260624</xdr:colOff>
      <xdr:row>22</xdr:row>
      <xdr:rowOff>169761</xdr:rowOff>
    </xdr:to>
    <xdr:sp macro="[0]!Plan11.subIrParaPlan6" textlink="">
      <xdr:nvSpPr>
        <xdr:cNvPr id="25" name="Fluxograma: Entrada Manual 24">
          <a:extLst>
            <a:ext uri="{FF2B5EF4-FFF2-40B4-BE49-F238E27FC236}">
              <a16:creationId xmlns:a16="http://schemas.microsoft.com/office/drawing/2014/main" id="{F510658F-401B-49C3-9F65-C0CBD991B53A}"/>
            </a:ext>
          </a:extLst>
        </xdr:cNvPr>
        <xdr:cNvSpPr/>
      </xdr:nvSpPr>
      <xdr:spPr>
        <a:xfrm>
          <a:off x="4341111" y="3348885"/>
          <a:ext cx="1617195" cy="665512"/>
        </a:xfrm>
        <a:prstGeom prst="flowChartManualInp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CARREGAMENTO</a:t>
          </a:r>
          <a:r>
            <a:rPr lang="pt-BR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BARRAS</a:t>
          </a:r>
          <a:endParaRPr lang="pt-BR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80837</xdr:colOff>
      <xdr:row>6</xdr:row>
      <xdr:rowOff>171145</xdr:rowOff>
    </xdr:from>
    <xdr:to>
      <xdr:col>10</xdr:col>
      <xdr:colOff>0</xdr:colOff>
      <xdr:row>10</xdr:row>
      <xdr:rowOff>156155</xdr:rowOff>
    </xdr:to>
    <xdr:sp macro="[0]!Plan11.subIrParaPlan7" textlink="">
      <xdr:nvSpPr>
        <xdr:cNvPr id="26" name="Fluxograma: Processo 25">
          <a:extLst>
            <a:ext uri="{FF2B5EF4-FFF2-40B4-BE49-F238E27FC236}">
              <a16:creationId xmlns:a16="http://schemas.microsoft.com/office/drawing/2014/main" id="{FAE3982B-C6BC-4EA3-9734-9A5DF48C6ADE}"/>
            </a:ext>
          </a:extLst>
        </xdr:cNvPr>
        <xdr:cNvSpPr/>
      </xdr:nvSpPr>
      <xdr:spPr>
        <a:xfrm>
          <a:off x="6592473" y="1244872"/>
          <a:ext cx="1617195" cy="677738"/>
        </a:xfrm>
        <a:prstGeom prst="flowChartProcess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RESULTADOS</a:t>
          </a:r>
          <a:r>
            <a:rPr lang="pt-BR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NÓS</a:t>
          </a:r>
          <a:endParaRPr lang="pt-BR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271338</xdr:colOff>
      <xdr:row>6</xdr:row>
      <xdr:rowOff>171145</xdr:rowOff>
    </xdr:from>
    <xdr:to>
      <xdr:col>7</xdr:col>
      <xdr:colOff>260624</xdr:colOff>
      <xdr:row>10</xdr:row>
      <xdr:rowOff>156155</xdr:rowOff>
    </xdr:to>
    <xdr:sp macro="[0]!Plan11.subIrParaPlan3" textlink="">
      <xdr:nvSpPr>
        <xdr:cNvPr id="27" name="Fluxograma: Entrada Manual 26">
          <a:extLst>
            <a:ext uri="{FF2B5EF4-FFF2-40B4-BE49-F238E27FC236}">
              <a16:creationId xmlns:a16="http://schemas.microsoft.com/office/drawing/2014/main" id="{BC7503D0-FCB1-4684-92B1-89517A24EAC7}"/>
            </a:ext>
          </a:extLst>
        </xdr:cNvPr>
        <xdr:cNvSpPr/>
      </xdr:nvSpPr>
      <xdr:spPr>
        <a:xfrm>
          <a:off x="4341111" y="1244872"/>
          <a:ext cx="1617195" cy="677738"/>
        </a:xfrm>
        <a:prstGeom prst="flowChartManualInpu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MATERIAIS</a:t>
          </a:r>
        </a:p>
      </xdr:txBody>
    </xdr:sp>
    <xdr:clientData/>
  </xdr:twoCellAnchor>
  <xdr:twoCellAnchor>
    <xdr:from>
      <xdr:col>8</xdr:col>
      <xdr:colOff>80837</xdr:colOff>
      <xdr:row>13</xdr:row>
      <xdr:rowOff>10187</xdr:rowOff>
    </xdr:from>
    <xdr:to>
      <xdr:col>10</xdr:col>
      <xdr:colOff>0</xdr:colOff>
      <xdr:row>16</xdr:row>
      <xdr:rowOff>156155</xdr:rowOff>
    </xdr:to>
    <xdr:sp macro="[0]!Plan11.subIrParaPlan9" textlink="">
      <xdr:nvSpPr>
        <xdr:cNvPr id="28" name="Fluxograma: Processo 27">
          <a:extLst>
            <a:ext uri="{FF2B5EF4-FFF2-40B4-BE49-F238E27FC236}">
              <a16:creationId xmlns:a16="http://schemas.microsoft.com/office/drawing/2014/main" id="{703EC9CB-62BB-4381-88E3-B7C9FCE69385}"/>
            </a:ext>
          </a:extLst>
        </xdr:cNvPr>
        <xdr:cNvSpPr/>
      </xdr:nvSpPr>
      <xdr:spPr>
        <a:xfrm>
          <a:off x="6535425" y="2363422"/>
          <a:ext cx="1532810" cy="683851"/>
        </a:xfrm>
        <a:prstGeom prst="flowChartProcess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RESULTADOS</a:t>
          </a:r>
          <a:r>
            <a:rPr lang="pt-BR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BARRAS LOCAIS</a:t>
          </a:r>
          <a:endParaRPr lang="pt-BR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80837</xdr:colOff>
      <xdr:row>19</xdr:row>
      <xdr:rowOff>10188</xdr:rowOff>
    </xdr:from>
    <xdr:to>
      <xdr:col>10</xdr:col>
      <xdr:colOff>0</xdr:colOff>
      <xdr:row>22</xdr:row>
      <xdr:rowOff>156155</xdr:rowOff>
    </xdr:to>
    <xdr:sp macro="[0]!Plan11.subIrParaPlan8" textlink="">
      <xdr:nvSpPr>
        <xdr:cNvPr id="29" name="Fluxograma: Processo 28">
          <a:extLst>
            <a:ext uri="{FF2B5EF4-FFF2-40B4-BE49-F238E27FC236}">
              <a16:creationId xmlns:a16="http://schemas.microsoft.com/office/drawing/2014/main" id="{6237F647-1EB3-45A2-91EB-DDD16DB06257}"/>
            </a:ext>
          </a:extLst>
        </xdr:cNvPr>
        <xdr:cNvSpPr/>
      </xdr:nvSpPr>
      <xdr:spPr>
        <a:xfrm>
          <a:off x="6592473" y="3335279"/>
          <a:ext cx="1617195" cy="665512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RESULTADOS BARRAS GLOBAIS</a:t>
          </a:r>
        </a:p>
      </xdr:txBody>
    </xdr:sp>
    <xdr:clientData/>
  </xdr:twoCellAnchor>
  <xdr:twoCellAnchor>
    <xdr:from>
      <xdr:col>0</xdr:col>
      <xdr:colOff>451434</xdr:colOff>
      <xdr:row>1</xdr:row>
      <xdr:rowOff>80835</xdr:rowOff>
    </xdr:from>
    <xdr:to>
      <xdr:col>1</xdr:col>
      <xdr:colOff>560291</xdr:colOff>
      <xdr:row>5</xdr:row>
      <xdr:rowOff>167282</xdr:rowOff>
    </xdr:to>
    <xdr:sp macro="[0]!Plan11.subIrParaPlan11" textlink="">
      <xdr:nvSpPr>
        <xdr:cNvPr id="30" name="Elipse 29">
          <a:extLst>
            <a:ext uri="{FF2B5EF4-FFF2-40B4-BE49-F238E27FC236}">
              <a16:creationId xmlns:a16="http://schemas.microsoft.com/office/drawing/2014/main" id="{4EE69C4A-F588-4C2A-BA1A-F793FA34938F}"/>
            </a:ext>
          </a:extLst>
        </xdr:cNvPr>
        <xdr:cNvSpPr/>
      </xdr:nvSpPr>
      <xdr:spPr>
        <a:xfrm>
          <a:off x="451434" y="260129"/>
          <a:ext cx="915681" cy="826035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  <xdr:twoCellAnchor>
    <xdr:from>
      <xdr:col>0</xdr:col>
      <xdr:colOff>369791</xdr:colOff>
      <xdr:row>8</xdr:row>
      <xdr:rowOff>1599</xdr:rowOff>
    </xdr:from>
    <xdr:to>
      <xdr:col>1</xdr:col>
      <xdr:colOff>739584</xdr:colOff>
      <xdr:row>10</xdr:row>
      <xdr:rowOff>152317</xdr:rowOff>
    </xdr:to>
    <xdr:sp macro="[0]!Inicializar" textlink="">
      <xdr:nvSpPr>
        <xdr:cNvPr id="31" name="Fluxograma: Processo Alternativo 30">
          <a:extLst>
            <a:ext uri="{FF2B5EF4-FFF2-40B4-BE49-F238E27FC236}">
              <a16:creationId xmlns:a16="http://schemas.microsoft.com/office/drawing/2014/main" id="{67A5D086-A50F-424C-AAFC-3777D0522D1C}"/>
            </a:ext>
          </a:extLst>
        </xdr:cNvPr>
        <xdr:cNvSpPr/>
      </xdr:nvSpPr>
      <xdr:spPr>
        <a:xfrm>
          <a:off x="369791" y="1458364"/>
          <a:ext cx="1176617" cy="509306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  <xdr:twoCellAnchor>
    <xdr:from>
      <xdr:col>0</xdr:col>
      <xdr:colOff>386119</xdr:colOff>
      <xdr:row>14</xdr:row>
      <xdr:rowOff>33937</xdr:rowOff>
    </xdr:from>
    <xdr:to>
      <xdr:col>1</xdr:col>
      <xdr:colOff>755912</xdr:colOff>
      <xdr:row>17</xdr:row>
      <xdr:rowOff>2959</xdr:rowOff>
    </xdr:to>
    <xdr:sp macro="[0]!DesenharXY" textlink="">
      <xdr:nvSpPr>
        <xdr:cNvPr id="32" name="Fluxograma: Processo Alternativo 31">
          <a:extLst>
            <a:ext uri="{FF2B5EF4-FFF2-40B4-BE49-F238E27FC236}">
              <a16:creationId xmlns:a16="http://schemas.microsoft.com/office/drawing/2014/main" id="{C0550259-6228-4BBD-A73A-2B6A79180B5F}"/>
            </a:ext>
          </a:extLst>
        </xdr:cNvPr>
        <xdr:cNvSpPr/>
      </xdr:nvSpPr>
      <xdr:spPr>
        <a:xfrm>
          <a:off x="386119" y="2566466"/>
          <a:ext cx="1176617" cy="50690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DESENHAR</a:t>
          </a:r>
        </a:p>
      </xdr:txBody>
    </xdr:sp>
    <xdr:clientData/>
  </xdr:twoCellAnchor>
  <xdr:twoCellAnchor>
    <xdr:from>
      <xdr:col>0</xdr:col>
      <xdr:colOff>374913</xdr:colOff>
      <xdr:row>19</xdr:row>
      <xdr:rowOff>56348</xdr:rowOff>
    </xdr:from>
    <xdr:to>
      <xdr:col>1</xdr:col>
      <xdr:colOff>744706</xdr:colOff>
      <xdr:row>22</xdr:row>
      <xdr:rowOff>156883</xdr:rowOff>
    </xdr:to>
    <xdr:sp macro="[0]!ImportarDXF" textlink="">
      <xdr:nvSpPr>
        <xdr:cNvPr id="14" name="Fluxograma: Processo Alternativo 13">
          <a:extLst>
            <a:ext uri="{FF2B5EF4-FFF2-40B4-BE49-F238E27FC236}">
              <a16:creationId xmlns:a16="http://schemas.microsoft.com/office/drawing/2014/main" id="{331AAACD-48D1-4F93-8954-E1C430800214}"/>
            </a:ext>
          </a:extLst>
        </xdr:cNvPr>
        <xdr:cNvSpPr/>
      </xdr:nvSpPr>
      <xdr:spPr>
        <a:xfrm>
          <a:off x="374913" y="3485348"/>
          <a:ext cx="1176617" cy="638417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IMPORTAR</a:t>
          </a:r>
          <a:r>
            <a:rPr lang="pt-BR" sz="1500" baseline="0"/>
            <a:t> DXF</a:t>
          </a:r>
          <a:endParaRPr lang="pt-BR" sz="1500"/>
        </a:p>
      </xdr:txBody>
    </xdr:sp>
    <xdr:clientData/>
  </xdr:twoCellAnchor>
  <xdr:twoCellAnchor>
    <xdr:from>
      <xdr:col>2</xdr:col>
      <xdr:colOff>522672</xdr:colOff>
      <xdr:row>1</xdr:row>
      <xdr:rowOff>132797</xdr:rowOff>
    </xdr:from>
    <xdr:to>
      <xdr:col>4</xdr:col>
      <xdr:colOff>511958</xdr:colOff>
      <xdr:row>5</xdr:row>
      <xdr:rowOff>83172</xdr:rowOff>
    </xdr:to>
    <xdr:sp macro="[0]!Plan11.subIrParaPlan10" textlink="">
      <xdr:nvSpPr>
        <xdr:cNvPr id="2020" name="Fluxograma: Entrada Manual 2019">
          <a:extLst>
            <a:ext uri="{FF2B5EF4-FFF2-40B4-BE49-F238E27FC236}">
              <a16:creationId xmlns:a16="http://schemas.microsoft.com/office/drawing/2014/main" id="{6839AA09-5862-40DA-86EF-4D90496069E3}"/>
            </a:ext>
          </a:extLst>
        </xdr:cNvPr>
        <xdr:cNvSpPr/>
      </xdr:nvSpPr>
      <xdr:spPr>
        <a:xfrm>
          <a:off x="2150581" y="305979"/>
          <a:ext cx="1617195" cy="677738"/>
        </a:xfrm>
        <a:prstGeom prst="flowChartManualInpu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</a:p>
      </xdr:txBody>
    </xdr:sp>
    <xdr:clientData/>
  </xdr:twoCellAnchor>
  <xdr:twoCellAnchor>
    <xdr:from>
      <xdr:col>5</xdr:col>
      <xdr:colOff>271338</xdr:colOff>
      <xdr:row>1</xdr:row>
      <xdr:rowOff>119190</xdr:rowOff>
    </xdr:from>
    <xdr:to>
      <xdr:col>7</xdr:col>
      <xdr:colOff>260624</xdr:colOff>
      <xdr:row>5</xdr:row>
      <xdr:rowOff>69565</xdr:rowOff>
    </xdr:to>
    <xdr:sp macro="[0]!Plan11.subIrParaPlan0" textlink="">
      <xdr:nvSpPr>
        <xdr:cNvPr id="2021" name="Fluxograma: Entrada Manual 2020">
          <a:extLst>
            <a:ext uri="{FF2B5EF4-FFF2-40B4-BE49-F238E27FC236}">
              <a16:creationId xmlns:a16="http://schemas.microsoft.com/office/drawing/2014/main" id="{72BBB4E9-48A7-4F2B-B7F1-3A1408E50E73}"/>
            </a:ext>
          </a:extLst>
        </xdr:cNvPr>
        <xdr:cNvSpPr/>
      </xdr:nvSpPr>
      <xdr:spPr>
        <a:xfrm>
          <a:off x="4341111" y="292372"/>
          <a:ext cx="1617195" cy="677738"/>
        </a:xfrm>
        <a:prstGeom prst="flowChartManualInpu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CONFIGURAÇÕES</a:t>
          </a:r>
        </a:p>
      </xdr:txBody>
    </xdr:sp>
    <xdr:clientData/>
  </xdr:twoCellAnchor>
  <xdr:twoCellAnchor>
    <xdr:from>
      <xdr:col>8</xdr:col>
      <xdr:colOff>40016</xdr:colOff>
      <xdr:row>1</xdr:row>
      <xdr:rowOff>78369</xdr:rowOff>
    </xdr:from>
    <xdr:to>
      <xdr:col>10</xdr:col>
      <xdr:colOff>29302</xdr:colOff>
      <xdr:row>5</xdr:row>
      <xdr:rowOff>28744</xdr:rowOff>
    </xdr:to>
    <xdr:sp macro="[0]!Plan11.subIrParaPlan12" textlink="">
      <xdr:nvSpPr>
        <xdr:cNvPr id="17" name="Fluxograma: Entrada Manual 16">
          <a:extLst>
            <a:ext uri="{FF2B5EF4-FFF2-40B4-BE49-F238E27FC236}">
              <a16:creationId xmlns:a16="http://schemas.microsoft.com/office/drawing/2014/main" id="{B7D18A35-575C-43C5-9841-F13824D441C4}"/>
            </a:ext>
          </a:extLst>
        </xdr:cNvPr>
        <xdr:cNvSpPr/>
      </xdr:nvSpPr>
      <xdr:spPr>
        <a:xfrm>
          <a:off x="6571445" y="255262"/>
          <a:ext cx="1622143" cy="685161"/>
        </a:xfrm>
        <a:prstGeom prst="flowChartManualInpu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GERADOR</a:t>
          </a:r>
          <a:r>
            <a:rPr lang="pt-BR" sz="12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TRELIÇAS</a:t>
          </a:r>
          <a:endParaRPr lang="pt-BR" sz="12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434623</xdr:colOff>
      <xdr:row>1</xdr:row>
      <xdr:rowOff>78369</xdr:rowOff>
    </xdr:from>
    <xdr:to>
      <xdr:col>13</xdr:col>
      <xdr:colOff>15695</xdr:colOff>
      <xdr:row>5</xdr:row>
      <xdr:rowOff>28744</xdr:rowOff>
    </xdr:to>
    <xdr:sp macro="[0]!Plan11.subIrParaPlan14" textlink="">
      <xdr:nvSpPr>
        <xdr:cNvPr id="18" name="Fluxograma: Entrada Manual 17">
          <a:extLst>
            <a:ext uri="{FF2B5EF4-FFF2-40B4-BE49-F238E27FC236}">
              <a16:creationId xmlns:a16="http://schemas.microsoft.com/office/drawing/2014/main" id="{2319BAE5-2402-4743-A672-71B7C2D17159}"/>
            </a:ext>
          </a:extLst>
        </xdr:cNvPr>
        <xdr:cNvSpPr/>
      </xdr:nvSpPr>
      <xdr:spPr>
        <a:xfrm>
          <a:off x="8598909" y="255262"/>
          <a:ext cx="1622143" cy="685161"/>
        </a:xfrm>
        <a:prstGeom prst="flowChartManualInpu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OTIMIZADOR DE TRELIÇAS</a:t>
          </a:r>
          <a:endParaRPr lang="pt-BR" sz="12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10</xdr:col>
      <xdr:colOff>918482</xdr:colOff>
      <xdr:row>5</xdr:row>
      <xdr:rowOff>121826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9C7BBFB1-9D13-46C2-97F0-F1D49EB035D6}"/>
            </a:ext>
          </a:extLst>
        </xdr:cNvPr>
        <xdr:cNvSpPr/>
      </xdr:nvSpPr>
      <xdr:spPr>
        <a:xfrm>
          <a:off x="5878286" y="176893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1762</xdr:colOff>
      <xdr:row>0</xdr:row>
      <xdr:rowOff>97972</xdr:rowOff>
    </xdr:from>
    <xdr:to>
      <xdr:col>9</xdr:col>
      <xdr:colOff>67235</xdr:colOff>
      <xdr:row>4</xdr:row>
      <xdr:rowOff>89787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A1435136-B5F3-48AB-8655-7A834D320A8C}"/>
            </a:ext>
          </a:extLst>
        </xdr:cNvPr>
        <xdr:cNvSpPr/>
      </xdr:nvSpPr>
      <xdr:spPr>
        <a:xfrm>
          <a:off x="7666586" y="97972"/>
          <a:ext cx="805061" cy="753815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MAIN</a:t>
          </a:r>
        </a:p>
      </xdr:txBody>
    </xdr:sp>
    <xdr:clientData/>
  </xdr:twoCellAnchor>
  <xdr:twoCellAnchor>
    <xdr:from>
      <xdr:col>10</xdr:col>
      <xdr:colOff>628650</xdr:colOff>
      <xdr:row>1</xdr:row>
      <xdr:rowOff>114299</xdr:rowOff>
    </xdr:from>
    <xdr:to>
      <xdr:col>13</xdr:col>
      <xdr:colOff>371250</xdr:colOff>
      <xdr:row>3</xdr:row>
      <xdr:rowOff>93299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B5CA77C-18FA-4784-A782-B5121184F575}"/>
            </a:ext>
          </a:extLst>
        </xdr:cNvPr>
        <xdr:cNvGrpSpPr/>
      </xdr:nvGrpSpPr>
      <xdr:grpSpPr>
        <a:xfrm>
          <a:off x="10310532" y="304799"/>
          <a:ext cx="1793277" cy="348794"/>
          <a:chOff x="7936176" y="1782763"/>
          <a:chExt cx="8293101" cy="2095696"/>
        </a:xfrm>
      </xdr:grpSpPr>
      <xdr:sp macro="" textlink="">
        <xdr:nvSpPr>
          <xdr:cNvPr id="7" name="Elipse 6">
            <a:extLst>
              <a:ext uri="{FF2B5EF4-FFF2-40B4-BE49-F238E27FC236}">
                <a16:creationId xmlns:a16="http://schemas.microsoft.com/office/drawing/2014/main" id="{792585B2-27A6-4F0D-84C8-501CF2EB78CC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Elipse 7">
            <a:extLst>
              <a:ext uri="{FF2B5EF4-FFF2-40B4-BE49-F238E27FC236}">
                <a16:creationId xmlns:a16="http://schemas.microsoft.com/office/drawing/2014/main" id="{E65C15A2-CC20-428E-A89B-02C83F53F6AA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FF70173D-69A3-4C64-A186-B53AC44BF17D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D952F912-4C31-4C66-98B4-E189D79565D2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Elipse 10">
            <a:extLst>
              <a:ext uri="{FF2B5EF4-FFF2-40B4-BE49-F238E27FC236}">
                <a16:creationId xmlns:a16="http://schemas.microsoft.com/office/drawing/2014/main" id="{C5CB5D6F-C879-4DBA-8F07-68A417B5791C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523F01D5-222F-431B-8673-26BE5A447D6B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Elipse 12">
            <a:extLst>
              <a:ext uri="{FF2B5EF4-FFF2-40B4-BE49-F238E27FC236}">
                <a16:creationId xmlns:a16="http://schemas.microsoft.com/office/drawing/2014/main" id="{F5BC20BE-4957-436A-8074-5C4BA42B9033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Elipse 13">
            <a:extLst>
              <a:ext uri="{FF2B5EF4-FFF2-40B4-BE49-F238E27FC236}">
                <a16:creationId xmlns:a16="http://schemas.microsoft.com/office/drawing/2014/main" id="{271E126F-A948-429B-9EC6-75AEC4E258C8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5" name="Conector reto 14">
            <a:extLst>
              <a:ext uri="{FF2B5EF4-FFF2-40B4-BE49-F238E27FC236}">
                <a16:creationId xmlns:a16="http://schemas.microsoft.com/office/drawing/2014/main" id="{1A0CE208-EDE0-4178-96A1-A3AB21C6CEBE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E8393A13-DA09-488D-8286-68B3DE4C4136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ector reto 16">
            <a:extLst>
              <a:ext uri="{FF2B5EF4-FFF2-40B4-BE49-F238E27FC236}">
                <a16:creationId xmlns:a16="http://schemas.microsoft.com/office/drawing/2014/main" id="{1CAAB27C-5F33-4CEA-B913-1E9C178D3C47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Conector reto 17">
            <a:extLst>
              <a:ext uri="{FF2B5EF4-FFF2-40B4-BE49-F238E27FC236}">
                <a16:creationId xmlns:a16="http://schemas.microsoft.com/office/drawing/2014/main" id="{07AC80F7-2294-459D-99DD-3B15136A6801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ector reto 18">
            <a:extLst>
              <a:ext uri="{FF2B5EF4-FFF2-40B4-BE49-F238E27FC236}">
                <a16:creationId xmlns:a16="http://schemas.microsoft.com/office/drawing/2014/main" id="{2FC18BA8-A061-468D-ACF0-BDB78704288C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reto 19">
            <a:extLst>
              <a:ext uri="{FF2B5EF4-FFF2-40B4-BE49-F238E27FC236}">
                <a16:creationId xmlns:a16="http://schemas.microsoft.com/office/drawing/2014/main" id="{83A4086D-2B01-44E6-AF0F-C91D3EFB613C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ector reto 20">
            <a:extLst>
              <a:ext uri="{FF2B5EF4-FFF2-40B4-BE49-F238E27FC236}">
                <a16:creationId xmlns:a16="http://schemas.microsoft.com/office/drawing/2014/main" id="{23D58792-1026-4407-87FE-558B358163FA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Conector reto 21">
            <a:extLst>
              <a:ext uri="{FF2B5EF4-FFF2-40B4-BE49-F238E27FC236}">
                <a16:creationId xmlns:a16="http://schemas.microsoft.com/office/drawing/2014/main" id="{3FC4363D-BC42-447D-B867-D127096C01E1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id="{E1115CDC-9A17-41C6-A0E3-8916B59B5448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Conector reto 23">
            <a:extLst>
              <a:ext uri="{FF2B5EF4-FFF2-40B4-BE49-F238E27FC236}">
                <a16:creationId xmlns:a16="http://schemas.microsoft.com/office/drawing/2014/main" id="{9F4999D8-B944-497D-BC69-DB7637527D34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Conector reto 24">
            <a:extLst>
              <a:ext uri="{FF2B5EF4-FFF2-40B4-BE49-F238E27FC236}">
                <a16:creationId xmlns:a16="http://schemas.microsoft.com/office/drawing/2014/main" id="{A4336641-F41B-415A-A1A1-CD19330C1C7B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Conector reto 25">
            <a:extLst>
              <a:ext uri="{FF2B5EF4-FFF2-40B4-BE49-F238E27FC236}">
                <a16:creationId xmlns:a16="http://schemas.microsoft.com/office/drawing/2014/main" id="{C1F5D79A-05DA-4961-B5D2-E8E9B0B46DA9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Conector reto 26">
            <a:extLst>
              <a:ext uri="{FF2B5EF4-FFF2-40B4-BE49-F238E27FC236}">
                <a16:creationId xmlns:a16="http://schemas.microsoft.com/office/drawing/2014/main" id="{B649C26C-EC4C-431F-99BF-ED4E9ACB6EF5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B6EB56C4-F2A9-4DE2-AAFE-7B66A0DD46CD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C509C828-1679-4A97-821B-3FFB67306A83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59ECDF99-6E6A-4595-897D-A8ABC5B3C502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1952FB47-20F7-4EF9-BC2F-B81B1812BCBD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ED69C15E-D3EF-4465-92B7-F4B84EDCFD4C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7745CD89-4695-4E34-ADF3-75D42664BF8A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Elipse 33">
            <a:extLst>
              <a:ext uri="{FF2B5EF4-FFF2-40B4-BE49-F238E27FC236}">
                <a16:creationId xmlns:a16="http://schemas.microsoft.com/office/drawing/2014/main" id="{79CC3377-57E3-453D-8CF5-41E079F31F77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Elipse 34">
            <a:extLst>
              <a:ext uri="{FF2B5EF4-FFF2-40B4-BE49-F238E27FC236}">
                <a16:creationId xmlns:a16="http://schemas.microsoft.com/office/drawing/2014/main" id="{B29D7F28-97B1-408E-A2FC-98FAB0E160FD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5AF88603-9DE3-4809-ACE7-26346DAFC3A0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Elipse 36">
            <a:extLst>
              <a:ext uri="{FF2B5EF4-FFF2-40B4-BE49-F238E27FC236}">
                <a16:creationId xmlns:a16="http://schemas.microsoft.com/office/drawing/2014/main" id="{215E787E-A7F0-489A-BB81-7DC6967AF531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Elipse 37">
            <a:extLst>
              <a:ext uri="{FF2B5EF4-FFF2-40B4-BE49-F238E27FC236}">
                <a16:creationId xmlns:a16="http://schemas.microsoft.com/office/drawing/2014/main" id="{D949AA3C-43F8-4142-96CD-C23DD6703DAA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Elipse 38">
            <a:extLst>
              <a:ext uri="{FF2B5EF4-FFF2-40B4-BE49-F238E27FC236}">
                <a16:creationId xmlns:a16="http://schemas.microsoft.com/office/drawing/2014/main" id="{0CF9A0AC-8557-4BDC-B9C2-826B5A5E83B0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Elipse 39">
            <a:extLst>
              <a:ext uri="{FF2B5EF4-FFF2-40B4-BE49-F238E27FC236}">
                <a16:creationId xmlns:a16="http://schemas.microsoft.com/office/drawing/2014/main" id="{3A9657B3-06E5-4CF9-B774-6A6357CF6565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Elipse 40">
            <a:extLst>
              <a:ext uri="{FF2B5EF4-FFF2-40B4-BE49-F238E27FC236}">
                <a16:creationId xmlns:a16="http://schemas.microsoft.com/office/drawing/2014/main" id="{41F7A1BF-DD1B-4F74-9F5B-05220E6A3C4D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Elipse 41">
            <a:extLst>
              <a:ext uri="{FF2B5EF4-FFF2-40B4-BE49-F238E27FC236}">
                <a16:creationId xmlns:a16="http://schemas.microsoft.com/office/drawing/2014/main" id="{E89CE605-FBD4-4B03-BACA-C0114276635A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Elipse 42">
            <a:extLst>
              <a:ext uri="{FF2B5EF4-FFF2-40B4-BE49-F238E27FC236}">
                <a16:creationId xmlns:a16="http://schemas.microsoft.com/office/drawing/2014/main" id="{8E0CB879-4A1D-421D-8D9D-B70D32CCF6A1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Elipse 43">
            <a:extLst>
              <a:ext uri="{FF2B5EF4-FFF2-40B4-BE49-F238E27FC236}">
                <a16:creationId xmlns:a16="http://schemas.microsoft.com/office/drawing/2014/main" id="{D75C16F3-7E29-44E6-B1B6-19A60BA55DED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Elipse 44">
            <a:extLst>
              <a:ext uri="{FF2B5EF4-FFF2-40B4-BE49-F238E27FC236}">
                <a16:creationId xmlns:a16="http://schemas.microsoft.com/office/drawing/2014/main" id="{414FFA78-1540-40A6-866E-9C7163692DCB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Elipse 45">
            <a:extLst>
              <a:ext uri="{FF2B5EF4-FFF2-40B4-BE49-F238E27FC236}">
                <a16:creationId xmlns:a16="http://schemas.microsoft.com/office/drawing/2014/main" id="{74E2715B-FD71-408F-8A43-1E0C75493728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Elipse 46">
            <a:extLst>
              <a:ext uri="{FF2B5EF4-FFF2-40B4-BE49-F238E27FC236}">
                <a16:creationId xmlns:a16="http://schemas.microsoft.com/office/drawing/2014/main" id="{D6B0CD03-99DE-4285-BFFA-0ED2E96026C9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638175</xdr:colOff>
      <xdr:row>4</xdr:row>
      <xdr:rowOff>114300</xdr:rowOff>
    </xdr:from>
    <xdr:to>
      <xdr:col>13</xdr:col>
      <xdr:colOff>380775</xdr:colOff>
      <xdr:row>6</xdr:row>
      <xdr:rowOff>112350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AEC196D5-0652-4E52-B809-4FA8164CB2D5}"/>
            </a:ext>
          </a:extLst>
        </xdr:cNvPr>
        <xdr:cNvGrpSpPr/>
      </xdr:nvGrpSpPr>
      <xdr:grpSpPr>
        <a:xfrm>
          <a:off x="10320057" y="865094"/>
          <a:ext cx="1793277" cy="379050"/>
          <a:chOff x="7936176" y="1782763"/>
          <a:chExt cx="8293101" cy="2095696"/>
        </a:xfrm>
      </xdr:grpSpPr>
      <xdr:sp macro="" textlink="">
        <xdr:nvSpPr>
          <xdr:cNvPr id="49" name="Elipse 48">
            <a:extLst>
              <a:ext uri="{FF2B5EF4-FFF2-40B4-BE49-F238E27FC236}">
                <a16:creationId xmlns:a16="http://schemas.microsoft.com/office/drawing/2014/main" id="{55E96291-6FC6-414D-B749-519C1A99711C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Elipse 49">
            <a:extLst>
              <a:ext uri="{FF2B5EF4-FFF2-40B4-BE49-F238E27FC236}">
                <a16:creationId xmlns:a16="http://schemas.microsoft.com/office/drawing/2014/main" id="{44566518-3E67-4987-B668-7574617A13B0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:a16="http://schemas.microsoft.com/office/drawing/2014/main" id="{0BB568C3-0248-4AC4-9D5F-A3E3B89CE101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Elipse 51">
            <a:extLst>
              <a:ext uri="{FF2B5EF4-FFF2-40B4-BE49-F238E27FC236}">
                <a16:creationId xmlns:a16="http://schemas.microsoft.com/office/drawing/2014/main" id="{B0838A81-C5CA-4F57-A579-6C04C2A87669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Elipse 52">
            <a:extLst>
              <a:ext uri="{FF2B5EF4-FFF2-40B4-BE49-F238E27FC236}">
                <a16:creationId xmlns:a16="http://schemas.microsoft.com/office/drawing/2014/main" id="{9E68E84F-AA85-4586-8868-AE2A87389B48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Elipse 53">
            <a:extLst>
              <a:ext uri="{FF2B5EF4-FFF2-40B4-BE49-F238E27FC236}">
                <a16:creationId xmlns:a16="http://schemas.microsoft.com/office/drawing/2014/main" id="{4F0C0FA7-AF4B-4F80-A694-F92A94561DC5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Elipse 54">
            <a:extLst>
              <a:ext uri="{FF2B5EF4-FFF2-40B4-BE49-F238E27FC236}">
                <a16:creationId xmlns:a16="http://schemas.microsoft.com/office/drawing/2014/main" id="{6937E2F7-4D66-4220-8E22-9CC29F2BC863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Elipse 55">
            <a:extLst>
              <a:ext uri="{FF2B5EF4-FFF2-40B4-BE49-F238E27FC236}">
                <a16:creationId xmlns:a16="http://schemas.microsoft.com/office/drawing/2014/main" id="{78B858FC-AC43-4D88-AFCD-68127C8D704E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57" name="Conector reto 56">
            <a:extLst>
              <a:ext uri="{FF2B5EF4-FFF2-40B4-BE49-F238E27FC236}">
                <a16:creationId xmlns:a16="http://schemas.microsoft.com/office/drawing/2014/main" id="{9C80370C-1AD3-40A8-BC59-81768D74ADD6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ector reto 57">
            <a:extLst>
              <a:ext uri="{FF2B5EF4-FFF2-40B4-BE49-F238E27FC236}">
                <a16:creationId xmlns:a16="http://schemas.microsoft.com/office/drawing/2014/main" id="{B454AE2C-2AA9-4D13-BBF2-2C34E7C535C8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ector reto 58">
            <a:extLst>
              <a:ext uri="{FF2B5EF4-FFF2-40B4-BE49-F238E27FC236}">
                <a16:creationId xmlns:a16="http://schemas.microsoft.com/office/drawing/2014/main" id="{474F004A-9971-42BC-8C83-B68270BD69A5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ector reto 59">
            <a:extLst>
              <a:ext uri="{FF2B5EF4-FFF2-40B4-BE49-F238E27FC236}">
                <a16:creationId xmlns:a16="http://schemas.microsoft.com/office/drawing/2014/main" id="{1A17F1BF-2959-4ED2-B225-12C63C760D9D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Conector reto 60">
            <a:extLst>
              <a:ext uri="{FF2B5EF4-FFF2-40B4-BE49-F238E27FC236}">
                <a16:creationId xmlns:a16="http://schemas.microsoft.com/office/drawing/2014/main" id="{6FD0440B-D3D6-4ABB-A7B8-C3341F199180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Conector reto 61">
            <a:extLst>
              <a:ext uri="{FF2B5EF4-FFF2-40B4-BE49-F238E27FC236}">
                <a16:creationId xmlns:a16="http://schemas.microsoft.com/office/drawing/2014/main" id="{7AAD39D9-38CB-4F4D-9A8B-9434E5378447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ector reto 62">
            <a:extLst>
              <a:ext uri="{FF2B5EF4-FFF2-40B4-BE49-F238E27FC236}">
                <a16:creationId xmlns:a16="http://schemas.microsoft.com/office/drawing/2014/main" id="{74AEA6F4-43BD-4B24-9204-3DDD6E095992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ector reto 63">
            <a:extLst>
              <a:ext uri="{FF2B5EF4-FFF2-40B4-BE49-F238E27FC236}">
                <a16:creationId xmlns:a16="http://schemas.microsoft.com/office/drawing/2014/main" id="{8FA4AD3B-4516-40EB-BFE4-A7FF753DA9BE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ector reto 64">
            <a:extLst>
              <a:ext uri="{FF2B5EF4-FFF2-40B4-BE49-F238E27FC236}">
                <a16:creationId xmlns:a16="http://schemas.microsoft.com/office/drawing/2014/main" id="{12142F74-B81A-4D7A-9765-68BA62B7BC97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ector reto 65">
            <a:extLst>
              <a:ext uri="{FF2B5EF4-FFF2-40B4-BE49-F238E27FC236}">
                <a16:creationId xmlns:a16="http://schemas.microsoft.com/office/drawing/2014/main" id="{9E5E9533-F4C9-4EEA-88AB-67CC582257EA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ector reto 66">
            <a:extLst>
              <a:ext uri="{FF2B5EF4-FFF2-40B4-BE49-F238E27FC236}">
                <a16:creationId xmlns:a16="http://schemas.microsoft.com/office/drawing/2014/main" id="{9F814858-5311-4DBA-B4F2-66069AABAACB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Conector reto 67">
            <a:extLst>
              <a:ext uri="{FF2B5EF4-FFF2-40B4-BE49-F238E27FC236}">
                <a16:creationId xmlns:a16="http://schemas.microsoft.com/office/drawing/2014/main" id="{B2241146-7F75-4470-BEE3-4010B2879902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ector reto 68">
            <a:extLst>
              <a:ext uri="{FF2B5EF4-FFF2-40B4-BE49-F238E27FC236}">
                <a16:creationId xmlns:a16="http://schemas.microsoft.com/office/drawing/2014/main" id="{C34F4773-B6D9-42DB-BEE0-0902E4528B3C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396797C1-5C7E-4952-827A-5539AA82A5C4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291B00E7-FFA9-48CB-8585-725850CF8A6F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B26EBC37-9A24-499E-BDCC-2F6B2D3F8B29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066DE477-00B5-4619-8C7B-7E882E4B3FFD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D2A8121F-E424-44D3-B6C4-ED42DAE0BBA7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A359C314-B232-4905-815C-859BAC8FB8E2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Elipse 75">
            <a:extLst>
              <a:ext uri="{FF2B5EF4-FFF2-40B4-BE49-F238E27FC236}">
                <a16:creationId xmlns:a16="http://schemas.microsoft.com/office/drawing/2014/main" id="{BFCA2FB6-C36C-4732-B3B2-B6454D0A7D4D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Elipse 76">
            <a:extLst>
              <a:ext uri="{FF2B5EF4-FFF2-40B4-BE49-F238E27FC236}">
                <a16:creationId xmlns:a16="http://schemas.microsoft.com/office/drawing/2014/main" id="{0146FD96-6717-4437-B1AA-4E1B4275317D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Elipse 77">
            <a:extLst>
              <a:ext uri="{FF2B5EF4-FFF2-40B4-BE49-F238E27FC236}">
                <a16:creationId xmlns:a16="http://schemas.microsoft.com/office/drawing/2014/main" id="{5D4D5A6D-D47D-4A8B-AB39-2182DF965752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Elipse 78">
            <a:extLst>
              <a:ext uri="{FF2B5EF4-FFF2-40B4-BE49-F238E27FC236}">
                <a16:creationId xmlns:a16="http://schemas.microsoft.com/office/drawing/2014/main" id="{9DD46E55-7E6B-4737-A666-8CCDBAFE5393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Elipse 79">
            <a:extLst>
              <a:ext uri="{FF2B5EF4-FFF2-40B4-BE49-F238E27FC236}">
                <a16:creationId xmlns:a16="http://schemas.microsoft.com/office/drawing/2014/main" id="{B4A0D823-FFC2-4880-A63E-F11234CA2F9C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1" name="Elipse 80">
            <a:extLst>
              <a:ext uri="{FF2B5EF4-FFF2-40B4-BE49-F238E27FC236}">
                <a16:creationId xmlns:a16="http://schemas.microsoft.com/office/drawing/2014/main" id="{2344052D-DEC3-45E3-8053-7CE6A417447D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Elipse 81">
            <a:extLst>
              <a:ext uri="{FF2B5EF4-FFF2-40B4-BE49-F238E27FC236}">
                <a16:creationId xmlns:a16="http://schemas.microsoft.com/office/drawing/2014/main" id="{931F65F2-849E-4346-AA5C-D756EC676143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" name="Elipse 82">
            <a:extLst>
              <a:ext uri="{FF2B5EF4-FFF2-40B4-BE49-F238E27FC236}">
                <a16:creationId xmlns:a16="http://schemas.microsoft.com/office/drawing/2014/main" id="{5C2D9EBE-456F-4D7B-A88B-3962A45C6829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Elipse 83">
            <a:extLst>
              <a:ext uri="{FF2B5EF4-FFF2-40B4-BE49-F238E27FC236}">
                <a16:creationId xmlns:a16="http://schemas.microsoft.com/office/drawing/2014/main" id="{C8D10121-9B9F-4163-B01F-A00D24CDFADF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" name="Elipse 84">
            <a:extLst>
              <a:ext uri="{FF2B5EF4-FFF2-40B4-BE49-F238E27FC236}">
                <a16:creationId xmlns:a16="http://schemas.microsoft.com/office/drawing/2014/main" id="{055C41D0-B23F-4A83-9D36-F27B762E5635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6" name="Elipse 85">
            <a:extLst>
              <a:ext uri="{FF2B5EF4-FFF2-40B4-BE49-F238E27FC236}">
                <a16:creationId xmlns:a16="http://schemas.microsoft.com/office/drawing/2014/main" id="{93861DF2-A49E-4A10-AC3A-25B70B01E99B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" name="Elipse 86">
            <a:extLst>
              <a:ext uri="{FF2B5EF4-FFF2-40B4-BE49-F238E27FC236}">
                <a16:creationId xmlns:a16="http://schemas.microsoft.com/office/drawing/2014/main" id="{C1DE682C-7DE1-492F-B79A-1E7AD24C1FC3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" name="Elipse 87">
            <a:extLst>
              <a:ext uri="{FF2B5EF4-FFF2-40B4-BE49-F238E27FC236}">
                <a16:creationId xmlns:a16="http://schemas.microsoft.com/office/drawing/2014/main" id="{B64622D8-916E-41D1-A36D-339D52E74CA5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" name="Elipse 88">
            <a:extLst>
              <a:ext uri="{FF2B5EF4-FFF2-40B4-BE49-F238E27FC236}">
                <a16:creationId xmlns:a16="http://schemas.microsoft.com/office/drawing/2014/main" id="{994320AB-5182-4DEF-B8FB-562C52BC35CB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8</xdr:row>
      <xdr:rowOff>58179</xdr:rowOff>
    </xdr:from>
    <xdr:to>
      <xdr:col>13</xdr:col>
      <xdr:colOff>389350</xdr:colOff>
      <xdr:row>10</xdr:row>
      <xdr:rowOff>59591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CD6363AF-A61A-41C0-83BB-400361C86D68}"/>
            </a:ext>
          </a:extLst>
        </xdr:cNvPr>
        <xdr:cNvGrpSpPr/>
      </xdr:nvGrpSpPr>
      <xdr:grpSpPr>
        <a:xfrm>
          <a:off x="10321908" y="1570973"/>
          <a:ext cx="1800001" cy="382412"/>
          <a:chOff x="7936176" y="1782763"/>
          <a:chExt cx="8293101" cy="2095696"/>
        </a:xfrm>
      </xdr:grpSpPr>
      <xdr:sp macro="" textlink="">
        <xdr:nvSpPr>
          <xdr:cNvPr id="91" name="Elipse 90">
            <a:extLst>
              <a:ext uri="{FF2B5EF4-FFF2-40B4-BE49-F238E27FC236}">
                <a16:creationId xmlns:a16="http://schemas.microsoft.com/office/drawing/2014/main" id="{AC5B65B8-757E-48CD-B1DE-950DB932F7A6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" name="Elipse 91">
            <a:extLst>
              <a:ext uri="{FF2B5EF4-FFF2-40B4-BE49-F238E27FC236}">
                <a16:creationId xmlns:a16="http://schemas.microsoft.com/office/drawing/2014/main" id="{E612311B-BF0B-4F61-A3F8-4FFC57C4E763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Elipse 92">
            <a:extLst>
              <a:ext uri="{FF2B5EF4-FFF2-40B4-BE49-F238E27FC236}">
                <a16:creationId xmlns:a16="http://schemas.microsoft.com/office/drawing/2014/main" id="{71B3F9BA-C21E-4C17-8DD9-1BC7DD3BE34C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" name="Elipse 93">
            <a:extLst>
              <a:ext uri="{FF2B5EF4-FFF2-40B4-BE49-F238E27FC236}">
                <a16:creationId xmlns:a16="http://schemas.microsoft.com/office/drawing/2014/main" id="{C6B6AC95-DEE1-4E9E-ACE6-CD3035C34881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" name="Elipse 94">
            <a:extLst>
              <a:ext uri="{FF2B5EF4-FFF2-40B4-BE49-F238E27FC236}">
                <a16:creationId xmlns:a16="http://schemas.microsoft.com/office/drawing/2014/main" id="{1FA8A427-729E-480A-9B19-A00A44E7019D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Elipse 95">
            <a:extLst>
              <a:ext uri="{FF2B5EF4-FFF2-40B4-BE49-F238E27FC236}">
                <a16:creationId xmlns:a16="http://schemas.microsoft.com/office/drawing/2014/main" id="{AF8C366A-8371-4033-A507-FC03CD5C27C6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Elipse 96">
            <a:extLst>
              <a:ext uri="{FF2B5EF4-FFF2-40B4-BE49-F238E27FC236}">
                <a16:creationId xmlns:a16="http://schemas.microsoft.com/office/drawing/2014/main" id="{86785E84-CE38-4C10-8053-28D1386F2C2E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8" name="Elipse 97">
            <a:extLst>
              <a:ext uri="{FF2B5EF4-FFF2-40B4-BE49-F238E27FC236}">
                <a16:creationId xmlns:a16="http://schemas.microsoft.com/office/drawing/2014/main" id="{CE620A9A-3EEC-4683-B021-F75E5CC2C381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99" name="Conector reto 98">
            <a:extLst>
              <a:ext uri="{FF2B5EF4-FFF2-40B4-BE49-F238E27FC236}">
                <a16:creationId xmlns:a16="http://schemas.microsoft.com/office/drawing/2014/main" id="{2F3C88A3-001A-403E-8527-64498C9D5564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Conector reto 99">
            <a:extLst>
              <a:ext uri="{FF2B5EF4-FFF2-40B4-BE49-F238E27FC236}">
                <a16:creationId xmlns:a16="http://schemas.microsoft.com/office/drawing/2014/main" id="{1AFD834F-66A9-4C56-81C9-7AA82068AA94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Conector reto 100">
            <a:extLst>
              <a:ext uri="{FF2B5EF4-FFF2-40B4-BE49-F238E27FC236}">
                <a16:creationId xmlns:a16="http://schemas.microsoft.com/office/drawing/2014/main" id="{3195A0F2-279E-49F1-8DDC-7BC013CB2AF8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Conector reto 101">
            <a:extLst>
              <a:ext uri="{FF2B5EF4-FFF2-40B4-BE49-F238E27FC236}">
                <a16:creationId xmlns:a16="http://schemas.microsoft.com/office/drawing/2014/main" id="{29607FE7-4875-4938-8F03-26193282CF35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Conector reto 102">
            <a:extLst>
              <a:ext uri="{FF2B5EF4-FFF2-40B4-BE49-F238E27FC236}">
                <a16:creationId xmlns:a16="http://schemas.microsoft.com/office/drawing/2014/main" id="{3D49F061-474E-4700-9793-A6A6B0C7CF98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Conector reto 103">
            <a:extLst>
              <a:ext uri="{FF2B5EF4-FFF2-40B4-BE49-F238E27FC236}">
                <a16:creationId xmlns:a16="http://schemas.microsoft.com/office/drawing/2014/main" id="{C2AF5634-5C39-4EAC-A0C2-44A4FB078CF4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Conector reto 104">
            <a:extLst>
              <a:ext uri="{FF2B5EF4-FFF2-40B4-BE49-F238E27FC236}">
                <a16:creationId xmlns:a16="http://schemas.microsoft.com/office/drawing/2014/main" id="{38D8E24D-C8D8-46BA-8F03-DF9376755255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Conector reto 105">
            <a:extLst>
              <a:ext uri="{FF2B5EF4-FFF2-40B4-BE49-F238E27FC236}">
                <a16:creationId xmlns:a16="http://schemas.microsoft.com/office/drawing/2014/main" id="{DD8B479C-EAB1-4278-8427-13824A2245E8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Conector reto 106">
            <a:extLst>
              <a:ext uri="{FF2B5EF4-FFF2-40B4-BE49-F238E27FC236}">
                <a16:creationId xmlns:a16="http://schemas.microsoft.com/office/drawing/2014/main" id="{DE3D07D8-5C64-455D-A3E3-514B07E88EB4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Conector reto 107">
            <a:extLst>
              <a:ext uri="{FF2B5EF4-FFF2-40B4-BE49-F238E27FC236}">
                <a16:creationId xmlns:a16="http://schemas.microsoft.com/office/drawing/2014/main" id="{01D4567C-0D16-45E4-9EC1-EA762B046CCF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" name="Conector reto 108">
            <a:extLst>
              <a:ext uri="{FF2B5EF4-FFF2-40B4-BE49-F238E27FC236}">
                <a16:creationId xmlns:a16="http://schemas.microsoft.com/office/drawing/2014/main" id="{E205BCAD-35D6-4D9D-874B-1C29D5F226D6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" name="Conector reto 109">
            <a:extLst>
              <a:ext uri="{FF2B5EF4-FFF2-40B4-BE49-F238E27FC236}">
                <a16:creationId xmlns:a16="http://schemas.microsoft.com/office/drawing/2014/main" id="{B3A1D868-DEFB-494D-BE33-06FF6E15FCC5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Conector reto 110">
            <a:extLst>
              <a:ext uri="{FF2B5EF4-FFF2-40B4-BE49-F238E27FC236}">
                <a16:creationId xmlns:a16="http://schemas.microsoft.com/office/drawing/2014/main" id="{772CAF2A-2D2F-44A3-A7AA-3F8FB46449B0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87C7A76C-65FF-4957-8921-37E3A317F246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8C6584C4-6AD6-4703-9F39-C9FA1CAC6CDF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9452ABCB-FB41-40F8-BF3A-B5F74FCB88C0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1DBAF7B7-FACF-4D33-BD64-237D4BCC0D82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95E49FEA-8F99-4451-9945-293E990A341A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406BBB5B-E907-4F1C-B3E4-7E2D15616673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Elipse 117">
            <a:extLst>
              <a:ext uri="{FF2B5EF4-FFF2-40B4-BE49-F238E27FC236}">
                <a16:creationId xmlns:a16="http://schemas.microsoft.com/office/drawing/2014/main" id="{BB30E2DA-E8F6-4D98-818F-9106C20D4C95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9" name="Elipse 118">
            <a:extLst>
              <a:ext uri="{FF2B5EF4-FFF2-40B4-BE49-F238E27FC236}">
                <a16:creationId xmlns:a16="http://schemas.microsoft.com/office/drawing/2014/main" id="{9AC453C1-6AC2-4AD3-B8F7-064B32B868DF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Elipse 119">
            <a:extLst>
              <a:ext uri="{FF2B5EF4-FFF2-40B4-BE49-F238E27FC236}">
                <a16:creationId xmlns:a16="http://schemas.microsoft.com/office/drawing/2014/main" id="{AC2FBFF7-4CB1-453D-8134-D7AD4C190026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Elipse 120">
            <a:extLst>
              <a:ext uri="{FF2B5EF4-FFF2-40B4-BE49-F238E27FC236}">
                <a16:creationId xmlns:a16="http://schemas.microsoft.com/office/drawing/2014/main" id="{00EC5C2F-8816-4FFD-8F7D-402546877E54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2" name="Elipse 121">
            <a:extLst>
              <a:ext uri="{FF2B5EF4-FFF2-40B4-BE49-F238E27FC236}">
                <a16:creationId xmlns:a16="http://schemas.microsoft.com/office/drawing/2014/main" id="{37382098-6FD0-4C2F-B8B3-173B7455CADE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3" name="Elipse 122">
            <a:extLst>
              <a:ext uri="{FF2B5EF4-FFF2-40B4-BE49-F238E27FC236}">
                <a16:creationId xmlns:a16="http://schemas.microsoft.com/office/drawing/2014/main" id="{333F9A5A-5340-4B2F-94F1-0E2DF52221B5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Elipse 123">
            <a:extLst>
              <a:ext uri="{FF2B5EF4-FFF2-40B4-BE49-F238E27FC236}">
                <a16:creationId xmlns:a16="http://schemas.microsoft.com/office/drawing/2014/main" id="{5006B5CA-8EA0-47CB-BC9F-839EAC7F516E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5" name="Elipse 124">
            <a:extLst>
              <a:ext uri="{FF2B5EF4-FFF2-40B4-BE49-F238E27FC236}">
                <a16:creationId xmlns:a16="http://schemas.microsoft.com/office/drawing/2014/main" id="{9922FE0D-4888-438F-BA00-22CC0A42597A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6" name="Elipse 125">
            <a:extLst>
              <a:ext uri="{FF2B5EF4-FFF2-40B4-BE49-F238E27FC236}">
                <a16:creationId xmlns:a16="http://schemas.microsoft.com/office/drawing/2014/main" id="{8268613A-45B6-483F-B4FE-8CC489B84A2E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7" name="Elipse 126">
            <a:extLst>
              <a:ext uri="{FF2B5EF4-FFF2-40B4-BE49-F238E27FC236}">
                <a16:creationId xmlns:a16="http://schemas.microsoft.com/office/drawing/2014/main" id="{8027BA8E-E5DE-42A9-A263-F980854276EA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8" name="Elipse 127">
            <a:extLst>
              <a:ext uri="{FF2B5EF4-FFF2-40B4-BE49-F238E27FC236}">
                <a16:creationId xmlns:a16="http://schemas.microsoft.com/office/drawing/2014/main" id="{2656955C-DBE5-4923-B2F8-85740B4C857F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9" name="Elipse 128">
            <a:extLst>
              <a:ext uri="{FF2B5EF4-FFF2-40B4-BE49-F238E27FC236}">
                <a16:creationId xmlns:a16="http://schemas.microsoft.com/office/drawing/2014/main" id="{496165FF-8FA7-439E-ACE0-58DC44C12859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0" name="Elipse 129">
            <a:extLst>
              <a:ext uri="{FF2B5EF4-FFF2-40B4-BE49-F238E27FC236}">
                <a16:creationId xmlns:a16="http://schemas.microsoft.com/office/drawing/2014/main" id="{A43F828B-4EE9-4C44-AE6F-BB0C3EB31560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1" name="Elipse 130">
            <a:extLst>
              <a:ext uri="{FF2B5EF4-FFF2-40B4-BE49-F238E27FC236}">
                <a16:creationId xmlns:a16="http://schemas.microsoft.com/office/drawing/2014/main" id="{A7ED0104-F78E-48E9-A50B-B50F169B1A0A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630501</xdr:colOff>
      <xdr:row>11</xdr:row>
      <xdr:rowOff>106363</xdr:rowOff>
    </xdr:from>
    <xdr:to>
      <xdr:col>13</xdr:col>
      <xdr:colOff>373101</xdr:colOff>
      <xdr:row>13</xdr:row>
      <xdr:rowOff>104413</xdr:rowOff>
    </xdr:to>
    <xdr:grpSp>
      <xdr:nvGrpSpPr>
        <xdr:cNvPr id="132" name="Agrupar 131">
          <a:extLst>
            <a:ext uri="{FF2B5EF4-FFF2-40B4-BE49-F238E27FC236}">
              <a16:creationId xmlns:a16="http://schemas.microsoft.com/office/drawing/2014/main" id="{74E84CF5-BF6A-4778-B9F6-F6DA0F75B40B}"/>
            </a:ext>
          </a:extLst>
        </xdr:cNvPr>
        <xdr:cNvGrpSpPr/>
      </xdr:nvGrpSpPr>
      <xdr:grpSpPr>
        <a:xfrm>
          <a:off x="10312383" y="2179451"/>
          <a:ext cx="1793277" cy="379050"/>
          <a:chOff x="7936176" y="1782763"/>
          <a:chExt cx="8293101" cy="2095696"/>
        </a:xfrm>
      </xdr:grpSpPr>
      <xdr:sp macro="" textlink="">
        <xdr:nvSpPr>
          <xdr:cNvPr id="133" name="Elipse 132">
            <a:extLst>
              <a:ext uri="{FF2B5EF4-FFF2-40B4-BE49-F238E27FC236}">
                <a16:creationId xmlns:a16="http://schemas.microsoft.com/office/drawing/2014/main" id="{A555796E-8905-4D3E-9AD4-5929346D6483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4" name="Elipse 133">
            <a:extLst>
              <a:ext uri="{FF2B5EF4-FFF2-40B4-BE49-F238E27FC236}">
                <a16:creationId xmlns:a16="http://schemas.microsoft.com/office/drawing/2014/main" id="{7700A24C-76F8-4C24-B00F-58AE2E03AF33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5" name="Elipse 134">
            <a:extLst>
              <a:ext uri="{FF2B5EF4-FFF2-40B4-BE49-F238E27FC236}">
                <a16:creationId xmlns:a16="http://schemas.microsoft.com/office/drawing/2014/main" id="{CF33DCAF-35CB-4178-B457-20C9F95A554D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6" name="Elipse 135">
            <a:extLst>
              <a:ext uri="{FF2B5EF4-FFF2-40B4-BE49-F238E27FC236}">
                <a16:creationId xmlns:a16="http://schemas.microsoft.com/office/drawing/2014/main" id="{47B6FDC9-5494-4EBE-95A7-20E22D103667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7" name="Elipse 136">
            <a:extLst>
              <a:ext uri="{FF2B5EF4-FFF2-40B4-BE49-F238E27FC236}">
                <a16:creationId xmlns:a16="http://schemas.microsoft.com/office/drawing/2014/main" id="{E446CD79-BCC0-4002-B765-5ADF96C757D4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8" name="Elipse 137">
            <a:extLst>
              <a:ext uri="{FF2B5EF4-FFF2-40B4-BE49-F238E27FC236}">
                <a16:creationId xmlns:a16="http://schemas.microsoft.com/office/drawing/2014/main" id="{626889C3-BDC3-4296-B97B-19007E98F8DB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9" name="Elipse 138">
            <a:extLst>
              <a:ext uri="{FF2B5EF4-FFF2-40B4-BE49-F238E27FC236}">
                <a16:creationId xmlns:a16="http://schemas.microsoft.com/office/drawing/2014/main" id="{E1BDEAD9-24F3-410A-A84D-BA696D0719D1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0" name="Elipse 139">
            <a:extLst>
              <a:ext uri="{FF2B5EF4-FFF2-40B4-BE49-F238E27FC236}">
                <a16:creationId xmlns:a16="http://schemas.microsoft.com/office/drawing/2014/main" id="{0E1E70FE-BD2F-48C8-B9BC-1478111F7732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41" name="Conector reto 140">
            <a:extLst>
              <a:ext uri="{FF2B5EF4-FFF2-40B4-BE49-F238E27FC236}">
                <a16:creationId xmlns:a16="http://schemas.microsoft.com/office/drawing/2014/main" id="{1C48795A-3607-426C-85EF-E0A283D1945A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ector reto 141">
            <a:extLst>
              <a:ext uri="{FF2B5EF4-FFF2-40B4-BE49-F238E27FC236}">
                <a16:creationId xmlns:a16="http://schemas.microsoft.com/office/drawing/2014/main" id="{6ABE3378-E678-43C8-A1E2-E3DB3BE3B2ED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ector reto 142">
            <a:extLst>
              <a:ext uri="{FF2B5EF4-FFF2-40B4-BE49-F238E27FC236}">
                <a16:creationId xmlns:a16="http://schemas.microsoft.com/office/drawing/2014/main" id="{BF53B842-060D-4F6B-97FE-16E13A60B94D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ector reto 143">
            <a:extLst>
              <a:ext uri="{FF2B5EF4-FFF2-40B4-BE49-F238E27FC236}">
                <a16:creationId xmlns:a16="http://schemas.microsoft.com/office/drawing/2014/main" id="{653CBDCB-12CD-439E-8169-0EF10E3A2166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ector reto 144">
            <a:extLst>
              <a:ext uri="{FF2B5EF4-FFF2-40B4-BE49-F238E27FC236}">
                <a16:creationId xmlns:a16="http://schemas.microsoft.com/office/drawing/2014/main" id="{E7B9F9DE-0DFC-4165-9BD9-146D529101EE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6" name="Conector reto 145">
            <a:extLst>
              <a:ext uri="{FF2B5EF4-FFF2-40B4-BE49-F238E27FC236}">
                <a16:creationId xmlns:a16="http://schemas.microsoft.com/office/drawing/2014/main" id="{F3026C5A-9D31-4B93-BB60-1388AE37F413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Conector reto 146">
            <a:extLst>
              <a:ext uri="{FF2B5EF4-FFF2-40B4-BE49-F238E27FC236}">
                <a16:creationId xmlns:a16="http://schemas.microsoft.com/office/drawing/2014/main" id="{E957FCDB-A077-485E-8C9B-94418B143880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Conector reto 147">
            <a:extLst>
              <a:ext uri="{FF2B5EF4-FFF2-40B4-BE49-F238E27FC236}">
                <a16:creationId xmlns:a16="http://schemas.microsoft.com/office/drawing/2014/main" id="{529496CC-5B86-4ADC-A046-6C4D754F6698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Conector reto 148">
            <a:extLst>
              <a:ext uri="{FF2B5EF4-FFF2-40B4-BE49-F238E27FC236}">
                <a16:creationId xmlns:a16="http://schemas.microsoft.com/office/drawing/2014/main" id="{1E6F29B6-6327-4B01-B6E3-427DBD2BBA04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Conector reto 149">
            <a:extLst>
              <a:ext uri="{FF2B5EF4-FFF2-40B4-BE49-F238E27FC236}">
                <a16:creationId xmlns:a16="http://schemas.microsoft.com/office/drawing/2014/main" id="{46F6EAF2-81DC-4F44-BBC3-EAAC456ABBAB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" name="Conector reto 150">
            <a:extLst>
              <a:ext uri="{FF2B5EF4-FFF2-40B4-BE49-F238E27FC236}">
                <a16:creationId xmlns:a16="http://schemas.microsoft.com/office/drawing/2014/main" id="{6D3D8B98-206A-42ED-B31C-19151057CDB9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2" name="Conector reto 151">
            <a:extLst>
              <a:ext uri="{FF2B5EF4-FFF2-40B4-BE49-F238E27FC236}">
                <a16:creationId xmlns:a16="http://schemas.microsoft.com/office/drawing/2014/main" id="{7622100E-D3E9-41E1-93D7-D23C95F0CA5B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Conector reto 152">
            <a:extLst>
              <a:ext uri="{FF2B5EF4-FFF2-40B4-BE49-F238E27FC236}">
                <a16:creationId xmlns:a16="http://schemas.microsoft.com/office/drawing/2014/main" id="{A956EDF0-42A9-4960-82A3-8C89FB8D894B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AA5BE67C-A531-49C7-AE5F-C7CD7937F8E3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7BDCB701-7729-4094-8769-AEBA1D50E2FC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8D7A21EA-9DDF-450A-A313-3BD1D9DECB05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4813B092-0B79-4840-A69C-4C19CC80300C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76323BE5-060D-47BE-87CB-B80F6964F21E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2100AC56-E087-48E5-A987-0D07ABD76A50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0" name="Elipse 159">
            <a:extLst>
              <a:ext uri="{FF2B5EF4-FFF2-40B4-BE49-F238E27FC236}">
                <a16:creationId xmlns:a16="http://schemas.microsoft.com/office/drawing/2014/main" id="{C1EEF69D-02D5-4E7E-AF4B-480D09FBCA03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1" name="Elipse 160">
            <a:extLst>
              <a:ext uri="{FF2B5EF4-FFF2-40B4-BE49-F238E27FC236}">
                <a16:creationId xmlns:a16="http://schemas.microsoft.com/office/drawing/2014/main" id="{1C8394F2-4178-45D0-8575-C55211B7611C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" name="Elipse 161">
            <a:extLst>
              <a:ext uri="{FF2B5EF4-FFF2-40B4-BE49-F238E27FC236}">
                <a16:creationId xmlns:a16="http://schemas.microsoft.com/office/drawing/2014/main" id="{8D19B4FC-FDE0-43FD-8E41-4CC6D14B3B86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" name="Elipse 162">
            <a:extLst>
              <a:ext uri="{FF2B5EF4-FFF2-40B4-BE49-F238E27FC236}">
                <a16:creationId xmlns:a16="http://schemas.microsoft.com/office/drawing/2014/main" id="{5AA9E0E5-996B-4578-9057-D0CA8F13C3B0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4" name="Elipse 163">
            <a:extLst>
              <a:ext uri="{FF2B5EF4-FFF2-40B4-BE49-F238E27FC236}">
                <a16:creationId xmlns:a16="http://schemas.microsoft.com/office/drawing/2014/main" id="{0C0D972E-640E-4309-9BBA-4F086EE5AA64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5" name="Elipse 164">
            <a:extLst>
              <a:ext uri="{FF2B5EF4-FFF2-40B4-BE49-F238E27FC236}">
                <a16:creationId xmlns:a16="http://schemas.microsoft.com/office/drawing/2014/main" id="{02F7D40B-6716-4CE0-9916-BE7DCBF1EF22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6" name="Elipse 165">
            <a:extLst>
              <a:ext uri="{FF2B5EF4-FFF2-40B4-BE49-F238E27FC236}">
                <a16:creationId xmlns:a16="http://schemas.microsoft.com/office/drawing/2014/main" id="{169F2CDF-44F6-41D4-943A-9EB043A6A663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" name="Elipse 166">
            <a:extLst>
              <a:ext uri="{FF2B5EF4-FFF2-40B4-BE49-F238E27FC236}">
                <a16:creationId xmlns:a16="http://schemas.microsoft.com/office/drawing/2014/main" id="{EF487819-6209-47F8-80AB-978F4132143D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" name="Elipse 167">
            <a:extLst>
              <a:ext uri="{FF2B5EF4-FFF2-40B4-BE49-F238E27FC236}">
                <a16:creationId xmlns:a16="http://schemas.microsoft.com/office/drawing/2014/main" id="{2FE79BE4-C01B-46A2-B6E2-EA0AEB79C5BD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" name="Elipse 168">
            <a:extLst>
              <a:ext uri="{FF2B5EF4-FFF2-40B4-BE49-F238E27FC236}">
                <a16:creationId xmlns:a16="http://schemas.microsoft.com/office/drawing/2014/main" id="{2EAEABC0-2682-423C-80CA-52F79FB60D4D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" name="Elipse 169">
            <a:extLst>
              <a:ext uri="{FF2B5EF4-FFF2-40B4-BE49-F238E27FC236}">
                <a16:creationId xmlns:a16="http://schemas.microsoft.com/office/drawing/2014/main" id="{1A5E74EA-6B87-425B-8170-94A722D114CD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1" name="Elipse 170">
            <a:extLst>
              <a:ext uri="{FF2B5EF4-FFF2-40B4-BE49-F238E27FC236}">
                <a16:creationId xmlns:a16="http://schemas.microsoft.com/office/drawing/2014/main" id="{0C147C0A-9F06-44E8-89F2-A79E591E7BD9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2" name="Elipse 171">
            <a:extLst>
              <a:ext uri="{FF2B5EF4-FFF2-40B4-BE49-F238E27FC236}">
                <a16:creationId xmlns:a16="http://schemas.microsoft.com/office/drawing/2014/main" id="{9135CD6C-68D8-4B6D-A9D7-2FB8EEFF5BB1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3" name="Elipse 172">
            <a:extLst>
              <a:ext uri="{FF2B5EF4-FFF2-40B4-BE49-F238E27FC236}">
                <a16:creationId xmlns:a16="http://schemas.microsoft.com/office/drawing/2014/main" id="{631F3DDC-E258-4B41-98D3-CF16F1B34312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14</xdr:row>
      <xdr:rowOff>153988</xdr:rowOff>
    </xdr:from>
    <xdr:to>
      <xdr:col>13</xdr:col>
      <xdr:colOff>382626</xdr:colOff>
      <xdr:row>16</xdr:row>
      <xdr:rowOff>152038</xdr:rowOff>
    </xdr:to>
    <xdr:grpSp>
      <xdr:nvGrpSpPr>
        <xdr:cNvPr id="174" name="Agrupar 173">
          <a:extLst>
            <a:ext uri="{FF2B5EF4-FFF2-40B4-BE49-F238E27FC236}">
              <a16:creationId xmlns:a16="http://schemas.microsoft.com/office/drawing/2014/main" id="{8091BBFD-9AEB-418E-8487-64CB45368B35}"/>
            </a:ext>
          </a:extLst>
        </xdr:cNvPr>
        <xdr:cNvGrpSpPr/>
      </xdr:nvGrpSpPr>
      <xdr:grpSpPr>
        <a:xfrm>
          <a:off x="10321908" y="2798576"/>
          <a:ext cx="1793277" cy="423874"/>
          <a:chOff x="7936176" y="1782763"/>
          <a:chExt cx="8293101" cy="2095696"/>
        </a:xfrm>
      </xdr:grpSpPr>
      <xdr:sp macro="" textlink="">
        <xdr:nvSpPr>
          <xdr:cNvPr id="175" name="Elipse 174">
            <a:extLst>
              <a:ext uri="{FF2B5EF4-FFF2-40B4-BE49-F238E27FC236}">
                <a16:creationId xmlns:a16="http://schemas.microsoft.com/office/drawing/2014/main" id="{F5774719-0F55-427E-AEFB-6D00A65561F1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" name="Elipse 175">
            <a:extLst>
              <a:ext uri="{FF2B5EF4-FFF2-40B4-BE49-F238E27FC236}">
                <a16:creationId xmlns:a16="http://schemas.microsoft.com/office/drawing/2014/main" id="{611FBFEC-5DA6-4A3F-BAC5-2317FA6F1450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Elipse 176">
            <a:extLst>
              <a:ext uri="{FF2B5EF4-FFF2-40B4-BE49-F238E27FC236}">
                <a16:creationId xmlns:a16="http://schemas.microsoft.com/office/drawing/2014/main" id="{877308C6-4A2A-46DF-9FEE-257710FAD5D9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" name="Elipse 177">
            <a:extLst>
              <a:ext uri="{FF2B5EF4-FFF2-40B4-BE49-F238E27FC236}">
                <a16:creationId xmlns:a16="http://schemas.microsoft.com/office/drawing/2014/main" id="{A8C61D35-2A0F-46E5-B95A-EA943340581C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9" name="Elipse 178">
            <a:extLst>
              <a:ext uri="{FF2B5EF4-FFF2-40B4-BE49-F238E27FC236}">
                <a16:creationId xmlns:a16="http://schemas.microsoft.com/office/drawing/2014/main" id="{524C1C9C-09D6-4999-B4AD-92B300F0FC39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0" name="Elipse 179">
            <a:extLst>
              <a:ext uri="{FF2B5EF4-FFF2-40B4-BE49-F238E27FC236}">
                <a16:creationId xmlns:a16="http://schemas.microsoft.com/office/drawing/2014/main" id="{490BCF76-2531-4EAB-9A4A-69CB47822CE6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" name="Elipse 180">
            <a:extLst>
              <a:ext uri="{FF2B5EF4-FFF2-40B4-BE49-F238E27FC236}">
                <a16:creationId xmlns:a16="http://schemas.microsoft.com/office/drawing/2014/main" id="{483D89A4-EEC6-4849-8B18-F666AFD6E789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" name="Elipse 181">
            <a:extLst>
              <a:ext uri="{FF2B5EF4-FFF2-40B4-BE49-F238E27FC236}">
                <a16:creationId xmlns:a16="http://schemas.microsoft.com/office/drawing/2014/main" id="{00A8682A-D038-4D72-B5A3-2F43A78E12B2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83" name="Conector reto 182">
            <a:extLst>
              <a:ext uri="{FF2B5EF4-FFF2-40B4-BE49-F238E27FC236}">
                <a16:creationId xmlns:a16="http://schemas.microsoft.com/office/drawing/2014/main" id="{1CB5B3B9-513B-4A96-ABF3-FD7936B4B2E7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Conector reto 183">
            <a:extLst>
              <a:ext uri="{FF2B5EF4-FFF2-40B4-BE49-F238E27FC236}">
                <a16:creationId xmlns:a16="http://schemas.microsoft.com/office/drawing/2014/main" id="{46803AF1-5F4C-44E7-B460-EB61FD90CAA9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Conector reto 184">
            <a:extLst>
              <a:ext uri="{FF2B5EF4-FFF2-40B4-BE49-F238E27FC236}">
                <a16:creationId xmlns:a16="http://schemas.microsoft.com/office/drawing/2014/main" id="{3DDBC5C7-9627-46FE-AE7A-8CFA01275E8B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Conector reto 185">
            <a:extLst>
              <a:ext uri="{FF2B5EF4-FFF2-40B4-BE49-F238E27FC236}">
                <a16:creationId xmlns:a16="http://schemas.microsoft.com/office/drawing/2014/main" id="{9D2753B1-10C1-4702-A82A-4C6A86D72A85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7" name="Conector reto 186">
            <a:extLst>
              <a:ext uri="{FF2B5EF4-FFF2-40B4-BE49-F238E27FC236}">
                <a16:creationId xmlns:a16="http://schemas.microsoft.com/office/drawing/2014/main" id="{44ED6121-6703-4936-9B28-31B83C0AA2A6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Conector reto 187">
            <a:extLst>
              <a:ext uri="{FF2B5EF4-FFF2-40B4-BE49-F238E27FC236}">
                <a16:creationId xmlns:a16="http://schemas.microsoft.com/office/drawing/2014/main" id="{428C1CE5-CFE3-42BB-9E25-CADB702BB134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Conector reto 188">
            <a:extLst>
              <a:ext uri="{FF2B5EF4-FFF2-40B4-BE49-F238E27FC236}">
                <a16:creationId xmlns:a16="http://schemas.microsoft.com/office/drawing/2014/main" id="{139D3AB1-4F38-4024-B367-CAC07F868AC8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Conector reto 189">
            <a:extLst>
              <a:ext uri="{FF2B5EF4-FFF2-40B4-BE49-F238E27FC236}">
                <a16:creationId xmlns:a16="http://schemas.microsoft.com/office/drawing/2014/main" id="{AA87E4C0-598A-4962-B510-44C92F64AEB7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Conector reto 190">
            <a:extLst>
              <a:ext uri="{FF2B5EF4-FFF2-40B4-BE49-F238E27FC236}">
                <a16:creationId xmlns:a16="http://schemas.microsoft.com/office/drawing/2014/main" id="{586DA486-748B-4376-A5F1-DA3829AF4B4E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Conector reto 191">
            <a:extLst>
              <a:ext uri="{FF2B5EF4-FFF2-40B4-BE49-F238E27FC236}">
                <a16:creationId xmlns:a16="http://schemas.microsoft.com/office/drawing/2014/main" id="{B22B8D78-0A74-4861-B090-CE5D8F6EBF24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Conector reto 192">
            <a:extLst>
              <a:ext uri="{FF2B5EF4-FFF2-40B4-BE49-F238E27FC236}">
                <a16:creationId xmlns:a16="http://schemas.microsoft.com/office/drawing/2014/main" id="{78D25ADA-E73B-47D0-8AAA-46127524AC30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4" name="Conector reto 193">
            <a:extLst>
              <a:ext uri="{FF2B5EF4-FFF2-40B4-BE49-F238E27FC236}">
                <a16:creationId xmlns:a16="http://schemas.microsoft.com/office/drawing/2014/main" id="{1F233826-3697-4FA9-8FFE-7A845F265FF6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Conector reto 194">
            <a:extLst>
              <a:ext uri="{FF2B5EF4-FFF2-40B4-BE49-F238E27FC236}">
                <a16:creationId xmlns:a16="http://schemas.microsoft.com/office/drawing/2014/main" id="{220ADFB3-4DB6-4613-9BCC-A5CD273362A8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Conector reto 195">
            <a:extLst>
              <a:ext uri="{FF2B5EF4-FFF2-40B4-BE49-F238E27FC236}">
                <a16:creationId xmlns:a16="http://schemas.microsoft.com/office/drawing/2014/main" id="{572B9E47-B55E-44C3-8EC1-6BBB3046B28B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Conector reto 196">
            <a:extLst>
              <a:ext uri="{FF2B5EF4-FFF2-40B4-BE49-F238E27FC236}">
                <a16:creationId xmlns:a16="http://schemas.microsoft.com/office/drawing/2014/main" id="{FCAF6711-0A8F-4BED-89DC-32B54F763B3E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Conector reto 197">
            <a:extLst>
              <a:ext uri="{FF2B5EF4-FFF2-40B4-BE49-F238E27FC236}">
                <a16:creationId xmlns:a16="http://schemas.microsoft.com/office/drawing/2014/main" id="{196CBA37-0F6E-4B04-A01F-9A51C2C572A4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F1A85C9-B4EF-412C-A8FA-2C7DFD152335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8B3D7D6E-FBF4-4D40-83EA-83BD408C0D51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A1298D64-3510-49DC-A853-03F63D22CFAF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E53DC9EB-8876-4D0B-83A9-C827846517AD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591CA663-5CE0-4C13-B660-78B33E2715CC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F04C9988-8BA0-4B6B-9042-57AC15C3C99F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5" name="Elipse 204">
            <a:extLst>
              <a:ext uri="{FF2B5EF4-FFF2-40B4-BE49-F238E27FC236}">
                <a16:creationId xmlns:a16="http://schemas.microsoft.com/office/drawing/2014/main" id="{DFB341B3-B092-4446-B861-8E3F7EBC38A3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" name="Elipse 205">
            <a:extLst>
              <a:ext uri="{FF2B5EF4-FFF2-40B4-BE49-F238E27FC236}">
                <a16:creationId xmlns:a16="http://schemas.microsoft.com/office/drawing/2014/main" id="{D3A4FE80-1DA9-439A-8C88-D663DFD5516C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" name="Elipse 206">
            <a:extLst>
              <a:ext uri="{FF2B5EF4-FFF2-40B4-BE49-F238E27FC236}">
                <a16:creationId xmlns:a16="http://schemas.microsoft.com/office/drawing/2014/main" id="{0442DDDC-6B1F-4238-B57F-0559BCAC916E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" name="Elipse 207">
            <a:extLst>
              <a:ext uri="{FF2B5EF4-FFF2-40B4-BE49-F238E27FC236}">
                <a16:creationId xmlns:a16="http://schemas.microsoft.com/office/drawing/2014/main" id="{CFEF61C3-6CE9-4C9B-9F1F-BA8991616F2E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9" name="Elipse 208">
            <a:extLst>
              <a:ext uri="{FF2B5EF4-FFF2-40B4-BE49-F238E27FC236}">
                <a16:creationId xmlns:a16="http://schemas.microsoft.com/office/drawing/2014/main" id="{3DAFD477-ACE3-42B8-8758-84EB3244305F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0" name="Elipse 209">
            <a:extLst>
              <a:ext uri="{FF2B5EF4-FFF2-40B4-BE49-F238E27FC236}">
                <a16:creationId xmlns:a16="http://schemas.microsoft.com/office/drawing/2014/main" id="{D68D3908-F682-41DE-864E-8FDDBBD1D9F2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1" name="Elipse 210">
            <a:extLst>
              <a:ext uri="{FF2B5EF4-FFF2-40B4-BE49-F238E27FC236}">
                <a16:creationId xmlns:a16="http://schemas.microsoft.com/office/drawing/2014/main" id="{5FFDB55C-862E-458E-8FED-1F0D253B7936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2" name="Elipse 211">
            <a:extLst>
              <a:ext uri="{FF2B5EF4-FFF2-40B4-BE49-F238E27FC236}">
                <a16:creationId xmlns:a16="http://schemas.microsoft.com/office/drawing/2014/main" id="{0FF547A0-1FB2-4254-BEE9-E9316991656D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3" name="Elipse 212">
            <a:extLst>
              <a:ext uri="{FF2B5EF4-FFF2-40B4-BE49-F238E27FC236}">
                <a16:creationId xmlns:a16="http://schemas.microsoft.com/office/drawing/2014/main" id="{0F1399CF-C434-41FA-A7C2-FCD3F40FBEF6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4" name="Elipse 213">
            <a:extLst>
              <a:ext uri="{FF2B5EF4-FFF2-40B4-BE49-F238E27FC236}">
                <a16:creationId xmlns:a16="http://schemas.microsoft.com/office/drawing/2014/main" id="{3BD92A1D-CC40-49B9-BE6A-8C17094977A2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5" name="Elipse 214">
            <a:extLst>
              <a:ext uri="{FF2B5EF4-FFF2-40B4-BE49-F238E27FC236}">
                <a16:creationId xmlns:a16="http://schemas.microsoft.com/office/drawing/2014/main" id="{B2E35167-83B3-4D03-8DDE-94884F1463C3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6" name="Elipse 215">
            <a:extLst>
              <a:ext uri="{FF2B5EF4-FFF2-40B4-BE49-F238E27FC236}">
                <a16:creationId xmlns:a16="http://schemas.microsoft.com/office/drawing/2014/main" id="{4B862B34-61BC-4856-A317-9846966C3797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7" name="Elipse 216">
            <a:extLst>
              <a:ext uri="{FF2B5EF4-FFF2-40B4-BE49-F238E27FC236}">
                <a16:creationId xmlns:a16="http://schemas.microsoft.com/office/drawing/2014/main" id="{DEA3B195-D453-4401-90F5-9F20BEEE0BBB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8" name="Elipse 217">
            <a:extLst>
              <a:ext uri="{FF2B5EF4-FFF2-40B4-BE49-F238E27FC236}">
                <a16:creationId xmlns:a16="http://schemas.microsoft.com/office/drawing/2014/main" id="{0E35BF1B-A545-4709-97EF-57BBF2343569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9" name="Elipse 218">
            <a:extLst>
              <a:ext uri="{FF2B5EF4-FFF2-40B4-BE49-F238E27FC236}">
                <a16:creationId xmlns:a16="http://schemas.microsoft.com/office/drawing/2014/main" id="{8FD53D88-E371-4F33-B0DB-F9B09756A64A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0" name="Elipse 219">
            <a:extLst>
              <a:ext uri="{FF2B5EF4-FFF2-40B4-BE49-F238E27FC236}">
                <a16:creationId xmlns:a16="http://schemas.microsoft.com/office/drawing/2014/main" id="{F84CA206-7B27-44D0-AF57-5BD85AD92A60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1" name="Elipse 220">
            <a:extLst>
              <a:ext uri="{FF2B5EF4-FFF2-40B4-BE49-F238E27FC236}">
                <a16:creationId xmlns:a16="http://schemas.microsoft.com/office/drawing/2014/main" id="{5DB587F1-2690-413B-A6E2-8B31BCF7CE45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2" name="Elipse 221">
            <a:extLst>
              <a:ext uri="{FF2B5EF4-FFF2-40B4-BE49-F238E27FC236}">
                <a16:creationId xmlns:a16="http://schemas.microsoft.com/office/drawing/2014/main" id="{70ADE988-BDC7-4F83-8A30-E17379F81AE2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3" name="Elipse 222">
            <a:extLst>
              <a:ext uri="{FF2B5EF4-FFF2-40B4-BE49-F238E27FC236}">
                <a16:creationId xmlns:a16="http://schemas.microsoft.com/office/drawing/2014/main" id="{8C3CFFD1-97E5-4BEE-BD76-D46C11887854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4" name="Elipse 223">
            <a:extLst>
              <a:ext uri="{FF2B5EF4-FFF2-40B4-BE49-F238E27FC236}">
                <a16:creationId xmlns:a16="http://schemas.microsoft.com/office/drawing/2014/main" id="{70ADB94A-4163-44AC-89AF-B36F390B2861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630501</xdr:colOff>
      <xdr:row>17</xdr:row>
      <xdr:rowOff>125413</xdr:rowOff>
    </xdr:from>
    <xdr:to>
      <xdr:col>13</xdr:col>
      <xdr:colOff>373101</xdr:colOff>
      <xdr:row>19</xdr:row>
      <xdr:rowOff>123463</xdr:rowOff>
    </xdr:to>
    <xdr:grpSp>
      <xdr:nvGrpSpPr>
        <xdr:cNvPr id="225" name="Agrupar 224">
          <a:extLst>
            <a:ext uri="{FF2B5EF4-FFF2-40B4-BE49-F238E27FC236}">
              <a16:creationId xmlns:a16="http://schemas.microsoft.com/office/drawing/2014/main" id="{D07E37FF-1324-4C79-8673-570923786976}"/>
            </a:ext>
          </a:extLst>
        </xdr:cNvPr>
        <xdr:cNvGrpSpPr/>
      </xdr:nvGrpSpPr>
      <xdr:grpSpPr>
        <a:xfrm>
          <a:off x="10312383" y="3386325"/>
          <a:ext cx="1793277" cy="379050"/>
          <a:chOff x="7936176" y="1782763"/>
          <a:chExt cx="8293101" cy="2095696"/>
        </a:xfrm>
      </xdr:grpSpPr>
      <xdr:sp macro="" textlink="">
        <xdr:nvSpPr>
          <xdr:cNvPr id="226" name="Elipse 225">
            <a:extLst>
              <a:ext uri="{FF2B5EF4-FFF2-40B4-BE49-F238E27FC236}">
                <a16:creationId xmlns:a16="http://schemas.microsoft.com/office/drawing/2014/main" id="{F48338A5-13FE-41A2-9AFF-FC8C3C453164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7" name="Elipse 226">
            <a:extLst>
              <a:ext uri="{FF2B5EF4-FFF2-40B4-BE49-F238E27FC236}">
                <a16:creationId xmlns:a16="http://schemas.microsoft.com/office/drawing/2014/main" id="{193C5164-865C-42A3-8746-5E3321D7E485}"/>
              </a:ext>
            </a:extLst>
          </xdr:cNvPr>
          <xdr:cNvSpPr/>
        </xdr:nvSpPr>
        <xdr:spPr>
          <a:xfrm>
            <a:off x="1001712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8" name="Elipse 227">
            <a:extLst>
              <a:ext uri="{FF2B5EF4-FFF2-40B4-BE49-F238E27FC236}">
                <a16:creationId xmlns:a16="http://schemas.microsoft.com/office/drawing/2014/main" id="{BDEE3BC3-AD71-44B5-B64B-9DFC3039AF35}"/>
              </a:ext>
            </a:extLst>
          </xdr:cNvPr>
          <xdr:cNvSpPr/>
        </xdr:nvSpPr>
        <xdr:spPr>
          <a:xfrm>
            <a:off x="1202690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9" name="Elipse 228">
            <a:extLst>
              <a:ext uri="{FF2B5EF4-FFF2-40B4-BE49-F238E27FC236}">
                <a16:creationId xmlns:a16="http://schemas.microsoft.com/office/drawing/2014/main" id="{C5B40774-FE10-41B8-90FE-A6B76DE4EA0E}"/>
              </a:ext>
            </a:extLst>
          </xdr:cNvPr>
          <xdr:cNvSpPr/>
        </xdr:nvSpPr>
        <xdr:spPr>
          <a:xfrm>
            <a:off x="1403667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0" name="Elipse 229">
            <a:extLst>
              <a:ext uri="{FF2B5EF4-FFF2-40B4-BE49-F238E27FC236}">
                <a16:creationId xmlns:a16="http://schemas.microsoft.com/office/drawing/2014/main" id="{2BC6DE8A-9E12-4305-A668-3BD621777F02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" name="Elipse 230">
            <a:extLst>
              <a:ext uri="{FF2B5EF4-FFF2-40B4-BE49-F238E27FC236}">
                <a16:creationId xmlns:a16="http://schemas.microsoft.com/office/drawing/2014/main" id="{F1BE498B-AC57-48C6-8881-14C290F15CE1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" name="Elipse 231">
            <a:extLst>
              <a:ext uri="{FF2B5EF4-FFF2-40B4-BE49-F238E27FC236}">
                <a16:creationId xmlns:a16="http://schemas.microsoft.com/office/drawing/2014/main" id="{A5AC9268-085E-4E61-9521-FAB22AE4FAB1}"/>
              </a:ext>
            </a:extLst>
          </xdr:cNvPr>
          <xdr:cNvSpPr/>
        </xdr:nvSpPr>
        <xdr:spPr>
          <a:xfrm>
            <a:off x="1001712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3" name="Elipse 232">
            <a:extLst>
              <a:ext uri="{FF2B5EF4-FFF2-40B4-BE49-F238E27FC236}">
                <a16:creationId xmlns:a16="http://schemas.microsoft.com/office/drawing/2014/main" id="{9764CA2D-B83F-434C-B660-E61772A06F7E}"/>
              </a:ext>
            </a:extLst>
          </xdr:cNvPr>
          <xdr:cNvSpPr/>
        </xdr:nvSpPr>
        <xdr:spPr>
          <a:xfrm>
            <a:off x="120269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4" name="Elipse 233">
            <a:extLst>
              <a:ext uri="{FF2B5EF4-FFF2-40B4-BE49-F238E27FC236}">
                <a16:creationId xmlns:a16="http://schemas.microsoft.com/office/drawing/2014/main" id="{A0C47086-6E66-4AA8-95A2-8CBC13287F1D}"/>
              </a:ext>
            </a:extLst>
          </xdr:cNvPr>
          <xdr:cNvSpPr/>
        </xdr:nvSpPr>
        <xdr:spPr>
          <a:xfrm>
            <a:off x="1403667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5" name="Elipse 234">
            <a:extLst>
              <a:ext uri="{FF2B5EF4-FFF2-40B4-BE49-F238E27FC236}">
                <a16:creationId xmlns:a16="http://schemas.microsoft.com/office/drawing/2014/main" id="{10EFA680-973C-4DEE-BA9D-F63963B342AF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36" name="Conector reto 235">
            <a:extLst>
              <a:ext uri="{FF2B5EF4-FFF2-40B4-BE49-F238E27FC236}">
                <a16:creationId xmlns:a16="http://schemas.microsoft.com/office/drawing/2014/main" id="{E53401C5-2462-4C34-BF60-D2BE7EC6FE3E}"/>
              </a:ext>
            </a:extLst>
          </xdr:cNvPr>
          <xdr:cNvCxnSpPr/>
        </xdr:nvCxnSpPr>
        <xdr:spPr>
          <a:xfrm>
            <a:off x="803910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7" name="Conector reto 236">
            <a:extLst>
              <a:ext uri="{FF2B5EF4-FFF2-40B4-BE49-F238E27FC236}">
                <a16:creationId xmlns:a16="http://schemas.microsoft.com/office/drawing/2014/main" id="{98F2B7C2-AE61-435E-B73D-600E323E6F81}"/>
              </a:ext>
            </a:extLst>
          </xdr:cNvPr>
          <xdr:cNvCxnSpPr/>
        </xdr:nvCxnSpPr>
        <xdr:spPr>
          <a:xfrm>
            <a:off x="1004887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Conector reto 237">
            <a:extLst>
              <a:ext uri="{FF2B5EF4-FFF2-40B4-BE49-F238E27FC236}">
                <a16:creationId xmlns:a16="http://schemas.microsoft.com/office/drawing/2014/main" id="{A6CD79FE-06E6-4020-9C83-ECC4BA753EC1}"/>
              </a:ext>
            </a:extLst>
          </xdr:cNvPr>
          <xdr:cNvCxnSpPr/>
        </xdr:nvCxnSpPr>
        <xdr:spPr>
          <a:xfrm>
            <a:off x="1205865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Conector reto 238">
            <a:extLst>
              <a:ext uri="{FF2B5EF4-FFF2-40B4-BE49-F238E27FC236}">
                <a16:creationId xmlns:a16="http://schemas.microsoft.com/office/drawing/2014/main" id="{0EC6F3A8-277E-40B5-9EA8-A77A28A52A18}"/>
              </a:ext>
            </a:extLst>
          </xdr:cNvPr>
          <xdr:cNvCxnSpPr/>
        </xdr:nvCxnSpPr>
        <xdr:spPr>
          <a:xfrm>
            <a:off x="1406842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Conector reto 239">
            <a:extLst>
              <a:ext uri="{FF2B5EF4-FFF2-40B4-BE49-F238E27FC236}">
                <a16:creationId xmlns:a16="http://schemas.microsoft.com/office/drawing/2014/main" id="{BE1E7C6A-6102-42F4-8ECF-80C668345E72}"/>
              </a:ext>
            </a:extLst>
          </xdr:cNvPr>
          <xdr:cNvCxnSpPr/>
        </xdr:nvCxnSpPr>
        <xdr:spPr>
          <a:xfrm>
            <a:off x="803910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1" name="Conector reto 240">
            <a:extLst>
              <a:ext uri="{FF2B5EF4-FFF2-40B4-BE49-F238E27FC236}">
                <a16:creationId xmlns:a16="http://schemas.microsoft.com/office/drawing/2014/main" id="{DD5ADCCC-9B18-4FE2-974E-7EA7A3EEA138}"/>
              </a:ext>
            </a:extLst>
          </xdr:cNvPr>
          <xdr:cNvCxnSpPr/>
        </xdr:nvCxnSpPr>
        <xdr:spPr>
          <a:xfrm>
            <a:off x="1004887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" name="Conector reto 241">
            <a:extLst>
              <a:ext uri="{FF2B5EF4-FFF2-40B4-BE49-F238E27FC236}">
                <a16:creationId xmlns:a16="http://schemas.microsoft.com/office/drawing/2014/main" id="{EE458633-B982-4644-9242-F4BE8F298B9B}"/>
              </a:ext>
            </a:extLst>
          </xdr:cNvPr>
          <xdr:cNvCxnSpPr/>
        </xdr:nvCxnSpPr>
        <xdr:spPr>
          <a:xfrm>
            <a:off x="1205865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Conector reto 242">
            <a:extLst>
              <a:ext uri="{FF2B5EF4-FFF2-40B4-BE49-F238E27FC236}">
                <a16:creationId xmlns:a16="http://schemas.microsoft.com/office/drawing/2014/main" id="{BA5E865E-AAC3-41C5-B622-10612F1AB0F0}"/>
              </a:ext>
            </a:extLst>
          </xdr:cNvPr>
          <xdr:cNvCxnSpPr/>
        </xdr:nvCxnSpPr>
        <xdr:spPr>
          <a:xfrm>
            <a:off x="1406842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4" name="Conector reto 243">
            <a:extLst>
              <a:ext uri="{FF2B5EF4-FFF2-40B4-BE49-F238E27FC236}">
                <a16:creationId xmlns:a16="http://schemas.microsoft.com/office/drawing/2014/main" id="{BE7A96B5-1E46-481C-A41F-340D7D3383F3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" name="Conector reto 244">
            <a:extLst>
              <a:ext uri="{FF2B5EF4-FFF2-40B4-BE49-F238E27FC236}">
                <a16:creationId xmlns:a16="http://schemas.microsoft.com/office/drawing/2014/main" id="{A3FB4836-123B-4FB4-A78F-08B5C0D7DBE0}"/>
              </a:ext>
            </a:extLst>
          </xdr:cNvPr>
          <xdr:cNvCxnSpPr/>
        </xdr:nvCxnSpPr>
        <xdr:spPr>
          <a:xfrm flipV="1">
            <a:off x="1004887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" name="Conector reto 245">
            <a:extLst>
              <a:ext uri="{FF2B5EF4-FFF2-40B4-BE49-F238E27FC236}">
                <a16:creationId xmlns:a16="http://schemas.microsoft.com/office/drawing/2014/main" id="{D66352BD-ECA6-4C3A-939E-16EF8B30E7E4}"/>
              </a:ext>
            </a:extLst>
          </xdr:cNvPr>
          <xdr:cNvCxnSpPr/>
        </xdr:nvCxnSpPr>
        <xdr:spPr>
          <a:xfrm flipV="1">
            <a:off x="1205865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" name="Conector reto 246">
            <a:extLst>
              <a:ext uri="{FF2B5EF4-FFF2-40B4-BE49-F238E27FC236}">
                <a16:creationId xmlns:a16="http://schemas.microsoft.com/office/drawing/2014/main" id="{2B6A0314-B114-45A6-8CCE-C2EF29591084}"/>
              </a:ext>
            </a:extLst>
          </xdr:cNvPr>
          <xdr:cNvCxnSpPr/>
        </xdr:nvCxnSpPr>
        <xdr:spPr>
          <a:xfrm flipV="1">
            <a:off x="1406842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8" name="Conector reto 247">
            <a:extLst>
              <a:ext uri="{FF2B5EF4-FFF2-40B4-BE49-F238E27FC236}">
                <a16:creationId xmlns:a16="http://schemas.microsoft.com/office/drawing/2014/main" id="{67DA3032-EC4D-42F5-A1B7-B7135BC38B9F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Conector reto 248">
            <a:extLst>
              <a:ext uri="{FF2B5EF4-FFF2-40B4-BE49-F238E27FC236}">
                <a16:creationId xmlns:a16="http://schemas.microsoft.com/office/drawing/2014/main" id="{A8282F09-121D-45B8-868B-E6A5C019B229}"/>
              </a:ext>
            </a:extLst>
          </xdr:cNvPr>
          <xdr:cNvCxnSpPr/>
        </xdr:nvCxnSpPr>
        <xdr:spPr>
          <a:xfrm flipV="1">
            <a:off x="803910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" name="Conector reto 249">
            <a:extLst>
              <a:ext uri="{FF2B5EF4-FFF2-40B4-BE49-F238E27FC236}">
                <a16:creationId xmlns:a16="http://schemas.microsoft.com/office/drawing/2014/main" id="{9E27987C-3D38-49B1-B8B9-D1986D05F7C3}"/>
              </a:ext>
            </a:extLst>
          </xdr:cNvPr>
          <xdr:cNvCxnSpPr/>
        </xdr:nvCxnSpPr>
        <xdr:spPr>
          <a:xfrm flipV="1">
            <a:off x="1004887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Conector reto 250">
            <a:extLst>
              <a:ext uri="{FF2B5EF4-FFF2-40B4-BE49-F238E27FC236}">
                <a16:creationId xmlns:a16="http://schemas.microsoft.com/office/drawing/2014/main" id="{525E81F3-B290-407A-AC60-8D6C2C22E68B}"/>
              </a:ext>
            </a:extLst>
          </xdr:cNvPr>
          <xdr:cNvCxnSpPr/>
        </xdr:nvCxnSpPr>
        <xdr:spPr>
          <a:xfrm>
            <a:off x="1205865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Conector reto 251">
            <a:extLst>
              <a:ext uri="{FF2B5EF4-FFF2-40B4-BE49-F238E27FC236}">
                <a16:creationId xmlns:a16="http://schemas.microsoft.com/office/drawing/2014/main" id="{735F85A0-4651-40A6-9D0C-EAC4050496D3}"/>
              </a:ext>
            </a:extLst>
          </xdr:cNvPr>
          <xdr:cNvCxnSpPr/>
        </xdr:nvCxnSpPr>
        <xdr:spPr>
          <a:xfrm>
            <a:off x="1406842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AE3818FE-ABB6-436E-AA6F-40F6741A5ABB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49E72E10-C4B9-4397-8EB9-AB1726BFFB1F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37B0955C-10D4-44C3-A187-8AAA6AEDF3EA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C90C689F-6F59-40B8-A0C6-A1491DA5AA1A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E06DCFA7-E49C-4679-BA67-812F46E6F75F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C68463D0-06FD-4513-8D53-1B193CB046AD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9" name="Elipse 258">
            <a:extLst>
              <a:ext uri="{FF2B5EF4-FFF2-40B4-BE49-F238E27FC236}">
                <a16:creationId xmlns:a16="http://schemas.microsoft.com/office/drawing/2014/main" id="{A1AADDC4-C25D-4BA0-934C-9B4F6C832CD7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0" name="Elipse 259">
            <a:extLst>
              <a:ext uri="{FF2B5EF4-FFF2-40B4-BE49-F238E27FC236}">
                <a16:creationId xmlns:a16="http://schemas.microsoft.com/office/drawing/2014/main" id="{A752FE59-4B75-4AA9-A2D0-434587C025CB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1" name="Elipse 260">
            <a:extLst>
              <a:ext uri="{FF2B5EF4-FFF2-40B4-BE49-F238E27FC236}">
                <a16:creationId xmlns:a16="http://schemas.microsoft.com/office/drawing/2014/main" id="{FFE5A79D-9D3A-46D2-AF05-760944A2BF0F}"/>
              </a:ext>
            </a:extLst>
          </xdr:cNvPr>
          <xdr:cNvSpPr/>
        </xdr:nvSpPr>
        <xdr:spPr>
          <a:xfrm>
            <a:off x="1001712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2" name="Elipse 261">
            <a:extLst>
              <a:ext uri="{FF2B5EF4-FFF2-40B4-BE49-F238E27FC236}">
                <a16:creationId xmlns:a16="http://schemas.microsoft.com/office/drawing/2014/main" id="{ECD8921E-6FAC-414E-8A07-7444F391662A}"/>
              </a:ext>
            </a:extLst>
          </xdr:cNvPr>
          <xdr:cNvSpPr/>
        </xdr:nvSpPr>
        <xdr:spPr>
          <a:xfrm>
            <a:off x="1001712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3" name="Elipse 262">
            <a:extLst>
              <a:ext uri="{FF2B5EF4-FFF2-40B4-BE49-F238E27FC236}">
                <a16:creationId xmlns:a16="http://schemas.microsoft.com/office/drawing/2014/main" id="{74C8940B-B9A1-4E95-9EC3-96C6235C9F89}"/>
              </a:ext>
            </a:extLst>
          </xdr:cNvPr>
          <xdr:cNvSpPr/>
        </xdr:nvSpPr>
        <xdr:spPr>
          <a:xfrm>
            <a:off x="1202690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4" name="Elipse 263">
            <a:extLst>
              <a:ext uri="{FF2B5EF4-FFF2-40B4-BE49-F238E27FC236}">
                <a16:creationId xmlns:a16="http://schemas.microsoft.com/office/drawing/2014/main" id="{309A9041-70F5-48B2-96BD-C3989C47942C}"/>
              </a:ext>
            </a:extLst>
          </xdr:cNvPr>
          <xdr:cNvSpPr/>
        </xdr:nvSpPr>
        <xdr:spPr>
          <a:xfrm>
            <a:off x="120269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5" name="Elipse 264">
            <a:extLst>
              <a:ext uri="{FF2B5EF4-FFF2-40B4-BE49-F238E27FC236}">
                <a16:creationId xmlns:a16="http://schemas.microsoft.com/office/drawing/2014/main" id="{3964D631-21B1-44A0-8979-85BE223D50F8}"/>
              </a:ext>
            </a:extLst>
          </xdr:cNvPr>
          <xdr:cNvSpPr/>
        </xdr:nvSpPr>
        <xdr:spPr>
          <a:xfrm>
            <a:off x="1403667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6" name="Elipse 265">
            <a:extLst>
              <a:ext uri="{FF2B5EF4-FFF2-40B4-BE49-F238E27FC236}">
                <a16:creationId xmlns:a16="http://schemas.microsoft.com/office/drawing/2014/main" id="{E1CCFDEC-936B-41F6-8E20-D6474FF51694}"/>
              </a:ext>
            </a:extLst>
          </xdr:cNvPr>
          <xdr:cNvSpPr/>
        </xdr:nvSpPr>
        <xdr:spPr>
          <a:xfrm>
            <a:off x="1403667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7" name="Elipse 266">
            <a:extLst>
              <a:ext uri="{FF2B5EF4-FFF2-40B4-BE49-F238E27FC236}">
                <a16:creationId xmlns:a16="http://schemas.microsoft.com/office/drawing/2014/main" id="{902059C4-A294-4516-851E-905AF071135F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8" name="Elipse 267">
            <a:extLst>
              <a:ext uri="{FF2B5EF4-FFF2-40B4-BE49-F238E27FC236}">
                <a16:creationId xmlns:a16="http://schemas.microsoft.com/office/drawing/2014/main" id="{28C85969-5C5C-4FC1-86B3-180CB65130D2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9" name="Elipse 268">
            <a:extLst>
              <a:ext uri="{FF2B5EF4-FFF2-40B4-BE49-F238E27FC236}">
                <a16:creationId xmlns:a16="http://schemas.microsoft.com/office/drawing/2014/main" id="{F4A76AF3-CFB2-42C0-86D1-185A0EE42413}"/>
              </a:ext>
            </a:extLst>
          </xdr:cNvPr>
          <xdr:cNvSpPr/>
        </xdr:nvSpPr>
        <xdr:spPr>
          <a:xfrm>
            <a:off x="8052251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0" name="Elipse 269">
            <a:extLst>
              <a:ext uri="{FF2B5EF4-FFF2-40B4-BE49-F238E27FC236}">
                <a16:creationId xmlns:a16="http://schemas.microsoft.com/office/drawing/2014/main" id="{F092F0C1-E15A-4192-8E42-F40F67B726EF}"/>
              </a:ext>
            </a:extLst>
          </xdr:cNvPr>
          <xdr:cNvSpPr/>
        </xdr:nvSpPr>
        <xdr:spPr>
          <a:xfrm>
            <a:off x="9972224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1" name="Elipse 270">
            <a:extLst>
              <a:ext uri="{FF2B5EF4-FFF2-40B4-BE49-F238E27FC236}">
                <a16:creationId xmlns:a16="http://schemas.microsoft.com/office/drawing/2014/main" id="{30927F51-721C-4C6B-96DA-AD9EEE36FC5D}"/>
              </a:ext>
            </a:extLst>
          </xdr:cNvPr>
          <xdr:cNvSpPr/>
        </xdr:nvSpPr>
        <xdr:spPr>
          <a:xfrm>
            <a:off x="10062026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2" name="Elipse 271">
            <a:extLst>
              <a:ext uri="{FF2B5EF4-FFF2-40B4-BE49-F238E27FC236}">
                <a16:creationId xmlns:a16="http://schemas.microsoft.com/office/drawing/2014/main" id="{19375BEB-E1D0-490A-AD5C-D06671CD806F}"/>
              </a:ext>
            </a:extLst>
          </xdr:cNvPr>
          <xdr:cNvSpPr/>
        </xdr:nvSpPr>
        <xdr:spPr>
          <a:xfrm>
            <a:off x="11981999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3" name="Elipse 272">
            <a:extLst>
              <a:ext uri="{FF2B5EF4-FFF2-40B4-BE49-F238E27FC236}">
                <a16:creationId xmlns:a16="http://schemas.microsoft.com/office/drawing/2014/main" id="{DA80F94E-672B-4E5C-9281-C9822757D5D0}"/>
              </a:ext>
            </a:extLst>
          </xdr:cNvPr>
          <xdr:cNvSpPr/>
        </xdr:nvSpPr>
        <xdr:spPr>
          <a:xfrm>
            <a:off x="12071801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4" name="Elipse 273">
            <a:extLst>
              <a:ext uri="{FF2B5EF4-FFF2-40B4-BE49-F238E27FC236}">
                <a16:creationId xmlns:a16="http://schemas.microsoft.com/office/drawing/2014/main" id="{41C17368-BED3-4F53-A1D3-6B6F39E0E110}"/>
              </a:ext>
            </a:extLst>
          </xdr:cNvPr>
          <xdr:cNvSpPr/>
        </xdr:nvSpPr>
        <xdr:spPr>
          <a:xfrm>
            <a:off x="13991774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5" name="Elipse 274">
            <a:extLst>
              <a:ext uri="{FF2B5EF4-FFF2-40B4-BE49-F238E27FC236}">
                <a16:creationId xmlns:a16="http://schemas.microsoft.com/office/drawing/2014/main" id="{F9F2DBBB-7C93-4475-904A-A766450B1B60}"/>
              </a:ext>
            </a:extLst>
          </xdr:cNvPr>
          <xdr:cNvSpPr/>
        </xdr:nvSpPr>
        <xdr:spPr>
          <a:xfrm>
            <a:off x="14081576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6" name="Elipse 275">
            <a:extLst>
              <a:ext uri="{FF2B5EF4-FFF2-40B4-BE49-F238E27FC236}">
                <a16:creationId xmlns:a16="http://schemas.microsoft.com/office/drawing/2014/main" id="{E69D01ED-74AB-4B2A-90D1-1FCB52A41336}"/>
              </a:ext>
            </a:extLst>
          </xdr:cNvPr>
          <xdr:cNvSpPr/>
        </xdr:nvSpPr>
        <xdr:spPr>
          <a:xfrm>
            <a:off x="16001549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20</xdr:row>
      <xdr:rowOff>106363</xdr:rowOff>
    </xdr:from>
    <xdr:to>
      <xdr:col>13</xdr:col>
      <xdr:colOff>382626</xdr:colOff>
      <xdr:row>22</xdr:row>
      <xdr:rowOff>104413</xdr:rowOff>
    </xdr:to>
    <xdr:grpSp>
      <xdr:nvGrpSpPr>
        <xdr:cNvPr id="277" name="Agrupar 276">
          <a:extLst>
            <a:ext uri="{FF2B5EF4-FFF2-40B4-BE49-F238E27FC236}">
              <a16:creationId xmlns:a16="http://schemas.microsoft.com/office/drawing/2014/main" id="{A51927E3-7CB0-4C95-A1CF-E196CC926B9B}"/>
            </a:ext>
          </a:extLst>
        </xdr:cNvPr>
        <xdr:cNvGrpSpPr/>
      </xdr:nvGrpSpPr>
      <xdr:grpSpPr>
        <a:xfrm>
          <a:off x="10321908" y="3994804"/>
          <a:ext cx="1793277" cy="356638"/>
          <a:chOff x="7936176" y="1782763"/>
          <a:chExt cx="8293101" cy="2095696"/>
        </a:xfrm>
      </xdr:grpSpPr>
      <xdr:sp macro="" textlink="">
        <xdr:nvSpPr>
          <xdr:cNvPr id="278" name="Elipse 277">
            <a:extLst>
              <a:ext uri="{FF2B5EF4-FFF2-40B4-BE49-F238E27FC236}">
                <a16:creationId xmlns:a16="http://schemas.microsoft.com/office/drawing/2014/main" id="{A7A8074E-C4DE-4680-B0D9-B06A91D04C38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9" name="Elipse 278">
            <a:extLst>
              <a:ext uri="{FF2B5EF4-FFF2-40B4-BE49-F238E27FC236}">
                <a16:creationId xmlns:a16="http://schemas.microsoft.com/office/drawing/2014/main" id="{61DD40DB-7E96-4DAF-A052-157D384BBE11}"/>
              </a:ext>
            </a:extLst>
          </xdr:cNvPr>
          <xdr:cNvSpPr/>
        </xdr:nvSpPr>
        <xdr:spPr>
          <a:xfrm>
            <a:off x="1001712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0" name="Elipse 279">
            <a:extLst>
              <a:ext uri="{FF2B5EF4-FFF2-40B4-BE49-F238E27FC236}">
                <a16:creationId xmlns:a16="http://schemas.microsoft.com/office/drawing/2014/main" id="{55397118-4B20-42BF-8BF7-4FCC63CDF64D}"/>
              </a:ext>
            </a:extLst>
          </xdr:cNvPr>
          <xdr:cNvSpPr/>
        </xdr:nvSpPr>
        <xdr:spPr>
          <a:xfrm>
            <a:off x="1202690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1" name="Elipse 280">
            <a:extLst>
              <a:ext uri="{FF2B5EF4-FFF2-40B4-BE49-F238E27FC236}">
                <a16:creationId xmlns:a16="http://schemas.microsoft.com/office/drawing/2014/main" id="{17014812-091B-4F9B-A427-77BA843B332E}"/>
              </a:ext>
            </a:extLst>
          </xdr:cNvPr>
          <xdr:cNvSpPr/>
        </xdr:nvSpPr>
        <xdr:spPr>
          <a:xfrm>
            <a:off x="1403667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2" name="Elipse 281">
            <a:extLst>
              <a:ext uri="{FF2B5EF4-FFF2-40B4-BE49-F238E27FC236}">
                <a16:creationId xmlns:a16="http://schemas.microsoft.com/office/drawing/2014/main" id="{53CF2ABF-AA29-4248-8144-D5D74BB017F1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3" name="Elipse 282">
            <a:extLst>
              <a:ext uri="{FF2B5EF4-FFF2-40B4-BE49-F238E27FC236}">
                <a16:creationId xmlns:a16="http://schemas.microsoft.com/office/drawing/2014/main" id="{F895DD29-9F15-42C2-A1E4-049B34E5947A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4" name="Elipse 283">
            <a:extLst>
              <a:ext uri="{FF2B5EF4-FFF2-40B4-BE49-F238E27FC236}">
                <a16:creationId xmlns:a16="http://schemas.microsoft.com/office/drawing/2014/main" id="{EA0395CA-BBBE-4F4B-88AA-42AB27883FEB}"/>
              </a:ext>
            </a:extLst>
          </xdr:cNvPr>
          <xdr:cNvSpPr/>
        </xdr:nvSpPr>
        <xdr:spPr>
          <a:xfrm>
            <a:off x="1001712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5" name="Elipse 284">
            <a:extLst>
              <a:ext uri="{FF2B5EF4-FFF2-40B4-BE49-F238E27FC236}">
                <a16:creationId xmlns:a16="http://schemas.microsoft.com/office/drawing/2014/main" id="{43BD9374-D15C-41A2-809C-F63005F6C097}"/>
              </a:ext>
            </a:extLst>
          </xdr:cNvPr>
          <xdr:cNvSpPr/>
        </xdr:nvSpPr>
        <xdr:spPr>
          <a:xfrm>
            <a:off x="120269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6" name="Elipse 285">
            <a:extLst>
              <a:ext uri="{FF2B5EF4-FFF2-40B4-BE49-F238E27FC236}">
                <a16:creationId xmlns:a16="http://schemas.microsoft.com/office/drawing/2014/main" id="{7BFAA9F0-074E-48E9-80AE-D5BEE149272C}"/>
              </a:ext>
            </a:extLst>
          </xdr:cNvPr>
          <xdr:cNvSpPr/>
        </xdr:nvSpPr>
        <xdr:spPr>
          <a:xfrm>
            <a:off x="1403667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7" name="Elipse 286">
            <a:extLst>
              <a:ext uri="{FF2B5EF4-FFF2-40B4-BE49-F238E27FC236}">
                <a16:creationId xmlns:a16="http://schemas.microsoft.com/office/drawing/2014/main" id="{A8196033-EFBC-4759-AB21-54CAD6A86948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88" name="Conector reto 287">
            <a:extLst>
              <a:ext uri="{FF2B5EF4-FFF2-40B4-BE49-F238E27FC236}">
                <a16:creationId xmlns:a16="http://schemas.microsoft.com/office/drawing/2014/main" id="{8C1B44B3-6B96-4F7C-87C4-2C82B63B59C4}"/>
              </a:ext>
            </a:extLst>
          </xdr:cNvPr>
          <xdr:cNvCxnSpPr/>
        </xdr:nvCxnSpPr>
        <xdr:spPr>
          <a:xfrm>
            <a:off x="803910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Conector reto 288">
            <a:extLst>
              <a:ext uri="{FF2B5EF4-FFF2-40B4-BE49-F238E27FC236}">
                <a16:creationId xmlns:a16="http://schemas.microsoft.com/office/drawing/2014/main" id="{64618A1C-306F-41E1-B9EE-4DDEBD7643F0}"/>
              </a:ext>
            </a:extLst>
          </xdr:cNvPr>
          <xdr:cNvCxnSpPr/>
        </xdr:nvCxnSpPr>
        <xdr:spPr>
          <a:xfrm>
            <a:off x="1004887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Conector reto 289">
            <a:extLst>
              <a:ext uri="{FF2B5EF4-FFF2-40B4-BE49-F238E27FC236}">
                <a16:creationId xmlns:a16="http://schemas.microsoft.com/office/drawing/2014/main" id="{00272B84-BAAD-4259-8B23-6F07F84B13DB}"/>
              </a:ext>
            </a:extLst>
          </xdr:cNvPr>
          <xdr:cNvCxnSpPr/>
        </xdr:nvCxnSpPr>
        <xdr:spPr>
          <a:xfrm>
            <a:off x="1205865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Conector reto 290">
            <a:extLst>
              <a:ext uri="{FF2B5EF4-FFF2-40B4-BE49-F238E27FC236}">
                <a16:creationId xmlns:a16="http://schemas.microsoft.com/office/drawing/2014/main" id="{8BF32981-E5AF-4F2E-9D9A-A5F4586B23F3}"/>
              </a:ext>
            </a:extLst>
          </xdr:cNvPr>
          <xdr:cNvCxnSpPr/>
        </xdr:nvCxnSpPr>
        <xdr:spPr>
          <a:xfrm>
            <a:off x="1406842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Conector reto 291">
            <a:extLst>
              <a:ext uri="{FF2B5EF4-FFF2-40B4-BE49-F238E27FC236}">
                <a16:creationId xmlns:a16="http://schemas.microsoft.com/office/drawing/2014/main" id="{880136B9-D0CF-4E42-8D82-180B4B8397FE}"/>
              </a:ext>
            </a:extLst>
          </xdr:cNvPr>
          <xdr:cNvCxnSpPr/>
        </xdr:nvCxnSpPr>
        <xdr:spPr>
          <a:xfrm>
            <a:off x="803910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Conector reto 292">
            <a:extLst>
              <a:ext uri="{FF2B5EF4-FFF2-40B4-BE49-F238E27FC236}">
                <a16:creationId xmlns:a16="http://schemas.microsoft.com/office/drawing/2014/main" id="{C02DECDB-3302-4C0E-8E89-241CACD83445}"/>
              </a:ext>
            </a:extLst>
          </xdr:cNvPr>
          <xdr:cNvCxnSpPr/>
        </xdr:nvCxnSpPr>
        <xdr:spPr>
          <a:xfrm>
            <a:off x="1004887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Conector reto 293">
            <a:extLst>
              <a:ext uri="{FF2B5EF4-FFF2-40B4-BE49-F238E27FC236}">
                <a16:creationId xmlns:a16="http://schemas.microsoft.com/office/drawing/2014/main" id="{1402241F-E059-4F88-A9B6-74DD9AF74203}"/>
              </a:ext>
            </a:extLst>
          </xdr:cNvPr>
          <xdr:cNvCxnSpPr/>
        </xdr:nvCxnSpPr>
        <xdr:spPr>
          <a:xfrm>
            <a:off x="1205865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Conector reto 294">
            <a:extLst>
              <a:ext uri="{FF2B5EF4-FFF2-40B4-BE49-F238E27FC236}">
                <a16:creationId xmlns:a16="http://schemas.microsoft.com/office/drawing/2014/main" id="{66CE7DF4-7510-4DCC-AF95-07036A377895}"/>
              </a:ext>
            </a:extLst>
          </xdr:cNvPr>
          <xdr:cNvCxnSpPr/>
        </xdr:nvCxnSpPr>
        <xdr:spPr>
          <a:xfrm>
            <a:off x="1406842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Conector reto 295">
            <a:extLst>
              <a:ext uri="{FF2B5EF4-FFF2-40B4-BE49-F238E27FC236}">
                <a16:creationId xmlns:a16="http://schemas.microsoft.com/office/drawing/2014/main" id="{79BF34C6-2820-4B27-9094-B3B357048E7D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7" name="Conector reto 296">
            <a:extLst>
              <a:ext uri="{FF2B5EF4-FFF2-40B4-BE49-F238E27FC236}">
                <a16:creationId xmlns:a16="http://schemas.microsoft.com/office/drawing/2014/main" id="{449C68C6-591D-4B76-B57C-CD01DC52C6EF}"/>
              </a:ext>
            </a:extLst>
          </xdr:cNvPr>
          <xdr:cNvCxnSpPr/>
        </xdr:nvCxnSpPr>
        <xdr:spPr>
          <a:xfrm flipV="1">
            <a:off x="1004887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8" name="Conector reto 297">
            <a:extLst>
              <a:ext uri="{FF2B5EF4-FFF2-40B4-BE49-F238E27FC236}">
                <a16:creationId xmlns:a16="http://schemas.microsoft.com/office/drawing/2014/main" id="{96C33740-EFC5-4D4F-9167-0CB311FC92BE}"/>
              </a:ext>
            </a:extLst>
          </xdr:cNvPr>
          <xdr:cNvCxnSpPr/>
        </xdr:nvCxnSpPr>
        <xdr:spPr>
          <a:xfrm flipV="1">
            <a:off x="1205865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Conector reto 298">
            <a:extLst>
              <a:ext uri="{FF2B5EF4-FFF2-40B4-BE49-F238E27FC236}">
                <a16:creationId xmlns:a16="http://schemas.microsoft.com/office/drawing/2014/main" id="{FEA55C01-9939-44A4-96FC-CA806865621C}"/>
              </a:ext>
            </a:extLst>
          </xdr:cNvPr>
          <xdr:cNvCxnSpPr/>
        </xdr:nvCxnSpPr>
        <xdr:spPr>
          <a:xfrm flipV="1">
            <a:off x="1406842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Conector reto 299">
            <a:extLst>
              <a:ext uri="{FF2B5EF4-FFF2-40B4-BE49-F238E27FC236}">
                <a16:creationId xmlns:a16="http://schemas.microsoft.com/office/drawing/2014/main" id="{B5BA8136-11FF-4CC8-8432-A9041F1909B0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Conector reto 300">
            <a:extLst>
              <a:ext uri="{FF2B5EF4-FFF2-40B4-BE49-F238E27FC236}">
                <a16:creationId xmlns:a16="http://schemas.microsoft.com/office/drawing/2014/main" id="{9F4DBDA1-4143-49B1-B488-936C392E3FB1}"/>
              </a:ext>
            </a:extLst>
          </xdr:cNvPr>
          <xdr:cNvCxnSpPr/>
        </xdr:nvCxnSpPr>
        <xdr:spPr>
          <a:xfrm>
            <a:off x="803910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Conector reto 301">
            <a:extLst>
              <a:ext uri="{FF2B5EF4-FFF2-40B4-BE49-F238E27FC236}">
                <a16:creationId xmlns:a16="http://schemas.microsoft.com/office/drawing/2014/main" id="{2B6EC45C-4B83-4CC3-8DC5-8F28B33FAE0D}"/>
              </a:ext>
            </a:extLst>
          </xdr:cNvPr>
          <xdr:cNvCxnSpPr/>
        </xdr:nvCxnSpPr>
        <xdr:spPr>
          <a:xfrm>
            <a:off x="1004887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3" name="Conector reto 302">
            <a:extLst>
              <a:ext uri="{FF2B5EF4-FFF2-40B4-BE49-F238E27FC236}">
                <a16:creationId xmlns:a16="http://schemas.microsoft.com/office/drawing/2014/main" id="{97495BB8-DE42-45E1-AEBC-A48A22953B3A}"/>
              </a:ext>
            </a:extLst>
          </xdr:cNvPr>
          <xdr:cNvCxnSpPr/>
        </xdr:nvCxnSpPr>
        <xdr:spPr>
          <a:xfrm flipV="1">
            <a:off x="1205865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Conector reto 303">
            <a:extLst>
              <a:ext uri="{FF2B5EF4-FFF2-40B4-BE49-F238E27FC236}">
                <a16:creationId xmlns:a16="http://schemas.microsoft.com/office/drawing/2014/main" id="{07F2AD6C-7175-45E4-A157-914DBDA23A56}"/>
              </a:ext>
            </a:extLst>
          </xdr:cNvPr>
          <xdr:cNvCxnSpPr/>
        </xdr:nvCxnSpPr>
        <xdr:spPr>
          <a:xfrm flipV="1">
            <a:off x="1406842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5" name="Forma Livre: Forma 304">
            <a:extLst>
              <a:ext uri="{FF2B5EF4-FFF2-40B4-BE49-F238E27FC236}">
                <a16:creationId xmlns:a16="http://schemas.microsoft.com/office/drawing/2014/main" id="{E58ED5B3-32A1-4120-B6C0-6F5F8B47ED73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6" name="Forma Livre: Forma 305">
            <a:extLst>
              <a:ext uri="{FF2B5EF4-FFF2-40B4-BE49-F238E27FC236}">
                <a16:creationId xmlns:a16="http://schemas.microsoft.com/office/drawing/2014/main" id="{8AE4A083-8F3F-426E-9B6F-4C7905C31F32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7" name="Forma Livre: Forma 306">
            <a:extLst>
              <a:ext uri="{FF2B5EF4-FFF2-40B4-BE49-F238E27FC236}">
                <a16:creationId xmlns:a16="http://schemas.microsoft.com/office/drawing/2014/main" id="{49A797C3-57A2-445B-8B13-0254661AF97C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8" name="Forma Livre: Forma 307">
            <a:extLst>
              <a:ext uri="{FF2B5EF4-FFF2-40B4-BE49-F238E27FC236}">
                <a16:creationId xmlns:a16="http://schemas.microsoft.com/office/drawing/2014/main" id="{04829141-7538-4828-8D97-E87E9122E210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9" name="Forma Livre: Forma 308">
            <a:extLst>
              <a:ext uri="{FF2B5EF4-FFF2-40B4-BE49-F238E27FC236}">
                <a16:creationId xmlns:a16="http://schemas.microsoft.com/office/drawing/2014/main" id="{F57BB864-8B49-4BA7-824E-0E2FD15E90B6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0" name="Forma Livre: Forma 309">
            <a:extLst>
              <a:ext uri="{FF2B5EF4-FFF2-40B4-BE49-F238E27FC236}">
                <a16:creationId xmlns:a16="http://schemas.microsoft.com/office/drawing/2014/main" id="{3B746C21-E0BB-4711-AC22-7D0C5D5ED526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1" name="Elipse 310">
            <a:extLst>
              <a:ext uri="{FF2B5EF4-FFF2-40B4-BE49-F238E27FC236}">
                <a16:creationId xmlns:a16="http://schemas.microsoft.com/office/drawing/2014/main" id="{679C204F-D4C4-4D31-A57B-6985C77E09ED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2" name="Elipse 311">
            <a:extLst>
              <a:ext uri="{FF2B5EF4-FFF2-40B4-BE49-F238E27FC236}">
                <a16:creationId xmlns:a16="http://schemas.microsoft.com/office/drawing/2014/main" id="{2DCD28C3-3A10-4AFB-9420-A7D6CAB29343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3" name="Elipse 312">
            <a:extLst>
              <a:ext uri="{FF2B5EF4-FFF2-40B4-BE49-F238E27FC236}">
                <a16:creationId xmlns:a16="http://schemas.microsoft.com/office/drawing/2014/main" id="{1DB794D8-C852-4813-BB88-3D7DEA6C3629}"/>
              </a:ext>
            </a:extLst>
          </xdr:cNvPr>
          <xdr:cNvSpPr/>
        </xdr:nvSpPr>
        <xdr:spPr>
          <a:xfrm>
            <a:off x="1001712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4" name="Elipse 313">
            <a:extLst>
              <a:ext uri="{FF2B5EF4-FFF2-40B4-BE49-F238E27FC236}">
                <a16:creationId xmlns:a16="http://schemas.microsoft.com/office/drawing/2014/main" id="{9D3BE6A1-813F-48AB-A5D7-FCF742CFA437}"/>
              </a:ext>
            </a:extLst>
          </xdr:cNvPr>
          <xdr:cNvSpPr/>
        </xdr:nvSpPr>
        <xdr:spPr>
          <a:xfrm>
            <a:off x="1001712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5" name="Elipse 314">
            <a:extLst>
              <a:ext uri="{FF2B5EF4-FFF2-40B4-BE49-F238E27FC236}">
                <a16:creationId xmlns:a16="http://schemas.microsoft.com/office/drawing/2014/main" id="{A5ED3C24-ADD5-40B5-B9CD-31D0F41D6726}"/>
              </a:ext>
            </a:extLst>
          </xdr:cNvPr>
          <xdr:cNvSpPr/>
        </xdr:nvSpPr>
        <xdr:spPr>
          <a:xfrm>
            <a:off x="1202690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6" name="Elipse 315">
            <a:extLst>
              <a:ext uri="{FF2B5EF4-FFF2-40B4-BE49-F238E27FC236}">
                <a16:creationId xmlns:a16="http://schemas.microsoft.com/office/drawing/2014/main" id="{ED985AFD-02A0-4263-9B72-64F1374C6CA9}"/>
              </a:ext>
            </a:extLst>
          </xdr:cNvPr>
          <xdr:cNvSpPr/>
        </xdr:nvSpPr>
        <xdr:spPr>
          <a:xfrm>
            <a:off x="120269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7" name="Elipse 316">
            <a:extLst>
              <a:ext uri="{FF2B5EF4-FFF2-40B4-BE49-F238E27FC236}">
                <a16:creationId xmlns:a16="http://schemas.microsoft.com/office/drawing/2014/main" id="{1BD1C052-4FA7-417B-94EB-740BC45D8A63}"/>
              </a:ext>
            </a:extLst>
          </xdr:cNvPr>
          <xdr:cNvSpPr/>
        </xdr:nvSpPr>
        <xdr:spPr>
          <a:xfrm>
            <a:off x="1403667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8" name="Elipse 317">
            <a:extLst>
              <a:ext uri="{FF2B5EF4-FFF2-40B4-BE49-F238E27FC236}">
                <a16:creationId xmlns:a16="http://schemas.microsoft.com/office/drawing/2014/main" id="{0D1F2D44-754A-4960-BE28-B06F3A61EC09}"/>
              </a:ext>
            </a:extLst>
          </xdr:cNvPr>
          <xdr:cNvSpPr/>
        </xdr:nvSpPr>
        <xdr:spPr>
          <a:xfrm>
            <a:off x="1403667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9" name="Elipse 318">
            <a:extLst>
              <a:ext uri="{FF2B5EF4-FFF2-40B4-BE49-F238E27FC236}">
                <a16:creationId xmlns:a16="http://schemas.microsoft.com/office/drawing/2014/main" id="{0758CA90-A9FE-4387-9A85-B2BE4EF08671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0" name="Elipse 319">
            <a:extLst>
              <a:ext uri="{FF2B5EF4-FFF2-40B4-BE49-F238E27FC236}">
                <a16:creationId xmlns:a16="http://schemas.microsoft.com/office/drawing/2014/main" id="{A2DB2F1D-FEFC-4946-BCBF-BCFC5E913D0D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1" name="Elipse 320">
            <a:extLst>
              <a:ext uri="{FF2B5EF4-FFF2-40B4-BE49-F238E27FC236}">
                <a16:creationId xmlns:a16="http://schemas.microsoft.com/office/drawing/2014/main" id="{E8BAE2BD-0B5B-4945-AD52-B77DC31FB9A6}"/>
              </a:ext>
            </a:extLst>
          </xdr:cNvPr>
          <xdr:cNvSpPr/>
        </xdr:nvSpPr>
        <xdr:spPr>
          <a:xfrm>
            <a:off x="8052251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2" name="Elipse 321">
            <a:extLst>
              <a:ext uri="{FF2B5EF4-FFF2-40B4-BE49-F238E27FC236}">
                <a16:creationId xmlns:a16="http://schemas.microsoft.com/office/drawing/2014/main" id="{A724CA59-33CD-447B-9E0B-A4D6F602B892}"/>
              </a:ext>
            </a:extLst>
          </xdr:cNvPr>
          <xdr:cNvSpPr/>
        </xdr:nvSpPr>
        <xdr:spPr>
          <a:xfrm>
            <a:off x="9972224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3" name="Elipse 322">
            <a:extLst>
              <a:ext uri="{FF2B5EF4-FFF2-40B4-BE49-F238E27FC236}">
                <a16:creationId xmlns:a16="http://schemas.microsoft.com/office/drawing/2014/main" id="{6BAF120D-1312-4A0A-92E0-7E486C877598}"/>
              </a:ext>
            </a:extLst>
          </xdr:cNvPr>
          <xdr:cNvSpPr/>
        </xdr:nvSpPr>
        <xdr:spPr>
          <a:xfrm>
            <a:off x="10062026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4" name="Elipse 323">
            <a:extLst>
              <a:ext uri="{FF2B5EF4-FFF2-40B4-BE49-F238E27FC236}">
                <a16:creationId xmlns:a16="http://schemas.microsoft.com/office/drawing/2014/main" id="{DD420A1D-1F49-4B7E-8D40-C5A90AE9C9C2}"/>
              </a:ext>
            </a:extLst>
          </xdr:cNvPr>
          <xdr:cNvSpPr/>
        </xdr:nvSpPr>
        <xdr:spPr>
          <a:xfrm>
            <a:off x="11981999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5" name="Elipse 324">
            <a:extLst>
              <a:ext uri="{FF2B5EF4-FFF2-40B4-BE49-F238E27FC236}">
                <a16:creationId xmlns:a16="http://schemas.microsoft.com/office/drawing/2014/main" id="{0101DC06-A13C-4FF0-A76B-B27AFEAF6E8A}"/>
              </a:ext>
            </a:extLst>
          </xdr:cNvPr>
          <xdr:cNvSpPr/>
        </xdr:nvSpPr>
        <xdr:spPr>
          <a:xfrm>
            <a:off x="12071801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6" name="Elipse 325">
            <a:extLst>
              <a:ext uri="{FF2B5EF4-FFF2-40B4-BE49-F238E27FC236}">
                <a16:creationId xmlns:a16="http://schemas.microsoft.com/office/drawing/2014/main" id="{425CF6C6-027D-4976-B1F0-E6B9BEFD8688}"/>
              </a:ext>
            </a:extLst>
          </xdr:cNvPr>
          <xdr:cNvSpPr/>
        </xdr:nvSpPr>
        <xdr:spPr>
          <a:xfrm>
            <a:off x="13991774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7" name="Elipse 326">
            <a:extLst>
              <a:ext uri="{FF2B5EF4-FFF2-40B4-BE49-F238E27FC236}">
                <a16:creationId xmlns:a16="http://schemas.microsoft.com/office/drawing/2014/main" id="{A4C98092-A5C8-4D89-87D0-10436F2B8915}"/>
              </a:ext>
            </a:extLst>
          </xdr:cNvPr>
          <xdr:cNvSpPr/>
        </xdr:nvSpPr>
        <xdr:spPr>
          <a:xfrm>
            <a:off x="14081576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8" name="Elipse 327">
            <a:extLst>
              <a:ext uri="{FF2B5EF4-FFF2-40B4-BE49-F238E27FC236}">
                <a16:creationId xmlns:a16="http://schemas.microsoft.com/office/drawing/2014/main" id="{6C0FCB7F-9EC3-41DC-A2A1-D90399009510}"/>
              </a:ext>
            </a:extLst>
          </xdr:cNvPr>
          <xdr:cNvSpPr/>
        </xdr:nvSpPr>
        <xdr:spPr>
          <a:xfrm>
            <a:off x="16001549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640585</xdr:colOff>
      <xdr:row>1</xdr:row>
      <xdr:rowOff>109538</xdr:rowOff>
    </xdr:from>
    <xdr:to>
      <xdr:col>16</xdr:col>
      <xdr:colOff>387667</xdr:colOff>
      <xdr:row>3</xdr:row>
      <xdr:rowOff>88538</xdr:rowOff>
    </xdr:to>
    <xdr:grpSp>
      <xdr:nvGrpSpPr>
        <xdr:cNvPr id="329" name="Agrupar 328">
          <a:extLst>
            <a:ext uri="{FF2B5EF4-FFF2-40B4-BE49-F238E27FC236}">
              <a16:creationId xmlns:a16="http://schemas.microsoft.com/office/drawing/2014/main" id="{FB09C7D7-32A6-4347-9545-07BBC409DA6F}"/>
            </a:ext>
          </a:extLst>
        </xdr:cNvPr>
        <xdr:cNvGrpSpPr/>
      </xdr:nvGrpSpPr>
      <xdr:grpSpPr>
        <a:xfrm>
          <a:off x="12373144" y="300038"/>
          <a:ext cx="1797758" cy="348794"/>
          <a:chOff x="7936176" y="442913"/>
          <a:chExt cx="8293101" cy="4775396"/>
        </a:xfrm>
      </xdr:grpSpPr>
      <xdr:sp macro="" textlink="">
        <xdr:nvSpPr>
          <xdr:cNvPr id="330" name="Elipse 329">
            <a:extLst>
              <a:ext uri="{FF2B5EF4-FFF2-40B4-BE49-F238E27FC236}">
                <a16:creationId xmlns:a16="http://schemas.microsoft.com/office/drawing/2014/main" id="{FE249BCD-933B-4EDC-976A-D99272D8FD39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1" name="Elipse 330">
            <a:extLst>
              <a:ext uri="{FF2B5EF4-FFF2-40B4-BE49-F238E27FC236}">
                <a16:creationId xmlns:a16="http://schemas.microsoft.com/office/drawing/2014/main" id="{9D0A7F63-70E4-4CCF-9646-758BFF6C0A9B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2" name="Elipse 331">
            <a:extLst>
              <a:ext uri="{FF2B5EF4-FFF2-40B4-BE49-F238E27FC236}">
                <a16:creationId xmlns:a16="http://schemas.microsoft.com/office/drawing/2014/main" id="{9EEA1205-C628-4B44-8567-F68BF91923DC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3" name="Elipse 332">
            <a:extLst>
              <a:ext uri="{FF2B5EF4-FFF2-40B4-BE49-F238E27FC236}">
                <a16:creationId xmlns:a16="http://schemas.microsoft.com/office/drawing/2014/main" id="{827A262A-D901-4FFD-AA75-020502FD5F64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4" name="Elipse 333">
            <a:extLst>
              <a:ext uri="{FF2B5EF4-FFF2-40B4-BE49-F238E27FC236}">
                <a16:creationId xmlns:a16="http://schemas.microsoft.com/office/drawing/2014/main" id="{5DE12900-D0C2-4488-BCBF-D5E161537122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5" name="Elipse 334">
            <a:extLst>
              <a:ext uri="{FF2B5EF4-FFF2-40B4-BE49-F238E27FC236}">
                <a16:creationId xmlns:a16="http://schemas.microsoft.com/office/drawing/2014/main" id="{C6B87834-4B44-4C42-B234-95C380A65495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6" name="Elipse 335">
            <a:extLst>
              <a:ext uri="{FF2B5EF4-FFF2-40B4-BE49-F238E27FC236}">
                <a16:creationId xmlns:a16="http://schemas.microsoft.com/office/drawing/2014/main" id="{2FCE67AB-29A2-4C13-8F1F-5FDCD2637CA1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7" name="Elipse 336">
            <a:extLst>
              <a:ext uri="{FF2B5EF4-FFF2-40B4-BE49-F238E27FC236}">
                <a16:creationId xmlns:a16="http://schemas.microsoft.com/office/drawing/2014/main" id="{F765C36E-B7F9-49A4-9475-5111E6B30CCA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8" name="Elipse 337">
            <a:extLst>
              <a:ext uri="{FF2B5EF4-FFF2-40B4-BE49-F238E27FC236}">
                <a16:creationId xmlns:a16="http://schemas.microsoft.com/office/drawing/2014/main" id="{D450FF65-1DE0-48A1-ADCD-5BD0D0BE1A2C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9" name="Elipse 338">
            <a:extLst>
              <a:ext uri="{FF2B5EF4-FFF2-40B4-BE49-F238E27FC236}">
                <a16:creationId xmlns:a16="http://schemas.microsoft.com/office/drawing/2014/main" id="{D36F38FC-1159-4401-A1C2-A8A0C9500677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0" name="Elipse 339">
            <a:extLst>
              <a:ext uri="{FF2B5EF4-FFF2-40B4-BE49-F238E27FC236}">
                <a16:creationId xmlns:a16="http://schemas.microsoft.com/office/drawing/2014/main" id="{BD19749F-49F8-486E-B25A-BBE04F510FC6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1" name="Elipse 340">
            <a:extLst>
              <a:ext uri="{FF2B5EF4-FFF2-40B4-BE49-F238E27FC236}">
                <a16:creationId xmlns:a16="http://schemas.microsoft.com/office/drawing/2014/main" id="{3972CEC9-4406-4B88-942A-5E138AD39F78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2" name="Elipse 341">
            <a:extLst>
              <a:ext uri="{FF2B5EF4-FFF2-40B4-BE49-F238E27FC236}">
                <a16:creationId xmlns:a16="http://schemas.microsoft.com/office/drawing/2014/main" id="{553314C9-9429-49C8-B1C3-DDFDA926E58F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3" name="Elipse 342">
            <a:extLst>
              <a:ext uri="{FF2B5EF4-FFF2-40B4-BE49-F238E27FC236}">
                <a16:creationId xmlns:a16="http://schemas.microsoft.com/office/drawing/2014/main" id="{F8D18EA4-FE74-4C6B-B4AA-BEF8CED53C62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344" name="Conector reto 343">
            <a:extLst>
              <a:ext uri="{FF2B5EF4-FFF2-40B4-BE49-F238E27FC236}">
                <a16:creationId xmlns:a16="http://schemas.microsoft.com/office/drawing/2014/main" id="{CFBDB8B7-0EF5-417B-8CEC-81FCBDA2E629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Conector reto 344">
            <a:extLst>
              <a:ext uri="{FF2B5EF4-FFF2-40B4-BE49-F238E27FC236}">
                <a16:creationId xmlns:a16="http://schemas.microsoft.com/office/drawing/2014/main" id="{FDE1A15E-29E8-49BB-BCB3-C6ED01D06AF9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Conector reto 345">
            <a:extLst>
              <a:ext uri="{FF2B5EF4-FFF2-40B4-BE49-F238E27FC236}">
                <a16:creationId xmlns:a16="http://schemas.microsoft.com/office/drawing/2014/main" id="{1E5BC77D-6CCC-4D56-B0C2-0ADFC28FC0A4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Conector reto 346">
            <a:extLst>
              <a:ext uri="{FF2B5EF4-FFF2-40B4-BE49-F238E27FC236}">
                <a16:creationId xmlns:a16="http://schemas.microsoft.com/office/drawing/2014/main" id="{CFCAC707-CA72-42BE-9E86-6D11B2C61302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Conector reto 347">
            <a:extLst>
              <a:ext uri="{FF2B5EF4-FFF2-40B4-BE49-F238E27FC236}">
                <a16:creationId xmlns:a16="http://schemas.microsoft.com/office/drawing/2014/main" id="{AE4A5BD4-920B-4649-BB16-64239A714989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Conector reto 348">
            <a:extLst>
              <a:ext uri="{FF2B5EF4-FFF2-40B4-BE49-F238E27FC236}">
                <a16:creationId xmlns:a16="http://schemas.microsoft.com/office/drawing/2014/main" id="{E41807B5-655E-4810-BCFA-281CA052993B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Conector reto 349">
            <a:extLst>
              <a:ext uri="{FF2B5EF4-FFF2-40B4-BE49-F238E27FC236}">
                <a16:creationId xmlns:a16="http://schemas.microsoft.com/office/drawing/2014/main" id="{3617C40D-6E34-466F-93B7-2B54792EAE27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Conector reto 350">
            <a:extLst>
              <a:ext uri="{FF2B5EF4-FFF2-40B4-BE49-F238E27FC236}">
                <a16:creationId xmlns:a16="http://schemas.microsoft.com/office/drawing/2014/main" id="{F9EE5B37-0DDF-467C-8EBF-F1B13DA78ABD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Conector reto 351">
            <a:extLst>
              <a:ext uri="{FF2B5EF4-FFF2-40B4-BE49-F238E27FC236}">
                <a16:creationId xmlns:a16="http://schemas.microsoft.com/office/drawing/2014/main" id="{F1D8BF70-AEDF-43BB-9AED-5671D943C220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Conector reto 352">
            <a:extLst>
              <a:ext uri="{FF2B5EF4-FFF2-40B4-BE49-F238E27FC236}">
                <a16:creationId xmlns:a16="http://schemas.microsoft.com/office/drawing/2014/main" id="{729CBF1D-C314-4BE8-9851-7AC60FE32C8A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Conector reto 353">
            <a:extLst>
              <a:ext uri="{FF2B5EF4-FFF2-40B4-BE49-F238E27FC236}">
                <a16:creationId xmlns:a16="http://schemas.microsoft.com/office/drawing/2014/main" id="{8BB2FBF8-0857-4101-BA90-E7C2F0753888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Conector reto 354">
            <a:extLst>
              <a:ext uri="{FF2B5EF4-FFF2-40B4-BE49-F238E27FC236}">
                <a16:creationId xmlns:a16="http://schemas.microsoft.com/office/drawing/2014/main" id="{7D342E40-65BE-4918-9617-F488D6D13E40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Conector reto 355">
            <a:extLst>
              <a:ext uri="{FF2B5EF4-FFF2-40B4-BE49-F238E27FC236}">
                <a16:creationId xmlns:a16="http://schemas.microsoft.com/office/drawing/2014/main" id="{27401743-A802-4ED7-BA2D-C2ED69C91AB2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Conector reto 356">
            <a:extLst>
              <a:ext uri="{FF2B5EF4-FFF2-40B4-BE49-F238E27FC236}">
                <a16:creationId xmlns:a16="http://schemas.microsoft.com/office/drawing/2014/main" id="{3DE65530-2998-41B2-A571-6DA73A6D8D1F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Conector reto 357">
            <a:extLst>
              <a:ext uri="{FF2B5EF4-FFF2-40B4-BE49-F238E27FC236}">
                <a16:creationId xmlns:a16="http://schemas.microsoft.com/office/drawing/2014/main" id="{E94C28A1-9DE9-41E9-8867-D44308FD2F89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Conector reto 358">
            <a:extLst>
              <a:ext uri="{FF2B5EF4-FFF2-40B4-BE49-F238E27FC236}">
                <a16:creationId xmlns:a16="http://schemas.microsoft.com/office/drawing/2014/main" id="{E146C0FE-EDF0-4D3F-9443-E150912FB0D2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Conector reto 359">
            <a:extLst>
              <a:ext uri="{FF2B5EF4-FFF2-40B4-BE49-F238E27FC236}">
                <a16:creationId xmlns:a16="http://schemas.microsoft.com/office/drawing/2014/main" id="{31A1B64D-C618-4E15-8A99-E37DBADD49F7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Conector reto 360">
            <a:extLst>
              <a:ext uri="{FF2B5EF4-FFF2-40B4-BE49-F238E27FC236}">
                <a16:creationId xmlns:a16="http://schemas.microsoft.com/office/drawing/2014/main" id="{9CDA733E-D958-4471-8A02-6FE8F2065BE1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Conector reto 361">
            <a:extLst>
              <a:ext uri="{FF2B5EF4-FFF2-40B4-BE49-F238E27FC236}">
                <a16:creationId xmlns:a16="http://schemas.microsoft.com/office/drawing/2014/main" id="{F7171F83-6741-4BA7-921E-2A67BCCBA120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Conector reto 362">
            <a:extLst>
              <a:ext uri="{FF2B5EF4-FFF2-40B4-BE49-F238E27FC236}">
                <a16:creationId xmlns:a16="http://schemas.microsoft.com/office/drawing/2014/main" id="{9EB8E0F0-983E-4735-ACB5-2E06326F4378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Conector reto 363">
            <a:extLst>
              <a:ext uri="{FF2B5EF4-FFF2-40B4-BE49-F238E27FC236}">
                <a16:creationId xmlns:a16="http://schemas.microsoft.com/office/drawing/2014/main" id="{68C98D10-AE68-4322-A0A8-63361D868892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Conector reto 364">
            <a:extLst>
              <a:ext uri="{FF2B5EF4-FFF2-40B4-BE49-F238E27FC236}">
                <a16:creationId xmlns:a16="http://schemas.microsoft.com/office/drawing/2014/main" id="{4E2050A3-DE16-4E81-9B1A-ECA7DAC296FA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Conector reto 365">
            <a:extLst>
              <a:ext uri="{FF2B5EF4-FFF2-40B4-BE49-F238E27FC236}">
                <a16:creationId xmlns:a16="http://schemas.microsoft.com/office/drawing/2014/main" id="{54D8CF5F-9BCA-4D5F-B43C-23977C08FBA7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Conector reto 366">
            <a:extLst>
              <a:ext uri="{FF2B5EF4-FFF2-40B4-BE49-F238E27FC236}">
                <a16:creationId xmlns:a16="http://schemas.microsoft.com/office/drawing/2014/main" id="{435C1DD5-ABC0-4D24-99FB-0C6363428E06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Conector reto 367">
            <a:extLst>
              <a:ext uri="{FF2B5EF4-FFF2-40B4-BE49-F238E27FC236}">
                <a16:creationId xmlns:a16="http://schemas.microsoft.com/office/drawing/2014/main" id="{466EBC8A-25BF-4B1E-98A4-38816F1BAE17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9" name="Forma Livre: Forma 368">
            <a:extLst>
              <a:ext uri="{FF2B5EF4-FFF2-40B4-BE49-F238E27FC236}">
                <a16:creationId xmlns:a16="http://schemas.microsoft.com/office/drawing/2014/main" id="{5B3432D8-A545-437E-9E2A-7957C99BC7FB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0" name="Forma Livre: Forma 369">
            <a:extLst>
              <a:ext uri="{FF2B5EF4-FFF2-40B4-BE49-F238E27FC236}">
                <a16:creationId xmlns:a16="http://schemas.microsoft.com/office/drawing/2014/main" id="{6215C335-B56F-4900-8909-13DB02739780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1" name="Forma Livre: Forma 370">
            <a:extLst>
              <a:ext uri="{FF2B5EF4-FFF2-40B4-BE49-F238E27FC236}">
                <a16:creationId xmlns:a16="http://schemas.microsoft.com/office/drawing/2014/main" id="{9816683A-46D0-4F51-8DD5-15A2E3DC4BF9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2" name="Forma Livre: Forma 371">
            <a:extLst>
              <a:ext uri="{FF2B5EF4-FFF2-40B4-BE49-F238E27FC236}">
                <a16:creationId xmlns:a16="http://schemas.microsoft.com/office/drawing/2014/main" id="{2905F7ED-0E50-47A5-84DF-670CFFAEEC95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3" name="Forma Livre: Forma 372">
            <a:extLst>
              <a:ext uri="{FF2B5EF4-FFF2-40B4-BE49-F238E27FC236}">
                <a16:creationId xmlns:a16="http://schemas.microsoft.com/office/drawing/2014/main" id="{2AC89E45-0581-4159-973E-7F056019D19C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4" name="Forma Livre: Forma 373">
            <a:extLst>
              <a:ext uri="{FF2B5EF4-FFF2-40B4-BE49-F238E27FC236}">
                <a16:creationId xmlns:a16="http://schemas.microsoft.com/office/drawing/2014/main" id="{5229232D-0235-4C59-B183-D9C9D4E9E8E6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5" name="Elipse 374">
            <a:extLst>
              <a:ext uri="{FF2B5EF4-FFF2-40B4-BE49-F238E27FC236}">
                <a16:creationId xmlns:a16="http://schemas.microsoft.com/office/drawing/2014/main" id="{C4874DA0-3D8C-429D-B280-9B2926DBCAEA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6" name="Elipse 375">
            <a:extLst>
              <a:ext uri="{FF2B5EF4-FFF2-40B4-BE49-F238E27FC236}">
                <a16:creationId xmlns:a16="http://schemas.microsoft.com/office/drawing/2014/main" id="{D6D07C4B-6B5C-49C3-ACD7-299DAAE3DB77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7" name="Elipse 376">
            <a:extLst>
              <a:ext uri="{FF2B5EF4-FFF2-40B4-BE49-F238E27FC236}">
                <a16:creationId xmlns:a16="http://schemas.microsoft.com/office/drawing/2014/main" id="{B1B8A1A7-BE8E-4125-BD68-AA4CBCD8CE76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8" name="Elipse 377">
            <a:extLst>
              <a:ext uri="{FF2B5EF4-FFF2-40B4-BE49-F238E27FC236}">
                <a16:creationId xmlns:a16="http://schemas.microsoft.com/office/drawing/2014/main" id="{271E8D5F-20D1-407B-A3BA-2AB4DABE4101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9" name="Elipse 378">
            <a:extLst>
              <a:ext uri="{FF2B5EF4-FFF2-40B4-BE49-F238E27FC236}">
                <a16:creationId xmlns:a16="http://schemas.microsoft.com/office/drawing/2014/main" id="{00E5EF60-6304-4B6F-AFA7-6A6A4D0BB235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0" name="Elipse 379">
            <a:extLst>
              <a:ext uri="{FF2B5EF4-FFF2-40B4-BE49-F238E27FC236}">
                <a16:creationId xmlns:a16="http://schemas.microsoft.com/office/drawing/2014/main" id="{4480543D-7B24-419E-A8AE-DC6D146C8E35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1" name="Elipse 380">
            <a:extLst>
              <a:ext uri="{FF2B5EF4-FFF2-40B4-BE49-F238E27FC236}">
                <a16:creationId xmlns:a16="http://schemas.microsoft.com/office/drawing/2014/main" id="{4E7DD3C2-7C50-45BD-A6BC-756A5D2ED096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2" name="Elipse 381">
            <a:extLst>
              <a:ext uri="{FF2B5EF4-FFF2-40B4-BE49-F238E27FC236}">
                <a16:creationId xmlns:a16="http://schemas.microsoft.com/office/drawing/2014/main" id="{5C72454B-5B17-4434-A355-43D0185FCE5F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3" name="Elipse 382">
            <a:extLst>
              <a:ext uri="{FF2B5EF4-FFF2-40B4-BE49-F238E27FC236}">
                <a16:creationId xmlns:a16="http://schemas.microsoft.com/office/drawing/2014/main" id="{A62E3590-F2E4-4998-9009-87A47248F2A1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4" name="Elipse 383">
            <a:extLst>
              <a:ext uri="{FF2B5EF4-FFF2-40B4-BE49-F238E27FC236}">
                <a16:creationId xmlns:a16="http://schemas.microsoft.com/office/drawing/2014/main" id="{8BDC8C89-B6B4-4EB5-8DBA-FC3FCD41197A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5" name="Elipse 384">
            <a:extLst>
              <a:ext uri="{FF2B5EF4-FFF2-40B4-BE49-F238E27FC236}">
                <a16:creationId xmlns:a16="http://schemas.microsoft.com/office/drawing/2014/main" id="{EF837A59-B6DE-44B8-96F8-ECB1E66F3513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6" name="Elipse 385">
            <a:extLst>
              <a:ext uri="{FF2B5EF4-FFF2-40B4-BE49-F238E27FC236}">
                <a16:creationId xmlns:a16="http://schemas.microsoft.com/office/drawing/2014/main" id="{C25BEA9B-2F51-403C-AC9B-1CEBDA5FF25C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7" name="Elipse 386">
            <a:extLst>
              <a:ext uri="{FF2B5EF4-FFF2-40B4-BE49-F238E27FC236}">
                <a16:creationId xmlns:a16="http://schemas.microsoft.com/office/drawing/2014/main" id="{8AB2D43D-EBF0-4445-A18D-4873D01F4AE0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8" name="Elipse 387">
            <a:extLst>
              <a:ext uri="{FF2B5EF4-FFF2-40B4-BE49-F238E27FC236}">
                <a16:creationId xmlns:a16="http://schemas.microsoft.com/office/drawing/2014/main" id="{B64CDE87-459C-414F-820E-F643C8A0C248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9" name="Elipse 388">
            <a:extLst>
              <a:ext uri="{FF2B5EF4-FFF2-40B4-BE49-F238E27FC236}">
                <a16:creationId xmlns:a16="http://schemas.microsoft.com/office/drawing/2014/main" id="{5259F6EA-AD10-4B22-9803-E1A7A58FC417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0" name="Elipse 389">
            <a:extLst>
              <a:ext uri="{FF2B5EF4-FFF2-40B4-BE49-F238E27FC236}">
                <a16:creationId xmlns:a16="http://schemas.microsoft.com/office/drawing/2014/main" id="{7D08176F-B35B-402B-819F-7846334A9051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1" name="Elipse 390">
            <a:extLst>
              <a:ext uri="{FF2B5EF4-FFF2-40B4-BE49-F238E27FC236}">
                <a16:creationId xmlns:a16="http://schemas.microsoft.com/office/drawing/2014/main" id="{1A6A1FFC-826A-46DA-B7CF-6AA1DBA5749D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2" name="Elipse 391">
            <a:extLst>
              <a:ext uri="{FF2B5EF4-FFF2-40B4-BE49-F238E27FC236}">
                <a16:creationId xmlns:a16="http://schemas.microsoft.com/office/drawing/2014/main" id="{56BEC115-0A3B-4710-8B3A-7A97F370A8DC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3" name="Elipse 392">
            <a:extLst>
              <a:ext uri="{FF2B5EF4-FFF2-40B4-BE49-F238E27FC236}">
                <a16:creationId xmlns:a16="http://schemas.microsoft.com/office/drawing/2014/main" id="{D799DE70-AF6F-4BF9-98F9-55F20D47A3DC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4" name="Elipse 393">
            <a:extLst>
              <a:ext uri="{FF2B5EF4-FFF2-40B4-BE49-F238E27FC236}">
                <a16:creationId xmlns:a16="http://schemas.microsoft.com/office/drawing/2014/main" id="{999E7BE8-4DDC-4FC0-B6DD-21D0C25A8230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5" name="Elipse 394">
            <a:extLst>
              <a:ext uri="{FF2B5EF4-FFF2-40B4-BE49-F238E27FC236}">
                <a16:creationId xmlns:a16="http://schemas.microsoft.com/office/drawing/2014/main" id="{E1C6D646-CC94-416B-AED1-FBECCA8DD165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6" name="Elipse 395">
            <a:extLst>
              <a:ext uri="{FF2B5EF4-FFF2-40B4-BE49-F238E27FC236}">
                <a16:creationId xmlns:a16="http://schemas.microsoft.com/office/drawing/2014/main" id="{D91A7F33-B026-4A12-B6E9-1E297AF75505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7" name="Elipse 396">
            <a:extLst>
              <a:ext uri="{FF2B5EF4-FFF2-40B4-BE49-F238E27FC236}">
                <a16:creationId xmlns:a16="http://schemas.microsoft.com/office/drawing/2014/main" id="{941853E8-4E65-45DC-BBC5-5A5710C2CC63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8" name="Elipse 397">
            <a:extLst>
              <a:ext uri="{FF2B5EF4-FFF2-40B4-BE49-F238E27FC236}">
                <a16:creationId xmlns:a16="http://schemas.microsoft.com/office/drawing/2014/main" id="{F07912B7-1B32-4E4D-B57E-7E162BBAB3A4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9" name="Elipse 398">
            <a:extLst>
              <a:ext uri="{FF2B5EF4-FFF2-40B4-BE49-F238E27FC236}">
                <a16:creationId xmlns:a16="http://schemas.microsoft.com/office/drawing/2014/main" id="{9E645332-96EB-4C77-8353-E3CC1DBC55CC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0" name="Elipse 399">
            <a:extLst>
              <a:ext uri="{FF2B5EF4-FFF2-40B4-BE49-F238E27FC236}">
                <a16:creationId xmlns:a16="http://schemas.microsoft.com/office/drawing/2014/main" id="{C8003C92-9A2F-44ED-9FB0-9AC6CB3AA0F9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640026</xdr:colOff>
      <xdr:row>4</xdr:row>
      <xdr:rowOff>100013</xdr:rowOff>
    </xdr:from>
    <xdr:to>
      <xdr:col>16</xdr:col>
      <xdr:colOff>382626</xdr:colOff>
      <xdr:row>6</xdr:row>
      <xdr:rowOff>98063</xdr:rowOff>
    </xdr:to>
    <xdr:grpSp>
      <xdr:nvGrpSpPr>
        <xdr:cNvPr id="401" name="Agrupar 400">
          <a:extLst>
            <a:ext uri="{FF2B5EF4-FFF2-40B4-BE49-F238E27FC236}">
              <a16:creationId xmlns:a16="http://schemas.microsoft.com/office/drawing/2014/main" id="{D72E46BC-4814-49D5-8606-A59980E208BB}"/>
            </a:ext>
          </a:extLst>
        </xdr:cNvPr>
        <xdr:cNvGrpSpPr/>
      </xdr:nvGrpSpPr>
      <xdr:grpSpPr>
        <a:xfrm>
          <a:off x="12372585" y="850807"/>
          <a:ext cx="1793276" cy="379050"/>
          <a:chOff x="7936176" y="442913"/>
          <a:chExt cx="8293101" cy="4775396"/>
        </a:xfrm>
      </xdr:grpSpPr>
      <xdr:sp macro="" textlink="">
        <xdr:nvSpPr>
          <xdr:cNvPr id="402" name="Elipse 401">
            <a:extLst>
              <a:ext uri="{FF2B5EF4-FFF2-40B4-BE49-F238E27FC236}">
                <a16:creationId xmlns:a16="http://schemas.microsoft.com/office/drawing/2014/main" id="{246F1F03-A335-4DE9-88B6-B396A41EC3D2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3" name="Elipse 402">
            <a:extLst>
              <a:ext uri="{FF2B5EF4-FFF2-40B4-BE49-F238E27FC236}">
                <a16:creationId xmlns:a16="http://schemas.microsoft.com/office/drawing/2014/main" id="{1ADB402C-B8B9-46E3-9A18-8D8B449CF6E5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4" name="Elipse 403">
            <a:extLst>
              <a:ext uri="{FF2B5EF4-FFF2-40B4-BE49-F238E27FC236}">
                <a16:creationId xmlns:a16="http://schemas.microsoft.com/office/drawing/2014/main" id="{734F36E3-60A7-40FA-8632-800762A55D3C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5" name="Elipse 404">
            <a:extLst>
              <a:ext uri="{FF2B5EF4-FFF2-40B4-BE49-F238E27FC236}">
                <a16:creationId xmlns:a16="http://schemas.microsoft.com/office/drawing/2014/main" id="{73443705-B361-4354-BA3F-74D72E004116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6" name="Elipse 405">
            <a:extLst>
              <a:ext uri="{FF2B5EF4-FFF2-40B4-BE49-F238E27FC236}">
                <a16:creationId xmlns:a16="http://schemas.microsoft.com/office/drawing/2014/main" id="{AAE0D311-B176-42A1-842B-EA38BBA157BE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7" name="Elipse 406">
            <a:extLst>
              <a:ext uri="{FF2B5EF4-FFF2-40B4-BE49-F238E27FC236}">
                <a16:creationId xmlns:a16="http://schemas.microsoft.com/office/drawing/2014/main" id="{2C0E7ACF-31FA-4B7A-BBA7-DF010BCB6A08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8" name="Elipse 407">
            <a:extLst>
              <a:ext uri="{FF2B5EF4-FFF2-40B4-BE49-F238E27FC236}">
                <a16:creationId xmlns:a16="http://schemas.microsoft.com/office/drawing/2014/main" id="{E2CF5EF0-384B-4A4A-8DE2-9A4ADA5A1ACB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9" name="Elipse 408">
            <a:extLst>
              <a:ext uri="{FF2B5EF4-FFF2-40B4-BE49-F238E27FC236}">
                <a16:creationId xmlns:a16="http://schemas.microsoft.com/office/drawing/2014/main" id="{EAA4AD04-B166-40C4-AF23-BBCA0962C81D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0" name="Elipse 409">
            <a:extLst>
              <a:ext uri="{FF2B5EF4-FFF2-40B4-BE49-F238E27FC236}">
                <a16:creationId xmlns:a16="http://schemas.microsoft.com/office/drawing/2014/main" id="{A5BBE653-DDAC-4D8C-93B5-C44F2DE31993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1" name="Elipse 410">
            <a:extLst>
              <a:ext uri="{FF2B5EF4-FFF2-40B4-BE49-F238E27FC236}">
                <a16:creationId xmlns:a16="http://schemas.microsoft.com/office/drawing/2014/main" id="{F7816F42-3884-4441-80F2-F6403BA3E904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2" name="Elipse 411">
            <a:extLst>
              <a:ext uri="{FF2B5EF4-FFF2-40B4-BE49-F238E27FC236}">
                <a16:creationId xmlns:a16="http://schemas.microsoft.com/office/drawing/2014/main" id="{0D835CA4-0276-405E-880F-EE96B7FBEDDF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3" name="Elipse 412">
            <a:extLst>
              <a:ext uri="{FF2B5EF4-FFF2-40B4-BE49-F238E27FC236}">
                <a16:creationId xmlns:a16="http://schemas.microsoft.com/office/drawing/2014/main" id="{2E382FE8-2C97-445D-8705-95ED8BEA481A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4" name="Elipse 413">
            <a:extLst>
              <a:ext uri="{FF2B5EF4-FFF2-40B4-BE49-F238E27FC236}">
                <a16:creationId xmlns:a16="http://schemas.microsoft.com/office/drawing/2014/main" id="{C8C1659A-C06C-425E-85F3-535E00F49AFC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5" name="Elipse 414">
            <a:extLst>
              <a:ext uri="{FF2B5EF4-FFF2-40B4-BE49-F238E27FC236}">
                <a16:creationId xmlns:a16="http://schemas.microsoft.com/office/drawing/2014/main" id="{34CE031D-44B5-414F-B75B-8E4ED3BE0F92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16" name="Conector reto 415">
            <a:extLst>
              <a:ext uri="{FF2B5EF4-FFF2-40B4-BE49-F238E27FC236}">
                <a16:creationId xmlns:a16="http://schemas.microsoft.com/office/drawing/2014/main" id="{DE16ECA3-A00C-4898-867D-1C6F71BBB216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Conector reto 416">
            <a:extLst>
              <a:ext uri="{FF2B5EF4-FFF2-40B4-BE49-F238E27FC236}">
                <a16:creationId xmlns:a16="http://schemas.microsoft.com/office/drawing/2014/main" id="{85E43E1D-5E8B-4B0F-B8AC-AC2A95B13B95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" name="Conector reto 417">
            <a:extLst>
              <a:ext uri="{FF2B5EF4-FFF2-40B4-BE49-F238E27FC236}">
                <a16:creationId xmlns:a16="http://schemas.microsoft.com/office/drawing/2014/main" id="{FA865DE6-79CB-40E9-9B5F-0858F80D2252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Conector reto 418">
            <a:extLst>
              <a:ext uri="{FF2B5EF4-FFF2-40B4-BE49-F238E27FC236}">
                <a16:creationId xmlns:a16="http://schemas.microsoft.com/office/drawing/2014/main" id="{7AD25C88-3D27-4431-AEC0-DFE3D44E242B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0" name="Conector reto 419">
            <a:extLst>
              <a:ext uri="{FF2B5EF4-FFF2-40B4-BE49-F238E27FC236}">
                <a16:creationId xmlns:a16="http://schemas.microsoft.com/office/drawing/2014/main" id="{6A44A4D8-F4D9-4010-A9D9-83E1D29551B7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1" name="Conector reto 420">
            <a:extLst>
              <a:ext uri="{FF2B5EF4-FFF2-40B4-BE49-F238E27FC236}">
                <a16:creationId xmlns:a16="http://schemas.microsoft.com/office/drawing/2014/main" id="{B962AA8D-7364-4648-8F98-316641FE2EAC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2" name="Conector reto 421">
            <a:extLst>
              <a:ext uri="{FF2B5EF4-FFF2-40B4-BE49-F238E27FC236}">
                <a16:creationId xmlns:a16="http://schemas.microsoft.com/office/drawing/2014/main" id="{2C86B98C-3B64-4A7F-ADF2-F64CC789B53B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3" name="Conector reto 422">
            <a:extLst>
              <a:ext uri="{FF2B5EF4-FFF2-40B4-BE49-F238E27FC236}">
                <a16:creationId xmlns:a16="http://schemas.microsoft.com/office/drawing/2014/main" id="{AF21E681-1DCA-42E2-A9C4-98A765272BD6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4" name="Conector reto 423">
            <a:extLst>
              <a:ext uri="{FF2B5EF4-FFF2-40B4-BE49-F238E27FC236}">
                <a16:creationId xmlns:a16="http://schemas.microsoft.com/office/drawing/2014/main" id="{59313597-1F6F-4794-AAA9-4F70D9D4C8D5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5" name="Conector reto 424">
            <a:extLst>
              <a:ext uri="{FF2B5EF4-FFF2-40B4-BE49-F238E27FC236}">
                <a16:creationId xmlns:a16="http://schemas.microsoft.com/office/drawing/2014/main" id="{1D12A706-F5C7-4627-B029-8227DF9AE8CA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Conector reto 425">
            <a:extLst>
              <a:ext uri="{FF2B5EF4-FFF2-40B4-BE49-F238E27FC236}">
                <a16:creationId xmlns:a16="http://schemas.microsoft.com/office/drawing/2014/main" id="{DF5C8F26-5CBD-4981-948C-6765ED7F136B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7" name="Conector reto 426">
            <a:extLst>
              <a:ext uri="{FF2B5EF4-FFF2-40B4-BE49-F238E27FC236}">
                <a16:creationId xmlns:a16="http://schemas.microsoft.com/office/drawing/2014/main" id="{E1D3AD52-ADCC-4912-8715-4418BA79E1DF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Conector reto 427">
            <a:extLst>
              <a:ext uri="{FF2B5EF4-FFF2-40B4-BE49-F238E27FC236}">
                <a16:creationId xmlns:a16="http://schemas.microsoft.com/office/drawing/2014/main" id="{DE40DA22-4E26-4401-A1A7-E6E9F488B527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9" name="Conector reto 428">
            <a:extLst>
              <a:ext uri="{FF2B5EF4-FFF2-40B4-BE49-F238E27FC236}">
                <a16:creationId xmlns:a16="http://schemas.microsoft.com/office/drawing/2014/main" id="{E78E2BF0-C728-4F33-BCC3-10F60E72EDE0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Conector reto 429">
            <a:extLst>
              <a:ext uri="{FF2B5EF4-FFF2-40B4-BE49-F238E27FC236}">
                <a16:creationId xmlns:a16="http://schemas.microsoft.com/office/drawing/2014/main" id="{EB3A5AF5-D392-45FA-8A5E-F5D9E3419578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1" name="Conector reto 430">
            <a:extLst>
              <a:ext uri="{FF2B5EF4-FFF2-40B4-BE49-F238E27FC236}">
                <a16:creationId xmlns:a16="http://schemas.microsoft.com/office/drawing/2014/main" id="{B48C90B7-C3DB-4208-B82A-6CAE869DB947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2" name="Conector reto 431">
            <a:extLst>
              <a:ext uri="{FF2B5EF4-FFF2-40B4-BE49-F238E27FC236}">
                <a16:creationId xmlns:a16="http://schemas.microsoft.com/office/drawing/2014/main" id="{D7A7B514-95ED-4220-A1B0-88CECF036891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3" name="Conector reto 432">
            <a:extLst>
              <a:ext uri="{FF2B5EF4-FFF2-40B4-BE49-F238E27FC236}">
                <a16:creationId xmlns:a16="http://schemas.microsoft.com/office/drawing/2014/main" id="{84E71390-3067-4053-B403-308338034D49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Conector reto 433">
            <a:extLst>
              <a:ext uri="{FF2B5EF4-FFF2-40B4-BE49-F238E27FC236}">
                <a16:creationId xmlns:a16="http://schemas.microsoft.com/office/drawing/2014/main" id="{F212EFDE-1472-4F4E-9941-7F0CA2F59C09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5" name="Conector reto 434">
            <a:extLst>
              <a:ext uri="{FF2B5EF4-FFF2-40B4-BE49-F238E27FC236}">
                <a16:creationId xmlns:a16="http://schemas.microsoft.com/office/drawing/2014/main" id="{FE41217B-DB2F-4C77-9C27-04E39FE23704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6" name="Conector reto 435">
            <a:extLst>
              <a:ext uri="{FF2B5EF4-FFF2-40B4-BE49-F238E27FC236}">
                <a16:creationId xmlns:a16="http://schemas.microsoft.com/office/drawing/2014/main" id="{4896EEC8-22E0-4B40-91FA-289B8A35B998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7" name="Conector reto 436">
            <a:extLst>
              <a:ext uri="{FF2B5EF4-FFF2-40B4-BE49-F238E27FC236}">
                <a16:creationId xmlns:a16="http://schemas.microsoft.com/office/drawing/2014/main" id="{AF08ACC3-8D43-47FC-A979-DB3E98621085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8" name="Conector reto 437">
            <a:extLst>
              <a:ext uri="{FF2B5EF4-FFF2-40B4-BE49-F238E27FC236}">
                <a16:creationId xmlns:a16="http://schemas.microsoft.com/office/drawing/2014/main" id="{488E2FA8-4C1F-4525-B272-E881B904B59E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9" name="Conector reto 438">
            <a:extLst>
              <a:ext uri="{FF2B5EF4-FFF2-40B4-BE49-F238E27FC236}">
                <a16:creationId xmlns:a16="http://schemas.microsoft.com/office/drawing/2014/main" id="{9741B2B9-4B58-415A-ACA5-148366D8A4C2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0" name="Conector reto 439">
            <a:extLst>
              <a:ext uri="{FF2B5EF4-FFF2-40B4-BE49-F238E27FC236}">
                <a16:creationId xmlns:a16="http://schemas.microsoft.com/office/drawing/2014/main" id="{4BA07888-7B7C-4E7B-BE51-9C6BB4839F12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1" name="Forma Livre: Forma 440">
            <a:extLst>
              <a:ext uri="{FF2B5EF4-FFF2-40B4-BE49-F238E27FC236}">
                <a16:creationId xmlns:a16="http://schemas.microsoft.com/office/drawing/2014/main" id="{F7C5A44D-A848-44CC-8430-00A1C9F78087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2" name="Forma Livre: Forma 441">
            <a:extLst>
              <a:ext uri="{FF2B5EF4-FFF2-40B4-BE49-F238E27FC236}">
                <a16:creationId xmlns:a16="http://schemas.microsoft.com/office/drawing/2014/main" id="{FDBB68D5-CDDC-4C0B-B2EF-C78383661431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3" name="Forma Livre: Forma 442">
            <a:extLst>
              <a:ext uri="{FF2B5EF4-FFF2-40B4-BE49-F238E27FC236}">
                <a16:creationId xmlns:a16="http://schemas.microsoft.com/office/drawing/2014/main" id="{40E2C112-F79D-4534-94A0-22B0BD28D704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4" name="Forma Livre: Forma 443">
            <a:extLst>
              <a:ext uri="{FF2B5EF4-FFF2-40B4-BE49-F238E27FC236}">
                <a16:creationId xmlns:a16="http://schemas.microsoft.com/office/drawing/2014/main" id="{B5DC50B0-E8FA-444D-B0FE-8A71E23A50CD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5" name="Forma Livre: Forma 444">
            <a:extLst>
              <a:ext uri="{FF2B5EF4-FFF2-40B4-BE49-F238E27FC236}">
                <a16:creationId xmlns:a16="http://schemas.microsoft.com/office/drawing/2014/main" id="{3D3319B9-0022-4E07-BAE2-121E46A5DF7D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6" name="Forma Livre: Forma 445">
            <a:extLst>
              <a:ext uri="{FF2B5EF4-FFF2-40B4-BE49-F238E27FC236}">
                <a16:creationId xmlns:a16="http://schemas.microsoft.com/office/drawing/2014/main" id="{25A7131D-758C-4942-AE89-1277F3B1C089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7" name="Elipse 446">
            <a:extLst>
              <a:ext uri="{FF2B5EF4-FFF2-40B4-BE49-F238E27FC236}">
                <a16:creationId xmlns:a16="http://schemas.microsoft.com/office/drawing/2014/main" id="{3D9F09EE-FFB7-4544-BCF8-826396CB3ACC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8" name="Elipse 447">
            <a:extLst>
              <a:ext uri="{FF2B5EF4-FFF2-40B4-BE49-F238E27FC236}">
                <a16:creationId xmlns:a16="http://schemas.microsoft.com/office/drawing/2014/main" id="{A3B0D00A-7D7A-4844-9EDF-ACE1A0C05B42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9" name="Elipse 448">
            <a:extLst>
              <a:ext uri="{FF2B5EF4-FFF2-40B4-BE49-F238E27FC236}">
                <a16:creationId xmlns:a16="http://schemas.microsoft.com/office/drawing/2014/main" id="{3105097C-1A66-4D38-91BC-18A507EF3F3D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0" name="Elipse 449">
            <a:extLst>
              <a:ext uri="{FF2B5EF4-FFF2-40B4-BE49-F238E27FC236}">
                <a16:creationId xmlns:a16="http://schemas.microsoft.com/office/drawing/2014/main" id="{A460A56A-9CEA-47D5-9124-40BF07B767DD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1" name="Elipse 450">
            <a:extLst>
              <a:ext uri="{FF2B5EF4-FFF2-40B4-BE49-F238E27FC236}">
                <a16:creationId xmlns:a16="http://schemas.microsoft.com/office/drawing/2014/main" id="{562B7082-39DC-4770-9989-F324C97FCE88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2" name="Elipse 451">
            <a:extLst>
              <a:ext uri="{FF2B5EF4-FFF2-40B4-BE49-F238E27FC236}">
                <a16:creationId xmlns:a16="http://schemas.microsoft.com/office/drawing/2014/main" id="{55212D80-6D58-4AA0-BBD4-E0364652FEDC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3" name="Elipse 452">
            <a:extLst>
              <a:ext uri="{FF2B5EF4-FFF2-40B4-BE49-F238E27FC236}">
                <a16:creationId xmlns:a16="http://schemas.microsoft.com/office/drawing/2014/main" id="{2212405E-4C78-435D-B2F9-796002AFBFB9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4" name="Elipse 453">
            <a:extLst>
              <a:ext uri="{FF2B5EF4-FFF2-40B4-BE49-F238E27FC236}">
                <a16:creationId xmlns:a16="http://schemas.microsoft.com/office/drawing/2014/main" id="{DC7DA94D-AF71-45BE-A514-F6AB4C8D534B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5" name="Elipse 454">
            <a:extLst>
              <a:ext uri="{FF2B5EF4-FFF2-40B4-BE49-F238E27FC236}">
                <a16:creationId xmlns:a16="http://schemas.microsoft.com/office/drawing/2014/main" id="{71F3672F-731A-4FF7-BEF5-AB506058183A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6" name="Elipse 455">
            <a:extLst>
              <a:ext uri="{FF2B5EF4-FFF2-40B4-BE49-F238E27FC236}">
                <a16:creationId xmlns:a16="http://schemas.microsoft.com/office/drawing/2014/main" id="{96F38A7A-E2EC-4CB1-99C3-E029F64E63CD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7" name="Elipse 456">
            <a:extLst>
              <a:ext uri="{FF2B5EF4-FFF2-40B4-BE49-F238E27FC236}">
                <a16:creationId xmlns:a16="http://schemas.microsoft.com/office/drawing/2014/main" id="{1A5295FB-78D0-4E73-8CB5-547E131A0C63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8" name="Elipse 457">
            <a:extLst>
              <a:ext uri="{FF2B5EF4-FFF2-40B4-BE49-F238E27FC236}">
                <a16:creationId xmlns:a16="http://schemas.microsoft.com/office/drawing/2014/main" id="{65C87170-EFC6-4635-9B49-9CA088F14621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9" name="Elipse 458">
            <a:extLst>
              <a:ext uri="{FF2B5EF4-FFF2-40B4-BE49-F238E27FC236}">
                <a16:creationId xmlns:a16="http://schemas.microsoft.com/office/drawing/2014/main" id="{C30D7C4E-06AB-4A59-8299-62D04E5FA2F1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0" name="Elipse 459">
            <a:extLst>
              <a:ext uri="{FF2B5EF4-FFF2-40B4-BE49-F238E27FC236}">
                <a16:creationId xmlns:a16="http://schemas.microsoft.com/office/drawing/2014/main" id="{7E6CC7B6-8B4F-4C8A-9336-043625DAC4AC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1" name="Elipse 460">
            <a:extLst>
              <a:ext uri="{FF2B5EF4-FFF2-40B4-BE49-F238E27FC236}">
                <a16:creationId xmlns:a16="http://schemas.microsoft.com/office/drawing/2014/main" id="{E47B3C12-AB8C-4B82-9FD7-F2945F56237F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2" name="Elipse 461">
            <a:extLst>
              <a:ext uri="{FF2B5EF4-FFF2-40B4-BE49-F238E27FC236}">
                <a16:creationId xmlns:a16="http://schemas.microsoft.com/office/drawing/2014/main" id="{1C67C9B6-C0A3-4162-968B-F0CA02E9F99E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3" name="Elipse 462">
            <a:extLst>
              <a:ext uri="{FF2B5EF4-FFF2-40B4-BE49-F238E27FC236}">
                <a16:creationId xmlns:a16="http://schemas.microsoft.com/office/drawing/2014/main" id="{92416DA9-6929-44F2-86EB-7F185BD8E53D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4" name="Elipse 463">
            <a:extLst>
              <a:ext uri="{FF2B5EF4-FFF2-40B4-BE49-F238E27FC236}">
                <a16:creationId xmlns:a16="http://schemas.microsoft.com/office/drawing/2014/main" id="{ECC7291B-EBCA-4CB1-A9F8-E7A7D1E8A4FB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5" name="Elipse 464">
            <a:extLst>
              <a:ext uri="{FF2B5EF4-FFF2-40B4-BE49-F238E27FC236}">
                <a16:creationId xmlns:a16="http://schemas.microsoft.com/office/drawing/2014/main" id="{AF81DA72-D4F0-460D-9757-DD48CCA48878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6" name="Elipse 465">
            <a:extLst>
              <a:ext uri="{FF2B5EF4-FFF2-40B4-BE49-F238E27FC236}">
                <a16:creationId xmlns:a16="http://schemas.microsoft.com/office/drawing/2014/main" id="{A2F54CC0-A5A2-4462-9B02-6ADA29D85443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7" name="Elipse 466">
            <a:extLst>
              <a:ext uri="{FF2B5EF4-FFF2-40B4-BE49-F238E27FC236}">
                <a16:creationId xmlns:a16="http://schemas.microsoft.com/office/drawing/2014/main" id="{94964F9F-25BE-48B1-AEFA-C23D2D20400A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8" name="Elipse 467">
            <a:extLst>
              <a:ext uri="{FF2B5EF4-FFF2-40B4-BE49-F238E27FC236}">
                <a16:creationId xmlns:a16="http://schemas.microsoft.com/office/drawing/2014/main" id="{0AB6183B-F181-41B1-8EDA-D70B03B002D3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9" name="Elipse 468">
            <a:extLst>
              <a:ext uri="{FF2B5EF4-FFF2-40B4-BE49-F238E27FC236}">
                <a16:creationId xmlns:a16="http://schemas.microsoft.com/office/drawing/2014/main" id="{AB637C7A-2FD9-42CD-80B2-F892EBE302D1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0" name="Elipse 469">
            <a:extLst>
              <a:ext uri="{FF2B5EF4-FFF2-40B4-BE49-F238E27FC236}">
                <a16:creationId xmlns:a16="http://schemas.microsoft.com/office/drawing/2014/main" id="{E623E13C-29FC-4829-9C88-4C32E395BA5A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1" name="Elipse 470">
            <a:extLst>
              <a:ext uri="{FF2B5EF4-FFF2-40B4-BE49-F238E27FC236}">
                <a16:creationId xmlns:a16="http://schemas.microsoft.com/office/drawing/2014/main" id="{D6666255-2B44-49E6-863B-3C2F031D36F0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2" name="Elipse 471">
            <a:extLst>
              <a:ext uri="{FF2B5EF4-FFF2-40B4-BE49-F238E27FC236}">
                <a16:creationId xmlns:a16="http://schemas.microsoft.com/office/drawing/2014/main" id="{76D74E6B-0124-43A4-B79B-97ED581FC34E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640026</xdr:colOff>
      <xdr:row>7</xdr:row>
      <xdr:rowOff>119063</xdr:rowOff>
    </xdr:from>
    <xdr:to>
      <xdr:col>16</xdr:col>
      <xdr:colOff>382626</xdr:colOff>
      <xdr:row>10</xdr:row>
      <xdr:rowOff>107588</xdr:rowOff>
    </xdr:to>
    <xdr:grpSp>
      <xdr:nvGrpSpPr>
        <xdr:cNvPr id="473" name="Agrupar 472">
          <a:extLst>
            <a:ext uri="{FF2B5EF4-FFF2-40B4-BE49-F238E27FC236}">
              <a16:creationId xmlns:a16="http://schemas.microsoft.com/office/drawing/2014/main" id="{93572F8E-D752-4985-91F3-73F45DEF7A26}"/>
            </a:ext>
          </a:extLst>
        </xdr:cNvPr>
        <xdr:cNvGrpSpPr/>
      </xdr:nvGrpSpPr>
      <xdr:grpSpPr>
        <a:xfrm>
          <a:off x="12372585" y="1441357"/>
          <a:ext cx="1793276" cy="560025"/>
          <a:chOff x="7936176" y="442913"/>
          <a:chExt cx="8293101" cy="4775396"/>
        </a:xfrm>
      </xdr:grpSpPr>
      <xdr:sp macro="" textlink="">
        <xdr:nvSpPr>
          <xdr:cNvPr id="474" name="Elipse 473">
            <a:extLst>
              <a:ext uri="{FF2B5EF4-FFF2-40B4-BE49-F238E27FC236}">
                <a16:creationId xmlns:a16="http://schemas.microsoft.com/office/drawing/2014/main" id="{861D3726-E025-43F5-9526-E0394DD83590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5" name="Elipse 474">
            <a:extLst>
              <a:ext uri="{FF2B5EF4-FFF2-40B4-BE49-F238E27FC236}">
                <a16:creationId xmlns:a16="http://schemas.microsoft.com/office/drawing/2014/main" id="{BB83DDAA-3A2F-455C-BF77-7748F7B520D1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6" name="Elipse 475">
            <a:extLst>
              <a:ext uri="{FF2B5EF4-FFF2-40B4-BE49-F238E27FC236}">
                <a16:creationId xmlns:a16="http://schemas.microsoft.com/office/drawing/2014/main" id="{851B204D-5D45-41FF-A718-5DD4FBEACA98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7" name="Elipse 476">
            <a:extLst>
              <a:ext uri="{FF2B5EF4-FFF2-40B4-BE49-F238E27FC236}">
                <a16:creationId xmlns:a16="http://schemas.microsoft.com/office/drawing/2014/main" id="{BA410145-57B0-4713-95B6-71BAB56A3926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8" name="Elipse 477">
            <a:extLst>
              <a:ext uri="{FF2B5EF4-FFF2-40B4-BE49-F238E27FC236}">
                <a16:creationId xmlns:a16="http://schemas.microsoft.com/office/drawing/2014/main" id="{5FB718DF-9C92-470B-8FA6-2BFABB4ECD5B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9" name="Elipse 478">
            <a:extLst>
              <a:ext uri="{FF2B5EF4-FFF2-40B4-BE49-F238E27FC236}">
                <a16:creationId xmlns:a16="http://schemas.microsoft.com/office/drawing/2014/main" id="{7E86A935-8B6E-44AC-8618-E15452D0EB2B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0" name="Elipse 479">
            <a:extLst>
              <a:ext uri="{FF2B5EF4-FFF2-40B4-BE49-F238E27FC236}">
                <a16:creationId xmlns:a16="http://schemas.microsoft.com/office/drawing/2014/main" id="{1EA46B45-3F5F-4523-A9FD-CF161871CDFB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1" name="Elipse 480">
            <a:extLst>
              <a:ext uri="{FF2B5EF4-FFF2-40B4-BE49-F238E27FC236}">
                <a16:creationId xmlns:a16="http://schemas.microsoft.com/office/drawing/2014/main" id="{74ECD761-8D8B-4F92-A242-CD489D8FF115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2" name="Elipse 481">
            <a:extLst>
              <a:ext uri="{FF2B5EF4-FFF2-40B4-BE49-F238E27FC236}">
                <a16:creationId xmlns:a16="http://schemas.microsoft.com/office/drawing/2014/main" id="{B1BF0342-21FA-4E94-B6CA-D584A2D95C37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3" name="Elipse 482">
            <a:extLst>
              <a:ext uri="{FF2B5EF4-FFF2-40B4-BE49-F238E27FC236}">
                <a16:creationId xmlns:a16="http://schemas.microsoft.com/office/drawing/2014/main" id="{0881BC01-3B57-43E0-A3F4-B1469C188EE1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4" name="Elipse 483">
            <a:extLst>
              <a:ext uri="{FF2B5EF4-FFF2-40B4-BE49-F238E27FC236}">
                <a16:creationId xmlns:a16="http://schemas.microsoft.com/office/drawing/2014/main" id="{0ADF7172-004A-4A98-A21A-113EDA6583E8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5" name="Elipse 484">
            <a:extLst>
              <a:ext uri="{FF2B5EF4-FFF2-40B4-BE49-F238E27FC236}">
                <a16:creationId xmlns:a16="http://schemas.microsoft.com/office/drawing/2014/main" id="{C3F5FDD6-CA54-4B92-95EC-CEF064603D03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6" name="Elipse 485">
            <a:extLst>
              <a:ext uri="{FF2B5EF4-FFF2-40B4-BE49-F238E27FC236}">
                <a16:creationId xmlns:a16="http://schemas.microsoft.com/office/drawing/2014/main" id="{D09D382D-F3A5-4FA1-B1DF-27D8D0099C4C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7" name="Elipse 486">
            <a:extLst>
              <a:ext uri="{FF2B5EF4-FFF2-40B4-BE49-F238E27FC236}">
                <a16:creationId xmlns:a16="http://schemas.microsoft.com/office/drawing/2014/main" id="{63F52D44-79B1-4548-A488-92C5E76EF4B1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88" name="Conector reto 487">
            <a:extLst>
              <a:ext uri="{FF2B5EF4-FFF2-40B4-BE49-F238E27FC236}">
                <a16:creationId xmlns:a16="http://schemas.microsoft.com/office/drawing/2014/main" id="{1DB82BF3-A726-4586-AE93-2C07D454D9FF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9" name="Conector reto 488">
            <a:extLst>
              <a:ext uri="{FF2B5EF4-FFF2-40B4-BE49-F238E27FC236}">
                <a16:creationId xmlns:a16="http://schemas.microsoft.com/office/drawing/2014/main" id="{24468094-F505-4703-9C51-3457C0E01424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0" name="Conector reto 489">
            <a:extLst>
              <a:ext uri="{FF2B5EF4-FFF2-40B4-BE49-F238E27FC236}">
                <a16:creationId xmlns:a16="http://schemas.microsoft.com/office/drawing/2014/main" id="{58E52C0B-C853-475A-9F58-20AE6B67418F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1" name="Conector reto 490">
            <a:extLst>
              <a:ext uri="{FF2B5EF4-FFF2-40B4-BE49-F238E27FC236}">
                <a16:creationId xmlns:a16="http://schemas.microsoft.com/office/drawing/2014/main" id="{664F9BD6-46C1-4E47-A092-BC53861FEF06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2" name="Conector reto 491">
            <a:extLst>
              <a:ext uri="{FF2B5EF4-FFF2-40B4-BE49-F238E27FC236}">
                <a16:creationId xmlns:a16="http://schemas.microsoft.com/office/drawing/2014/main" id="{4DCD19E2-57B5-4700-B9A8-E4E5B0F7E4C2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3" name="Conector reto 492">
            <a:extLst>
              <a:ext uri="{FF2B5EF4-FFF2-40B4-BE49-F238E27FC236}">
                <a16:creationId xmlns:a16="http://schemas.microsoft.com/office/drawing/2014/main" id="{E6C99D6E-9091-4839-9733-3AA3C313DFDE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4" name="Conector reto 493">
            <a:extLst>
              <a:ext uri="{FF2B5EF4-FFF2-40B4-BE49-F238E27FC236}">
                <a16:creationId xmlns:a16="http://schemas.microsoft.com/office/drawing/2014/main" id="{4260ED13-733D-4AFB-8BF6-58BE525917A0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5" name="Conector reto 494">
            <a:extLst>
              <a:ext uri="{FF2B5EF4-FFF2-40B4-BE49-F238E27FC236}">
                <a16:creationId xmlns:a16="http://schemas.microsoft.com/office/drawing/2014/main" id="{4E446C6B-2AC4-4F78-962F-961D003AE3F8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6" name="Conector reto 495">
            <a:extLst>
              <a:ext uri="{FF2B5EF4-FFF2-40B4-BE49-F238E27FC236}">
                <a16:creationId xmlns:a16="http://schemas.microsoft.com/office/drawing/2014/main" id="{42F49F75-4799-4EA7-8028-80B2280B6D92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7" name="Conector reto 496">
            <a:extLst>
              <a:ext uri="{FF2B5EF4-FFF2-40B4-BE49-F238E27FC236}">
                <a16:creationId xmlns:a16="http://schemas.microsoft.com/office/drawing/2014/main" id="{B46052DB-3A67-4467-B2C3-1C389FA7B25B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8" name="Conector reto 497">
            <a:extLst>
              <a:ext uri="{FF2B5EF4-FFF2-40B4-BE49-F238E27FC236}">
                <a16:creationId xmlns:a16="http://schemas.microsoft.com/office/drawing/2014/main" id="{655B1F28-A715-465B-960E-5D533E451F1D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9" name="Conector reto 498">
            <a:extLst>
              <a:ext uri="{FF2B5EF4-FFF2-40B4-BE49-F238E27FC236}">
                <a16:creationId xmlns:a16="http://schemas.microsoft.com/office/drawing/2014/main" id="{2E146872-B936-4350-AF08-BDFB3BC16A4E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0" name="Conector reto 499">
            <a:extLst>
              <a:ext uri="{FF2B5EF4-FFF2-40B4-BE49-F238E27FC236}">
                <a16:creationId xmlns:a16="http://schemas.microsoft.com/office/drawing/2014/main" id="{33650C38-FC30-4CD8-B70E-01467EEA5085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1" name="Conector reto 500">
            <a:extLst>
              <a:ext uri="{FF2B5EF4-FFF2-40B4-BE49-F238E27FC236}">
                <a16:creationId xmlns:a16="http://schemas.microsoft.com/office/drawing/2014/main" id="{6916379B-2311-47AD-95D2-4682AAC182A6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2" name="Conector reto 501">
            <a:extLst>
              <a:ext uri="{FF2B5EF4-FFF2-40B4-BE49-F238E27FC236}">
                <a16:creationId xmlns:a16="http://schemas.microsoft.com/office/drawing/2014/main" id="{A2F11415-9B4C-40CC-B6D3-1961225001E5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3" name="Conector reto 502">
            <a:extLst>
              <a:ext uri="{FF2B5EF4-FFF2-40B4-BE49-F238E27FC236}">
                <a16:creationId xmlns:a16="http://schemas.microsoft.com/office/drawing/2014/main" id="{E43F7C76-3421-4CFB-8478-916AA5E23091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4" name="Conector reto 503">
            <a:extLst>
              <a:ext uri="{FF2B5EF4-FFF2-40B4-BE49-F238E27FC236}">
                <a16:creationId xmlns:a16="http://schemas.microsoft.com/office/drawing/2014/main" id="{C1F40D33-DD50-46B5-8800-42A0FC028E3F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5" name="Conector reto 504">
            <a:extLst>
              <a:ext uri="{FF2B5EF4-FFF2-40B4-BE49-F238E27FC236}">
                <a16:creationId xmlns:a16="http://schemas.microsoft.com/office/drawing/2014/main" id="{37AC34B7-D1CD-4111-9155-6DA5FA273321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6" name="Conector reto 505">
            <a:extLst>
              <a:ext uri="{FF2B5EF4-FFF2-40B4-BE49-F238E27FC236}">
                <a16:creationId xmlns:a16="http://schemas.microsoft.com/office/drawing/2014/main" id="{6E96CB9D-43DD-4450-9518-6DECDDDF75D2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7" name="Conector reto 506">
            <a:extLst>
              <a:ext uri="{FF2B5EF4-FFF2-40B4-BE49-F238E27FC236}">
                <a16:creationId xmlns:a16="http://schemas.microsoft.com/office/drawing/2014/main" id="{C837CDB7-FDB7-4105-BE37-A0944B77D2E1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Conector reto 507">
            <a:extLst>
              <a:ext uri="{FF2B5EF4-FFF2-40B4-BE49-F238E27FC236}">
                <a16:creationId xmlns:a16="http://schemas.microsoft.com/office/drawing/2014/main" id="{E7685051-B598-4969-A743-38ADFDAA0EF0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9" name="Conector reto 508">
            <a:extLst>
              <a:ext uri="{FF2B5EF4-FFF2-40B4-BE49-F238E27FC236}">
                <a16:creationId xmlns:a16="http://schemas.microsoft.com/office/drawing/2014/main" id="{D5F59656-F351-4E67-8A65-6E8BCA4F9128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0" name="Conector reto 509">
            <a:extLst>
              <a:ext uri="{FF2B5EF4-FFF2-40B4-BE49-F238E27FC236}">
                <a16:creationId xmlns:a16="http://schemas.microsoft.com/office/drawing/2014/main" id="{C35A4CE6-F46B-4FC1-8AB9-AA2DD81D7F8F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1" name="Conector reto 510">
            <a:extLst>
              <a:ext uri="{FF2B5EF4-FFF2-40B4-BE49-F238E27FC236}">
                <a16:creationId xmlns:a16="http://schemas.microsoft.com/office/drawing/2014/main" id="{86D91C04-698C-4FD0-A186-DC95222E92A2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2" name="Conector reto 511">
            <a:extLst>
              <a:ext uri="{FF2B5EF4-FFF2-40B4-BE49-F238E27FC236}">
                <a16:creationId xmlns:a16="http://schemas.microsoft.com/office/drawing/2014/main" id="{9710ED4C-7883-440E-B6DC-C003A04034DE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3" name="Forma Livre: Forma 512">
            <a:extLst>
              <a:ext uri="{FF2B5EF4-FFF2-40B4-BE49-F238E27FC236}">
                <a16:creationId xmlns:a16="http://schemas.microsoft.com/office/drawing/2014/main" id="{D32912E6-5A64-4813-8792-2E5FC9890E32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4" name="Forma Livre: Forma 513">
            <a:extLst>
              <a:ext uri="{FF2B5EF4-FFF2-40B4-BE49-F238E27FC236}">
                <a16:creationId xmlns:a16="http://schemas.microsoft.com/office/drawing/2014/main" id="{F444D6C4-7EFF-4DF5-99B5-E44E7BA0A59F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5" name="Forma Livre: Forma 514">
            <a:extLst>
              <a:ext uri="{FF2B5EF4-FFF2-40B4-BE49-F238E27FC236}">
                <a16:creationId xmlns:a16="http://schemas.microsoft.com/office/drawing/2014/main" id="{B8973371-3089-4002-974F-21ACBDA8EA26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6" name="Forma Livre: Forma 515">
            <a:extLst>
              <a:ext uri="{FF2B5EF4-FFF2-40B4-BE49-F238E27FC236}">
                <a16:creationId xmlns:a16="http://schemas.microsoft.com/office/drawing/2014/main" id="{A9BF3AE9-4FEA-4D0D-92E5-4B51D3B5E671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7" name="Forma Livre: Forma 516">
            <a:extLst>
              <a:ext uri="{FF2B5EF4-FFF2-40B4-BE49-F238E27FC236}">
                <a16:creationId xmlns:a16="http://schemas.microsoft.com/office/drawing/2014/main" id="{D6B2C686-3674-4513-9AD9-44DA782FA2F3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8" name="Forma Livre: Forma 517">
            <a:extLst>
              <a:ext uri="{FF2B5EF4-FFF2-40B4-BE49-F238E27FC236}">
                <a16:creationId xmlns:a16="http://schemas.microsoft.com/office/drawing/2014/main" id="{C744C494-45C6-4D07-9315-CB60B4A1733A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9" name="Elipse 518">
            <a:extLst>
              <a:ext uri="{FF2B5EF4-FFF2-40B4-BE49-F238E27FC236}">
                <a16:creationId xmlns:a16="http://schemas.microsoft.com/office/drawing/2014/main" id="{B30F7957-CC44-4845-8D5D-082C887A286B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0" name="Elipse 519">
            <a:extLst>
              <a:ext uri="{FF2B5EF4-FFF2-40B4-BE49-F238E27FC236}">
                <a16:creationId xmlns:a16="http://schemas.microsoft.com/office/drawing/2014/main" id="{64C0C73F-5A64-459E-BA74-AB152FB0CF3E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1" name="Elipse 520">
            <a:extLst>
              <a:ext uri="{FF2B5EF4-FFF2-40B4-BE49-F238E27FC236}">
                <a16:creationId xmlns:a16="http://schemas.microsoft.com/office/drawing/2014/main" id="{2684830B-1841-4C34-9CC1-52A22FCF94FD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2" name="Elipse 521">
            <a:extLst>
              <a:ext uri="{FF2B5EF4-FFF2-40B4-BE49-F238E27FC236}">
                <a16:creationId xmlns:a16="http://schemas.microsoft.com/office/drawing/2014/main" id="{FAB2A9C4-B992-4BCF-A88B-D94D81C926BD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3" name="Elipse 522">
            <a:extLst>
              <a:ext uri="{FF2B5EF4-FFF2-40B4-BE49-F238E27FC236}">
                <a16:creationId xmlns:a16="http://schemas.microsoft.com/office/drawing/2014/main" id="{2027F32E-4749-444E-A4BC-7DBEB06A475A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4" name="Elipse 523">
            <a:extLst>
              <a:ext uri="{FF2B5EF4-FFF2-40B4-BE49-F238E27FC236}">
                <a16:creationId xmlns:a16="http://schemas.microsoft.com/office/drawing/2014/main" id="{8985A6EC-D63F-4697-B4B5-C3511C9C1830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5" name="Elipse 524">
            <a:extLst>
              <a:ext uri="{FF2B5EF4-FFF2-40B4-BE49-F238E27FC236}">
                <a16:creationId xmlns:a16="http://schemas.microsoft.com/office/drawing/2014/main" id="{1FA7B3C0-F414-41D1-A940-E1541405B071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6" name="Elipse 525">
            <a:extLst>
              <a:ext uri="{FF2B5EF4-FFF2-40B4-BE49-F238E27FC236}">
                <a16:creationId xmlns:a16="http://schemas.microsoft.com/office/drawing/2014/main" id="{58F9FDA1-E898-436F-971B-88D1C251E8ED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7" name="Elipse 526">
            <a:extLst>
              <a:ext uri="{FF2B5EF4-FFF2-40B4-BE49-F238E27FC236}">
                <a16:creationId xmlns:a16="http://schemas.microsoft.com/office/drawing/2014/main" id="{903B2AC2-3F1D-4EB6-A793-331FBDF4F25C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8" name="Elipse 527">
            <a:extLst>
              <a:ext uri="{FF2B5EF4-FFF2-40B4-BE49-F238E27FC236}">
                <a16:creationId xmlns:a16="http://schemas.microsoft.com/office/drawing/2014/main" id="{1200FCF3-A6CA-4CA4-9336-C2392649B525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9" name="Elipse 528">
            <a:extLst>
              <a:ext uri="{FF2B5EF4-FFF2-40B4-BE49-F238E27FC236}">
                <a16:creationId xmlns:a16="http://schemas.microsoft.com/office/drawing/2014/main" id="{DD7D59DC-5B8B-470C-B311-53438E18B135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0" name="Elipse 529">
            <a:extLst>
              <a:ext uri="{FF2B5EF4-FFF2-40B4-BE49-F238E27FC236}">
                <a16:creationId xmlns:a16="http://schemas.microsoft.com/office/drawing/2014/main" id="{39F4D3FE-E174-41A7-8CB6-73796F47B555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1" name="Elipse 530">
            <a:extLst>
              <a:ext uri="{FF2B5EF4-FFF2-40B4-BE49-F238E27FC236}">
                <a16:creationId xmlns:a16="http://schemas.microsoft.com/office/drawing/2014/main" id="{F6CB6CCF-F61F-42AA-A861-F44DB58EB5D3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2" name="Elipse 531">
            <a:extLst>
              <a:ext uri="{FF2B5EF4-FFF2-40B4-BE49-F238E27FC236}">
                <a16:creationId xmlns:a16="http://schemas.microsoft.com/office/drawing/2014/main" id="{7705A0C4-A7B0-46FF-83E9-3C7F17DCD042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3" name="Elipse 532">
            <a:extLst>
              <a:ext uri="{FF2B5EF4-FFF2-40B4-BE49-F238E27FC236}">
                <a16:creationId xmlns:a16="http://schemas.microsoft.com/office/drawing/2014/main" id="{F1107549-F1C2-4656-B45B-57A4D65683FE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4" name="Elipse 533">
            <a:extLst>
              <a:ext uri="{FF2B5EF4-FFF2-40B4-BE49-F238E27FC236}">
                <a16:creationId xmlns:a16="http://schemas.microsoft.com/office/drawing/2014/main" id="{02EEDEA7-8615-4EC7-B26C-0C697DB5FEE0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5" name="Elipse 534">
            <a:extLst>
              <a:ext uri="{FF2B5EF4-FFF2-40B4-BE49-F238E27FC236}">
                <a16:creationId xmlns:a16="http://schemas.microsoft.com/office/drawing/2014/main" id="{28BE8FDD-B9B3-49FF-B2AD-80B20A49C1B0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6" name="Elipse 535">
            <a:extLst>
              <a:ext uri="{FF2B5EF4-FFF2-40B4-BE49-F238E27FC236}">
                <a16:creationId xmlns:a16="http://schemas.microsoft.com/office/drawing/2014/main" id="{2ADBB5F7-C086-4589-A8EB-B64DD4A8AC57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7" name="Elipse 536">
            <a:extLst>
              <a:ext uri="{FF2B5EF4-FFF2-40B4-BE49-F238E27FC236}">
                <a16:creationId xmlns:a16="http://schemas.microsoft.com/office/drawing/2014/main" id="{2CB59F1C-4077-4EF2-A9E0-3791C6ABBE00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8" name="Elipse 537">
            <a:extLst>
              <a:ext uri="{FF2B5EF4-FFF2-40B4-BE49-F238E27FC236}">
                <a16:creationId xmlns:a16="http://schemas.microsoft.com/office/drawing/2014/main" id="{705173CD-235C-4239-98E9-F8EFF83CE2DA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9" name="Elipse 538">
            <a:extLst>
              <a:ext uri="{FF2B5EF4-FFF2-40B4-BE49-F238E27FC236}">
                <a16:creationId xmlns:a16="http://schemas.microsoft.com/office/drawing/2014/main" id="{5FD7494A-7D7D-4023-A6A4-9F0631FA40F0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0" name="Elipse 539">
            <a:extLst>
              <a:ext uri="{FF2B5EF4-FFF2-40B4-BE49-F238E27FC236}">
                <a16:creationId xmlns:a16="http://schemas.microsoft.com/office/drawing/2014/main" id="{C3E6EE61-6DDD-4BB4-96C1-8F316501CF3D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1" name="Elipse 540">
            <a:extLst>
              <a:ext uri="{FF2B5EF4-FFF2-40B4-BE49-F238E27FC236}">
                <a16:creationId xmlns:a16="http://schemas.microsoft.com/office/drawing/2014/main" id="{85202FFF-2DE0-4C23-9918-B73655EFA80A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2" name="Elipse 541">
            <a:extLst>
              <a:ext uri="{FF2B5EF4-FFF2-40B4-BE49-F238E27FC236}">
                <a16:creationId xmlns:a16="http://schemas.microsoft.com/office/drawing/2014/main" id="{E7FDC674-6067-4765-B6C2-D285FAB12E60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3" name="Elipse 542">
            <a:extLst>
              <a:ext uri="{FF2B5EF4-FFF2-40B4-BE49-F238E27FC236}">
                <a16:creationId xmlns:a16="http://schemas.microsoft.com/office/drawing/2014/main" id="{AA8993D7-7453-4568-ACAB-63526FCA73B8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4" name="Elipse 543">
            <a:extLst>
              <a:ext uri="{FF2B5EF4-FFF2-40B4-BE49-F238E27FC236}">
                <a16:creationId xmlns:a16="http://schemas.microsoft.com/office/drawing/2014/main" id="{DFFA032F-4D61-46F5-9B83-7E1AACDB62D3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668601</xdr:colOff>
      <xdr:row>11</xdr:row>
      <xdr:rowOff>90488</xdr:rowOff>
    </xdr:from>
    <xdr:to>
      <xdr:col>16</xdr:col>
      <xdr:colOff>411201</xdr:colOff>
      <xdr:row>13</xdr:row>
      <xdr:rowOff>88538</xdr:rowOff>
    </xdr:to>
    <xdr:grpSp>
      <xdr:nvGrpSpPr>
        <xdr:cNvPr id="545" name="Agrupar 544">
          <a:extLst>
            <a:ext uri="{FF2B5EF4-FFF2-40B4-BE49-F238E27FC236}">
              <a16:creationId xmlns:a16="http://schemas.microsoft.com/office/drawing/2014/main" id="{1032EFA8-FA70-4D83-A047-AB66FD196C3B}"/>
            </a:ext>
          </a:extLst>
        </xdr:cNvPr>
        <xdr:cNvGrpSpPr/>
      </xdr:nvGrpSpPr>
      <xdr:grpSpPr>
        <a:xfrm>
          <a:off x="12401160" y="2163576"/>
          <a:ext cx="1793276" cy="379050"/>
          <a:chOff x="7936176" y="442913"/>
          <a:chExt cx="8293101" cy="4775396"/>
        </a:xfrm>
      </xdr:grpSpPr>
      <xdr:sp macro="" textlink="">
        <xdr:nvSpPr>
          <xdr:cNvPr id="546" name="Elipse 545">
            <a:extLst>
              <a:ext uri="{FF2B5EF4-FFF2-40B4-BE49-F238E27FC236}">
                <a16:creationId xmlns:a16="http://schemas.microsoft.com/office/drawing/2014/main" id="{C933C422-DF7A-4CF8-B376-B8B01A18DD75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7" name="Elipse 546">
            <a:extLst>
              <a:ext uri="{FF2B5EF4-FFF2-40B4-BE49-F238E27FC236}">
                <a16:creationId xmlns:a16="http://schemas.microsoft.com/office/drawing/2014/main" id="{8A291467-E792-46F1-B6BC-27171E642DD6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8" name="Elipse 547">
            <a:extLst>
              <a:ext uri="{FF2B5EF4-FFF2-40B4-BE49-F238E27FC236}">
                <a16:creationId xmlns:a16="http://schemas.microsoft.com/office/drawing/2014/main" id="{86860AE3-4512-42D3-91DC-F6E974CB07A6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9" name="Elipse 548">
            <a:extLst>
              <a:ext uri="{FF2B5EF4-FFF2-40B4-BE49-F238E27FC236}">
                <a16:creationId xmlns:a16="http://schemas.microsoft.com/office/drawing/2014/main" id="{9030B36F-3CE3-4ADE-982F-A2F8C2AC10C3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0" name="Elipse 549">
            <a:extLst>
              <a:ext uri="{FF2B5EF4-FFF2-40B4-BE49-F238E27FC236}">
                <a16:creationId xmlns:a16="http://schemas.microsoft.com/office/drawing/2014/main" id="{26461160-386F-4357-B904-9899B5A88995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1" name="Elipse 550">
            <a:extLst>
              <a:ext uri="{FF2B5EF4-FFF2-40B4-BE49-F238E27FC236}">
                <a16:creationId xmlns:a16="http://schemas.microsoft.com/office/drawing/2014/main" id="{879E0CB5-C368-4806-A4E7-EE196067348A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2" name="Elipse 551">
            <a:extLst>
              <a:ext uri="{FF2B5EF4-FFF2-40B4-BE49-F238E27FC236}">
                <a16:creationId xmlns:a16="http://schemas.microsoft.com/office/drawing/2014/main" id="{713CFE39-CE17-477E-BB56-DBB937AF8041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3" name="Elipse 552">
            <a:extLst>
              <a:ext uri="{FF2B5EF4-FFF2-40B4-BE49-F238E27FC236}">
                <a16:creationId xmlns:a16="http://schemas.microsoft.com/office/drawing/2014/main" id="{E3A46F57-BC57-4B54-8F2E-F5AD1992AEE8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4" name="Elipse 553">
            <a:extLst>
              <a:ext uri="{FF2B5EF4-FFF2-40B4-BE49-F238E27FC236}">
                <a16:creationId xmlns:a16="http://schemas.microsoft.com/office/drawing/2014/main" id="{E9A80B53-AF25-4252-AB4E-C163A00A58B2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5" name="Elipse 554">
            <a:extLst>
              <a:ext uri="{FF2B5EF4-FFF2-40B4-BE49-F238E27FC236}">
                <a16:creationId xmlns:a16="http://schemas.microsoft.com/office/drawing/2014/main" id="{BD3C5860-FCAF-4EA7-B5CA-B1C083D7EA6C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6" name="Elipse 555">
            <a:extLst>
              <a:ext uri="{FF2B5EF4-FFF2-40B4-BE49-F238E27FC236}">
                <a16:creationId xmlns:a16="http://schemas.microsoft.com/office/drawing/2014/main" id="{87DF41D3-2D79-4E51-8EEB-64F026D22989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7" name="Elipse 556">
            <a:extLst>
              <a:ext uri="{FF2B5EF4-FFF2-40B4-BE49-F238E27FC236}">
                <a16:creationId xmlns:a16="http://schemas.microsoft.com/office/drawing/2014/main" id="{2054D9D6-A6F0-4F7D-96A2-03DFD291998B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8" name="Elipse 557">
            <a:extLst>
              <a:ext uri="{FF2B5EF4-FFF2-40B4-BE49-F238E27FC236}">
                <a16:creationId xmlns:a16="http://schemas.microsoft.com/office/drawing/2014/main" id="{716B9633-A8CB-408B-8B4E-804A2AA198D1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9" name="Elipse 558">
            <a:extLst>
              <a:ext uri="{FF2B5EF4-FFF2-40B4-BE49-F238E27FC236}">
                <a16:creationId xmlns:a16="http://schemas.microsoft.com/office/drawing/2014/main" id="{682C8D7E-93D3-4E1A-B05A-BF766F9E34A3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560" name="Conector reto 559">
            <a:extLst>
              <a:ext uri="{FF2B5EF4-FFF2-40B4-BE49-F238E27FC236}">
                <a16:creationId xmlns:a16="http://schemas.microsoft.com/office/drawing/2014/main" id="{402FE691-B8D4-4BA9-B05E-A59695C9AB99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" name="Conector reto 560">
            <a:extLst>
              <a:ext uri="{FF2B5EF4-FFF2-40B4-BE49-F238E27FC236}">
                <a16:creationId xmlns:a16="http://schemas.microsoft.com/office/drawing/2014/main" id="{F6AD4C74-44ED-4261-816D-03429215E140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" name="Conector reto 561">
            <a:extLst>
              <a:ext uri="{FF2B5EF4-FFF2-40B4-BE49-F238E27FC236}">
                <a16:creationId xmlns:a16="http://schemas.microsoft.com/office/drawing/2014/main" id="{F3C92250-26A1-4536-A629-697F783EF3FA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3" name="Conector reto 562">
            <a:extLst>
              <a:ext uri="{FF2B5EF4-FFF2-40B4-BE49-F238E27FC236}">
                <a16:creationId xmlns:a16="http://schemas.microsoft.com/office/drawing/2014/main" id="{49BEF34B-C099-4487-B226-BE6B23730B54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4" name="Conector reto 563">
            <a:extLst>
              <a:ext uri="{FF2B5EF4-FFF2-40B4-BE49-F238E27FC236}">
                <a16:creationId xmlns:a16="http://schemas.microsoft.com/office/drawing/2014/main" id="{EB4F9B03-D636-452F-BA78-28AF5DB2AE53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5" name="Conector reto 564">
            <a:extLst>
              <a:ext uri="{FF2B5EF4-FFF2-40B4-BE49-F238E27FC236}">
                <a16:creationId xmlns:a16="http://schemas.microsoft.com/office/drawing/2014/main" id="{BA5335F7-9673-4C6F-81B8-5CE7F26817F8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6" name="Conector reto 565">
            <a:extLst>
              <a:ext uri="{FF2B5EF4-FFF2-40B4-BE49-F238E27FC236}">
                <a16:creationId xmlns:a16="http://schemas.microsoft.com/office/drawing/2014/main" id="{54E1EC17-621B-43ED-A516-FE88FF9B9F0D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7" name="Conector reto 566">
            <a:extLst>
              <a:ext uri="{FF2B5EF4-FFF2-40B4-BE49-F238E27FC236}">
                <a16:creationId xmlns:a16="http://schemas.microsoft.com/office/drawing/2014/main" id="{00BCF7F8-E8E5-423C-8FE0-316D27574E46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8" name="Conector reto 567">
            <a:extLst>
              <a:ext uri="{FF2B5EF4-FFF2-40B4-BE49-F238E27FC236}">
                <a16:creationId xmlns:a16="http://schemas.microsoft.com/office/drawing/2014/main" id="{C0992477-F774-42B7-A103-CA8E481BDD7B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9" name="Conector reto 568">
            <a:extLst>
              <a:ext uri="{FF2B5EF4-FFF2-40B4-BE49-F238E27FC236}">
                <a16:creationId xmlns:a16="http://schemas.microsoft.com/office/drawing/2014/main" id="{8DC12DFB-A263-4AC9-813A-853320E91E98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0" name="Conector reto 569">
            <a:extLst>
              <a:ext uri="{FF2B5EF4-FFF2-40B4-BE49-F238E27FC236}">
                <a16:creationId xmlns:a16="http://schemas.microsoft.com/office/drawing/2014/main" id="{11259B39-9545-4E85-BBAE-BED5925BB038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1" name="Conector reto 570">
            <a:extLst>
              <a:ext uri="{FF2B5EF4-FFF2-40B4-BE49-F238E27FC236}">
                <a16:creationId xmlns:a16="http://schemas.microsoft.com/office/drawing/2014/main" id="{D0DB16B1-3033-4ED6-B736-DA1D364DAE96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2" name="Conector reto 571">
            <a:extLst>
              <a:ext uri="{FF2B5EF4-FFF2-40B4-BE49-F238E27FC236}">
                <a16:creationId xmlns:a16="http://schemas.microsoft.com/office/drawing/2014/main" id="{4300FB9E-7216-4B48-B493-11DAA2E7C3CD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3" name="Conector reto 572">
            <a:extLst>
              <a:ext uri="{FF2B5EF4-FFF2-40B4-BE49-F238E27FC236}">
                <a16:creationId xmlns:a16="http://schemas.microsoft.com/office/drawing/2014/main" id="{FB66041B-EBF4-4541-96EF-FBB72F20E987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4" name="Conector reto 573">
            <a:extLst>
              <a:ext uri="{FF2B5EF4-FFF2-40B4-BE49-F238E27FC236}">
                <a16:creationId xmlns:a16="http://schemas.microsoft.com/office/drawing/2014/main" id="{34A340A7-1973-4D95-B236-619035FF2B39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5" name="Conector reto 574">
            <a:extLst>
              <a:ext uri="{FF2B5EF4-FFF2-40B4-BE49-F238E27FC236}">
                <a16:creationId xmlns:a16="http://schemas.microsoft.com/office/drawing/2014/main" id="{197E43B0-0AF5-4D4A-94E8-E6E6AEE48206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6" name="Conector reto 575">
            <a:extLst>
              <a:ext uri="{FF2B5EF4-FFF2-40B4-BE49-F238E27FC236}">
                <a16:creationId xmlns:a16="http://schemas.microsoft.com/office/drawing/2014/main" id="{647880A0-FFD8-4E3D-B705-BB79D7D874B8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7" name="Conector reto 576">
            <a:extLst>
              <a:ext uri="{FF2B5EF4-FFF2-40B4-BE49-F238E27FC236}">
                <a16:creationId xmlns:a16="http://schemas.microsoft.com/office/drawing/2014/main" id="{FB3612E6-05AF-479C-BB28-0769AB5A0FCE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Conector reto 577">
            <a:extLst>
              <a:ext uri="{FF2B5EF4-FFF2-40B4-BE49-F238E27FC236}">
                <a16:creationId xmlns:a16="http://schemas.microsoft.com/office/drawing/2014/main" id="{A51A6763-EEE6-46D1-8780-2A9396FC1C53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9" name="Conector reto 578">
            <a:extLst>
              <a:ext uri="{FF2B5EF4-FFF2-40B4-BE49-F238E27FC236}">
                <a16:creationId xmlns:a16="http://schemas.microsoft.com/office/drawing/2014/main" id="{3A947F59-DCA9-431B-8983-AE04CA49FB67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0" name="Conector reto 579">
            <a:extLst>
              <a:ext uri="{FF2B5EF4-FFF2-40B4-BE49-F238E27FC236}">
                <a16:creationId xmlns:a16="http://schemas.microsoft.com/office/drawing/2014/main" id="{299EEBAC-DFFF-4488-A6D8-16DD925B802F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1" name="Conector reto 580">
            <a:extLst>
              <a:ext uri="{FF2B5EF4-FFF2-40B4-BE49-F238E27FC236}">
                <a16:creationId xmlns:a16="http://schemas.microsoft.com/office/drawing/2014/main" id="{FF438365-DE26-4A2E-B254-BB1D56C1E12B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2" name="Conector reto 581">
            <a:extLst>
              <a:ext uri="{FF2B5EF4-FFF2-40B4-BE49-F238E27FC236}">
                <a16:creationId xmlns:a16="http://schemas.microsoft.com/office/drawing/2014/main" id="{F78FA083-DC64-4169-8534-FC6E3DA4F766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3" name="Conector reto 582">
            <a:extLst>
              <a:ext uri="{FF2B5EF4-FFF2-40B4-BE49-F238E27FC236}">
                <a16:creationId xmlns:a16="http://schemas.microsoft.com/office/drawing/2014/main" id="{63264252-7548-40E1-AA29-F7F29C8D709D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4" name="Conector reto 583">
            <a:extLst>
              <a:ext uri="{FF2B5EF4-FFF2-40B4-BE49-F238E27FC236}">
                <a16:creationId xmlns:a16="http://schemas.microsoft.com/office/drawing/2014/main" id="{C925ED1F-1FFE-41EC-B6B9-FD7767420F64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5" name="Forma Livre: Forma 584">
            <a:extLst>
              <a:ext uri="{FF2B5EF4-FFF2-40B4-BE49-F238E27FC236}">
                <a16:creationId xmlns:a16="http://schemas.microsoft.com/office/drawing/2014/main" id="{914D3AC1-B158-4E5F-AFC1-0BE20B469293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6" name="Forma Livre: Forma 585">
            <a:extLst>
              <a:ext uri="{FF2B5EF4-FFF2-40B4-BE49-F238E27FC236}">
                <a16:creationId xmlns:a16="http://schemas.microsoft.com/office/drawing/2014/main" id="{01BD1DD4-D41D-42A8-8323-7632C2049CD4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7" name="Forma Livre: Forma 586">
            <a:extLst>
              <a:ext uri="{FF2B5EF4-FFF2-40B4-BE49-F238E27FC236}">
                <a16:creationId xmlns:a16="http://schemas.microsoft.com/office/drawing/2014/main" id="{7D7EC2F8-F9BE-439D-AFEA-3533B36D4234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8" name="Forma Livre: Forma 587">
            <a:extLst>
              <a:ext uri="{FF2B5EF4-FFF2-40B4-BE49-F238E27FC236}">
                <a16:creationId xmlns:a16="http://schemas.microsoft.com/office/drawing/2014/main" id="{E850E972-F362-4442-817D-B13E5FC05ED3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9" name="Forma Livre: Forma 588">
            <a:extLst>
              <a:ext uri="{FF2B5EF4-FFF2-40B4-BE49-F238E27FC236}">
                <a16:creationId xmlns:a16="http://schemas.microsoft.com/office/drawing/2014/main" id="{97D73FFB-C199-4F48-AE0A-04109EF1D75B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0" name="Forma Livre: Forma 589">
            <a:extLst>
              <a:ext uri="{FF2B5EF4-FFF2-40B4-BE49-F238E27FC236}">
                <a16:creationId xmlns:a16="http://schemas.microsoft.com/office/drawing/2014/main" id="{6F62C30E-A16D-482D-A9D3-8C0DB64A46E5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1" name="Elipse 590">
            <a:extLst>
              <a:ext uri="{FF2B5EF4-FFF2-40B4-BE49-F238E27FC236}">
                <a16:creationId xmlns:a16="http://schemas.microsoft.com/office/drawing/2014/main" id="{C4D9F61B-91CC-4F86-9CC9-B9CB9545B50B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2" name="Elipse 591">
            <a:extLst>
              <a:ext uri="{FF2B5EF4-FFF2-40B4-BE49-F238E27FC236}">
                <a16:creationId xmlns:a16="http://schemas.microsoft.com/office/drawing/2014/main" id="{9435C7E4-7EC8-419A-8035-FABE92165A64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3" name="Elipse 592">
            <a:extLst>
              <a:ext uri="{FF2B5EF4-FFF2-40B4-BE49-F238E27FC236}">
                <a16:creationId xmlns:a16="http://schemas.microsoft.com/office/drawing/2014/main" id="{C7FAB540-7889-41D3-9CCB-3AE9310D3F94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4" name="Elipse 593">
            <a:extLst>
              <a:ext uri="{FF2B5EF4-FFF2-40B4-BE49-F238E27FC236}">
                <a16:creationId xmlns:a16="http://schemas.microsoft.com/office/drawing/2014/main" id="{7C227B00-82AF-42D1-BD98-45A57EAA87BC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5" name="Elipse 594">
            <a:extLst>
              <a:ext uri="{FF2B5EF4-FFF2-40B4-BE49-F238E27FC236}">
                <a16:creationId xmlns:a16="http://schemas.microsoft.com/office/drawing/2014/main" id="{A85C0AB4-B53A-4AD1-AFA8-47082F2A54CC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6" name="Elipse 595">
            <a:extLst>
              <a:ext uri="{FF2B5EF4-FFF2-40B4-BE49-F238E27FC236}">
                <a16:creationId xmlns:a16="http://schemas.microsoft.com/office/drawing/2014/main" id="{CB955AFB-FEF8-46EB-84BD-CE58D33690ED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7" name="Elipse 596">
            <a:extLst>
              <a:ext uri="{FF2B5EF4-FFF2-40B4-BE49-F238E27FC236}">
                <a16:creationId xmlns:a16="http://schemas.microsoft.com/office/drawing/2014/main" id="{92B39BC9-A27C-402B-88CB-E5318A9BB184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8" name="Elipse 597">
            <a:extLst>
              <a:ext uri="{FF2B5EF4-FFF2-40B4-BE49-F238E27FC236}">
                <a16:creationId xmlns:a16="http://schemas.microsoft.com/office/drawing/2014/main" id="{DC31B45C-A7F2-4A37-9675-B37B10F4576E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9" name="Elipse 598">
            <a:extLst>
              <a:ext uri="{FF2B5EF4-FFF2-40B4-BE49-F238E27FC236}">
                <a16:creationId xmlns:a16="http://schemas.microsoft.com/office/drawing/2014/main" id="{DCC498D2-AF64-402D-BE85-45DEECB99581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0" name="Elipse 599">
            <a:extLst>
              <a:ext uri="{FF2B5EF4-FFF2-40B4-BE49-F238E27FC236}">
                <a16:creationId xmlns:a16="http://schemas.microsoft.com/office/drawing/2014/main" id="{4E45720D-81E6-4599-BEE2-C19A12DA2630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1" name="Elipse 600">
            <a:extLst>
              <a:ext uri="{FF2B5EF4-FFF2-40B4-BE49-F238E27FC236}">
                <a16:creationId xmlns:a16="http://schemas.microsoft.com/office/drawing/2014/main" id="{5A3E7F1F-BDBD-4D08-ACDF-CD66D50DAD19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2" name="Elipse 601">
            <a:extLst>
              <a:ext uri="{FF2B5EF4-FFF2-40B4-BE49-F238E27FC236}">
                <a16:creationId xmlns:a16="http://schemas.microsoft.com/office/drawing/2014/main" id="{D1198AD6-B1AF-4BCD-B1E2-15EAA00DF06F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3" name="Elipse 602">
            <a:extLst>
              <a:ext uri="{FF2B5EF4-FFF2-40B4-BE49-F238E27FC236}">
                <a16:creationId xmlns:a16="http://schemas.microsoft.com/office/drawing/2014/main" id="{18DFDA31-B759-4325-8D05-3D5A760CFCFC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4" name="Elipse 603">
            <a:extLst>
              <a:ext uri="{FF2B5EF4-FFF2-40B4-BE49-F238E27FC236}">
                <a16:creationId xmlns:a16="http://schemas.microsoft.com/office/drawing/2014/main" id="{78552E3A-D43B-41B6-BD0E-0A32BD7DE9C8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5" name="Elipse 604">
            <a:extLst>
              <a:ext uri="{FF2B5EF4-FFF2-40B4-BE49-F238E27FC236}">
                <a16:creationId xmlns:a16="http://schemas.microsoft.com/office/drawing/2014/main" id="{832CB531-77C5-4E82-9793-58F46BCF846F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6" name="Elipse 605">
            <a:extLst>
              <a:ext uri="{FF2B5EF4-FFF2-40B4-BE49-F238E27FC236}">
                <a16:creationId xmlns:a16="http://schemas.microsoft.com/office/drawing/2014/main" id="{18C02EBB-FA25-4C3E-8E33-E895DB511105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7" name="Elipse 606">
            <a:extLst>
              <a:ext uri="{FF2B5EF4-FFF2-40B4-BE49-F238E27FC236}">
                <a16:creationId xmlns:a16="http://schemas.microsoft.com/office/drawing/2014/main" id="{90ACF5CF-04FC-423F-9C5E-4EF6157C78D6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8" name="Elipse 607">
            <a:extLst>
              <a:ext uri="{FF2B5EF4-FFF2-40B4-BE49-F238E27FC236}">
                <a16:creationId xmlns:a16="http://schemas.microsoft.com/office/drawing/2014/main" id="{39CF7C78-7C1E-4353-A9AD-217A2CFEF5BA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9" name="Elipse 608">
            <a:extLst>
              <a:ext uri="{FF2B5EF4-FFF2-40B4-BE49-F238E27FC236}">
                <a16:creationId xmlns:a16="http://schemas.microsoft.com/office/drawing/2014/main" id="{8FA5D26D-6558-4790-A052-719A696D9392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0" name="Elipse 609">
            <a:extLst>
              <a:ext uri="{FF2B5EF4-FFF2-40B4-BE49-F238E27FC236}">
                <a16:creationId xmlns:a16="http://schemas.microsoft.com/office/drawing/2014/main" id="{A88CDD2B-BEDE-4061-8333-5E5912828E4F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1" name="Elipse 610">
            <a:extLst>
              <a:ext uri="{FF2B5EF4-FFF2-40B4-BE49-F238E27FC236}">
                <a16:creationId xmlns:a16="http://schemas.microsoft.com/office/drawing/2014/main" id="{5835B761-1DFE-4FD2-8F87-7B1A187FA96A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2" name="Elipse 611">
            <a:extLst>
              <a:ext uri="{FF2B5EF4-FFF2-40B4-BE49-F238E27FC236}">
                <a16:creationId xmlns:a16="http://schemas.microsoft.com/office/drawing/2014/main" id="{6685EE7B-02F4-49FE-BA4B-3C6F6A182869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3" name="Elipse 612">
            <a:extLst>
              <a:ext uri="{FF2B5EF4-FFF2-40B4-BE49-F238E27FC236}">
                <a16:creationId xmlns:a16="http://schemas.microsoft.com/office/drawing/2014/main" id="{FE5AFF57-3175-473F-9940-F796B9D1D95F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4" name="Elipse 613">
            <a:extLst>
              <a:ext uri="{FF2B5EF4-FFF2-40B4-BE49-F238E27FC236}">
                <a16:creationId xmlns:a16="http://schemas.microsoft.com/office/drawing/2014/main" id="{0CB28018-A260-4A62-BD7A-CC748DA47A87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5" name="Elipse 614">
            <a:extLst>
              <a:ext uri="{FF2B5EF4-FFF2-40B4-BE49-F238E27FC236}">
                <a16:creationId xmlns:a16="http://schemas.microsoft.com/office/drawing/2014/main" id="{AF96D1B2-5A73-434C-9B3D-C66AC09ACE67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6" name="Elipse 615">
            <a:extLst>
              <a:ext uri="{FF2B5EF4-FFF2-40B4-BE49-F238E27FC236}">
                <a16:creationId xmlns:a16="http://schemas.microsoft.com/office/drawing/2014/main" id="{C15162B7-BF2D-4882-9905-06A19128B72C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659076</xdr:colOff>
      <xdr:row>14</xdr:row>
      <xdr:rowOff>147638</xdr:rowOff>
    </xdr:from>
    <xdr:to>
      <xdr:col>16</xdr:col>
      <xdr:colOff>401676</xdr:colOff>
      <xdr:row>16</xdr:row>
      <xdr:rowOff>145688</xdr:rowOff>
    </xdr:to>
    <xdr:grpSp>
      <xdr:nvGrpSpPr>
        <xdr:cNvPr id="617" name="Agrupar 616">
          <a:extLst>
            <a:ext uri="{FF2B5EF4-FFF2-40B4-BE49-F238E27FC236}">
              <a16:creationId xmlns:a16="http://schemas.microsoft.com/office/drawing/2014/main" id="{4A61A465-2CB0-47A8-B9CD-FAF9B8ABB01B}"/>
            </a:ext>
          </a:extLst>
        </xdr:cNvPr>
        <xdr:cNvGrpSpPr/>
      </xdr:nvGrpSpPr>
      <xdr:grpSpPr>
        <a:xfrm>
          <a:off x="12391635" y="2792226"/>
          <a:ext cx="1793276" cy="423874"/>
          <a:chOff x="7936176" y="442913"/>
          <a:chExt cx="8293101" cy="4775396"/>
        </a:xfrm>
      </xdr:grpSpPr>
      <xdr:sp macro="" textlink="">
        <xdr:nvSpPr>
          <xdr:cNvPr id="618" name="Elipse 617">
            <a:extLst>
              <a:ext uri="{FF2B5EF4-FFF2-40B4-BE49-F238E27FC236}">
                <a16:creationId xmlns:a16="http://schemas.microsoft.com/office/drawing/2014/main" id="{1C059714-94B3-4FED-8BB4-BFA672437E80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9" name="Elipse 618">
            <a:extLst>
              <a:ext uri="{FF2B5EF4-FFF2-40B4-BE49-F238E27FC236}">
                <a16:creationId xmlns:a16="http://schemas.microsoft.com/office/drawing/2014/main" id="{611A81E0-9F50-44B0-898B-23352395B75F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0" name="Elipse 619">
            <a:extLst>
              <a:ext uri="{FF2B5EF4-FFF2-40B4-BE49-F238E27FC236}">
                <a16:creationId xmlns:a16="http://schemas.microsoft.com/office/drawing/2014/main" id="{C5FD1BB8-B372-47B8-BAB8-DC04C152FF87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1" name="Elipse 620">
            <a:extLst>
              <a:ext uri="{FF2B5EF4-FFF2-40B4-BE49-F238E27FC236}">
                <a16:creationId xmlns:a16="http://schemas.microsoft.com/office/drawing/2014/main" id="{EDCBD21A-4D44-4D64-92A8-84F0D843FCC6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2" name="Elipse 621">
            <a:extLst>
              <a:ext uri="{FF2B5EF4-FFF2-40B4-BE49-F238E27FC236}">
                <a16:creationId xmlns:a16="http://schemas.microsoft.com/office/drawing/2014/main" id="{D3F40858-A220-415B-9AE3-44AE853AD420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3" name="Elipse 622">
            <a:extLst>
              <a:ext uri="{FF2B5EF4-FFF2-40B4-BE49-F238E27FC236}">
                <a16:creationId xmlns:a16="http://schemas.microsoft.com/office/drawing/2014/main" id="{27BED3CD-D9E9-4E5A-91C1-77EDE361739A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4" name="Elipse 623">
            <a:extLst>
              <a:ext uri="{FF2B5EF4-FFF2-40B4-BE49-F238E27FC236}">
                <a16:creationId xmlns:a16="http://schemas.microsoft.com/office/drawing/2014/main" id="{A4A25B4C-24FC-4A25-9515-9A82D716454E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5" name="Elipse 624">
            <a:extLst>
              <a:ext uri="{FF2B5EF4-FFF2-40B4-BE49-F238E27FC236}">
                <a16:creationId xmlns:a16="http://schemas.microsoft.com/office/drawing/2014/main" id="{B7D2B1CD-83B0-4BE6-A131-29DE43A43DEA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6" name="Elipse 625">
            <a:extLst>
              <a:ext uri="{FF2B5EF4-FFF2-40B4-BE49-F238E27FC236}">
                <a16:creationId xmlns:a16="http://schemas.microsoft.com/office/drawing/2014/main" id="{6929D3DC-722F-4798-A7A6-238A4634CDC7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7" name="Elipse 626">
            <a:extLst>
              <a:ext uri="{FF2B5EF4-FFF2-40B4-BE49-F238E27FC236}">
                <a16:creationId xmlns:a16="http://schemas.microsoft.com/office/drawing/2014/main" id="{0446AF98-C72E-4088-918F-6AB2C8E22E6A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8" name="Elipse 627">
            <a:extLst>
              <a:ext uri="{FF2B5EF4-FFF2-40B4-BE49-F238E27FC236}">
                <a16:creationId xmlns:a16="http://schemas.microsoft.com/office/drawing/2014/main" id="{7E2761F9-4E60-486B-981C-C6E3EC362D8B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29" name="Elipse 628">
            <a:extLst>
              <a:ext uri="{FF2B5EF4-FFF2-40B4-BE49-F238E27FC236}">
                <a16:creationId xmlns:a16="http://schemas.microsoft.com/office/drawing/2014/main" id="{F17AAD63-9285-4B9A-9B67-AC0ADDC5CDE7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0" name="Elipse 629">
            <a:extLst>
              <a:ext uri="{FF2B5EF4-FFF2-40B4-BE49-F238E27FC236}">
                <a16:creationId xmlns:a16="http://schemas.microsoft.com/office/drawing/2014/main" id="{D5185F4C-3508-4830-9637-3BB21ABEC0A0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1" name="Elipse 630">
            <a:extLst>
              <a:ext uri="{FF2B5EF4-FFF2-40B4-BE49-F238E27FC236}">
                <a16:creationId xmlns:a16="http://schemas.microsoft.com/office/drawing/2014/main" id="{D899D49E-E1EA-4222-A4A3-12EA5961FD85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632" name="Conector reto 631">
            <a:extLst>
              <a:ext uri="{FF2B5EF4-FFF2-40B4-BE49-F238E27FC236}">
                <a16:creationId xmlns:a16="http://schemas.microsoft.com/office/drawing/2014/main" id="{2E4E2874-27DB-4E09-A9A0-BC5D5FAAC0F6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Conector reto 632">
            <a:extLst>
              <a:ext uri="{FF2B5EF4-FFF2-40B4-BE49-F238E27FC236}">
                <a16:creationId xmlns:a16="http://schemas.microsoft.com/office/drawing/2014/main" id="{BD3C3744-D736-40BD-BFC9-1F70769E75C6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4" name="Conector reto 633">
            <a:extLst>
              <a:ext uri="{FF2B5EF4-FFF2-40B4-BE49-F238E27FC236}">
                <a16:creationId xmlns:a16="http://schemas.microsoft.com/office/drawing/2014/main" id="{5CC3F51C-2165-47CC-A5DE-6140D3DADF8D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5" name="Conector reto 634">
            <a:extLst>
              <a:ext uri="{FF2B5EF4-FFF2-40B4-BE49-F238E27FC236}">
                <a16:creationId xmlns:a16="http://schemas.microsoft.com/office/drawing/2014/main" id="{0C6593BE-817E-4460-90FA-F944490B6375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6" name="Conector reto 635">
            <a:extLst>
              <a:ext uri="{FF2B5EF4-FFF2-40B4-BE49-F238E27FC236}">
                <a16:creationId xmlns:a16="http://schemas.microsoft.com/office/drawing/2014/main" id="{EF1CBD48-9ABC-4781-AD56-C69282458166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7" name="Conector reto 636">
            <a:extLst>
              <a:ext uri="{FF2B5EF4-FFF2-40B4-BE49-F238E27FC236}">
                <a16:creationId xmlns:a16="http://schemas.microsoft.com/office/drawing/2014/main" id="{F36B7290-EB6D-48BF-B3C8-88AF9546DF44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8" name="Conector reto 637">
            <a:extLst>
              <a:ext uri="{FF2B5EF4-FFF2-40B4-BE49-F238E27FC236}">
                <a16:creationId xmlns:a16="http://schemas.microsoft.com/office/drawing/2014/main" id="{9A0C2F03-940C-4CBC-B30C-1C108DFD7C33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9" name="Conector reto 638">
            <a:extLst>
              <a:ext uri="{FF2B5EF4-FFF2-40B4-BE49-F238E27FC236}">
                <a16:creationId xmlns:a16="http://schemas.microsoft.com/office/drawing/2014/main" id="{103C0203-7092-4FFB-BB0B-7E230DB9BD23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0" name="Conector reto 639">
            <a:extLst>
              <a:ext uri="{FF2B5EF4-FFF2-40B4-BE49-F238E27FC236}">
                <a16:creationId xmlns:a16="http://schemas.microsoft.com/office/drawing/2014/main" id="{A1A79805-4049-4FAE-BAC8-40615532450F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1" name="Conector reto 640">
            <a:extLst>
              <a:ext uri="{FF2B5EF4-FFF2-40B4-BE49-F238E27FC236}">
                <a16:creationId xmlns:a16="http://schemas.microsoft.com/office/drawing/2014/main" id="{43073CDD-85C3-4139-9784-C112D617462E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2" name="Conector reto 641">
            <a:extLst>
              <a:ext uri="{FF2B5EF4-FFF2-40B4-BE49-F238E27FC236}">
                <a16:creationId xmlns:a16="http://schemas.microsoft.com/office/drawing/2014/main" id="{9D646A9A-BF6D-4AD6-B5ED-3B88D35EECB7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3" name="Conector reto 642">
            <a:extLst>
              <a:ext uri="{FF2B5EF4-FFF2-40B4-BE49-F238E27FC236}">
                <a16:creationId xmlns:a16="http://schemas.microsoft.com/office/drawing/2014/main" id="{87B2FB8E-FBC0-4EEC-A86D-4181942787F4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4" name="Conector reto 643">
            <a:extLst>
              <a:ext uri="{FF2B5EF4-FFF2-40B4-BE49-F238E27FC236}">
                <a16:creationId xmlns:a16="http://schemas.microsoft.com/office/drawing/2014/main" id="{BC17E9D4-4DB5-46AD-A5F5-9622AF0A8F33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5" name="Conector reto 644">
            <a:extLst>
              <a:ext uri="{FF2B5EF4-FFF2-40B4-BE49-F238E27FC236}">
                <a16:creationId xmlns:a16="http://schemas.microsoft.com/office/drawing/2014/main" id="{7C7A9BBB-B284-4D63-BFD2-E4540FAA48DE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6" name="Conector reto 645">
            <a:extLst>
              <a:ext uri="{FF2B5EF4-FFF2-40B4-BE49-F238E27FC236}">
                <a16:creationId xmlns:a16="http://schemas.microsoft.com/office/drawing/2014/main" id="{AFFAD33D-9F9B-4AB3-9C1C-9F02FC0391CC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7" name="Conector reto 646">
            <a:extLst>
              <a:ext uri="{FF2B5EF4-FFF2-40B4-BE49-F238E27FC236}">
                <a16:creationId xmlns:a16="http://schemas.microsoft.com/office/drawing/2014/main" id="{877A18E1-BAF7-49C5-9D9A-A05296668E4B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8" name="Conector reto 647">
            <a:extLst>
              <a:ext uri="{FF2B5EF4-FFF2-40B4-BE49-F238E27FC236}">
                <a16:creationId xmlns:a16="http://schemas.microsoft.com/office/drawing/2014/main" id="{69D976AB-ADE7-4765-9275-653AE8EC84D5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9" name="Conector reto 648">
            <a:extLst>
              <a:ext uri="{FF2B5EF4-FFF2-40B4-BE49-F238E27FC236}">
                <a16:creationId xmlns:a16="http://schemas.microsoft.com/office/drawing/2014/main" id="{163648AD-CDA3-4842-B55E-53950C8F9658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0" name="Conector reto 649">
            <a:extLst>
              <a:ext uri="{FF2B5EF4-FFF2-40B4-BE49-F238E27FC236}">
                <a16:creationId xmlns:a16="http://schemas.microsoft.com/office/drawing/2014/main" id="{CA0238E9-50B9-4B95-9F2E-DD2794EF2227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1" name="Conector reto 650">
            <a:extLst>
              <a:ext uri="{FF2B5EF4-FFF2-40B4-BE49-F238E27FC236}">
                <a16:creationId xmlns:a16="http://schemas.microsoft.com/office/drawing/2014/main" id="{41AEC03C-9C8B-4537-8290-01142A2EE1AB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2" name="Conector reto 651">
            <a:extLst>
              <a:ext uri="{FF2B5EF4-FFF2-40B4-BE49-F238E27FC236}">
                <a16:creationId xmlns:a16="http://schemas.microsoft.com/office/drawing/2014/main" id="{8B4BDB9C-45AE-47D6-BAC7-010D944EE1B5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3" name="Conector reto 652">
            <a:extLst>
              <a:ext uri="{FF2B5EF4-FFF2-40B4-BE49-F238E27FC236}">
                <a16:creationId xmlns:a16="http://schemas.microsoft.com/office/drawing/2014/main" id="{65D1D27E-4B4B-4DBF-A906-F5C3645ABE60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4" name="Conector reto 653">
            <a:extLst>
              <a:ext uri="{FF2B5EF4-FFF2-40B4-BE49-F238E27FC236}">
                <a16:creationId xmlns:a16="http://schemas.microsoft.com/office/drawing/2014/main" id="{CEA98FAB-6252-4DE3-AC97-51353142E706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5" name="Conector reto 654">
            <a:extLst>
              <a:ext uri="{FF2B5EF4-FFF2-40B4-BE49-F238E27FC236}">
                <a16:creationId xmlns:a16="http://schemas.microsoft.com/office/drawing/2014/main" id="{1913451D-D8D2-4FD5-84CF-FE346179F085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6" name="Conector reto 655">
            <a:extLst>
              <a:ext uri="{FF2B5EF4-FFF2-40B4-BE49-F238E27FC236}">
                <a16:creationId xmlns:a16="http://schemas.microsoft.com/office/drawing/2014/main" id="{2D94B944-C888-4D82-8EF0-AD7E89764AD2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7" name="Conector reto 656">
            <a:extLst>
              <a:ext uri="{FF2B5EF4-FFF2-40B4-BE49-F238E27FC236}">
                <a16:creationId xmlns:a16="http://schemas.microsoft.com/office/drawing/2014/main" id="{ADC9C201-F4AF-45D4-B155-A8040D417B95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8" name="Conector reto 657">
            <a:extLst>
              <a:ext uri="{FF2B5EF4-FFF2-40B4-BE49-F238E27FC236}">
                <a16:creationId xmlns:a16="http://schemas.microsoft.com/office/drawing/2014/main" id="{026D8DD1-F78C-45EC-8DD0-F1E1D273C9A7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9" name="Conector reto 658">
            <a:extLst>
              <a:ext uri="{FF2B5EF4-FFF2-40B4-BE49-F238E27FC236}">
                <a16:creationId xmlns:a16="http://schemas.microsoft.com/office/drawing/2014/main" id="{4D108508-8DF7-4AFD-B7C7-196A56E0B201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0" name="Conector reto 659">
            <a:extLst>
              <a:ext uri="{FF2B5EF4-FFF2-40B4-BE49-F238E27FC236}">
                <a16:creationId xmlns:a16="http://schemas.microsoft.com/office/drawing/2014/main" id="{F609B794-2341-426B-AEA1-765DFDA300C2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1" name="Conector reto 660">
            <a:extLst>
              <a:ext uri="{FF2B5EF4-FFF2-40B4-BE49-F238E27FC236}">
                <a16:creationId xmlns:a16="http://schemas.microsoft.com/office/drawing/2014/main" id="{5B534574-0A79-478A-BB01-6F1BC065A263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2" name="Conector reto 661">
            <a:extLst>
              <a:ext uri="{FF2B5EF4-FFF2-40B4-BE49-F238E27FC236}">
                <a16:creationId xmlns:a16="http://schemas.microsoft.com/office/drawing/2014/main" id="{FE54D894-8BEF-456B-9B4D-E3085D535786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3" name="Forma Livre: Forma 662">
            <a:extLst>
              <a:ext uri="{FF2B5EF4-FFF2-40B4-BE49-F238E27FC236}">
                <a16:creationId xmlns:a16="http://schemas.microsoft.com/office/drawing/2014/main" id="{2229D0AC-30FE-49F0-9327-062E71D9F301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4" name="Forma Livre: Forma 663">
            <a:extLst>
              <a:ext uri="{FF2B5EF4-FFF2-40B4-BE49-F238E27FC236}">
                <a16:creationId xmlns:a16="http://schemas.microsoft.com/office/drawing/2014/main" id="{BE7707D8-E0AD-47EE-8998-FD4BD6DC44C4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5" name="Forma Livre: Forma 664">
            <a:extLst>
              <a:ext uri="{FF2B5EF4-FFF2-40B4-BE49-F238E27FC236}">
                <a16:creationId xmlns:a16="http://schemas.microsoft.com/office/drawing/2014/main" id="{D3F0C3B7-D2AE-4946-98D6-00D332894A08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6" name="Forma Livre: Forma 665">
            <a:extLst>
              <a:ext uri="{FF2B5EF4-FFF2-40B4-BE49-F238E27FC236}">
                <a16:creationId xmlns:a16="http://schemas.microsoft.com/office/drawing/2014/main" id="{CD9E9956-FEAB-4597-A820-B0A6ADF2451B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7" name="Forma Livre: Forma 666">
            <a:extLst>
              <a:ext uri="{FF2B5EF4-FFF2-40B4-BE49-F238E27FC236}">
                <a16:creationId xmlns:a16="http://schemas.microsoft.com/office/drawing/2014/main" id="{AB728405-C8EA-466C-BB7F-01F833D2DCC6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8" name="Forma Livre: Forma 667">
            <a:extLst>
              <a:ext uri="{FF2B5EF4-FFF2-40B4-BE49-F238E27FC236}">
                <a16:creationId xmlns:a16="http://schemas.microsoft.com/office/drawing/2014/main" id="{D477F43A-DE6F-487B-9B20-528A45A6BF91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9" name="Elipse 668">
            <a:extLst>
              <a:ext uri="{FF2B5EF4-FFF2-40B4-BE49-F238E27FC236}">
                <a16:creationId xmlns:a16="http://schemas.microsoft.com/office/drawing/2014/main" id="{7D9F3127-425D-4AA5-8871-EDC61779BED7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0" name="Elipse 669">
            <a:extLst>
              <a:ext uri="{FF2B5EF4-FFF2-40B4-BE49-F238E27FC236}">
                <a16:creationId xmlns:a16="http://schemas.microsoft.com/office/drawing/2014/main" id="{560ED847-C488-4D93-A129-522B8C51CB25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1" name="Elipse 670">
            <a:extLst>
              <a:ext uri="{FF2B5EF4-FFF2-40B4-BE49-F238E27FC236}">
                <a16:creationId xmlns:a16="http://schemas.microsoft.com/office/drawing/2014/main" id="{99A68491-E4CD-4BB8-9161-0AAF10484C33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2" name="Elipse 671">
            <a:extLst>
              <a:ext uri="{FF2B5EF4-FFF2-40B4-BE49-F238E27FC236}">
                <a16:creationId xmlns:a16="http://schemas.microsoft.com/office/drawing/2014/main" id="{653057B5-AB23-44C7-9318-DDE3F4FA3D07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3" name="Elipse 672">
            <a:extLst>
              <a:ext uri="{FF2B5EF4-FFF2-40B4-BE49-F238E27FC236}">
                <a16:creationId xmlns:a16="http://schemas.microsoft.com/office/drawing/2014/main" id="{30EE8332-87EB-4B50-86A0-F71E30220560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4" name="Elipse 673">
            <a:extLst>
              <a:ext uri="{FF2B5EF4-FFF2-40B4-BE49-F238E27FC236}">
                <a16:creationId xmlns:a16="http://schemas.microsoft.com/office/drawing/2014/main" id="{9C00341E-4F0D-4194-BE0F-590254FC2FF2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5" name="Elipse 674">
            <a:extLst>
              <a:ext uri="{FF2B5EF4-FFF2-40B4-BE49-F238E27FC236}">
                <a16:creationId xmlns:a16="http://schemas.microsoft.com/office/drawing/2014/main" id="{855B7B5D-DB0E-47A2-952F-2813C3ABCC3C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6" name="Elipse 675">
            <a:extLst>
              <a:ext uri="{FF2B5EF4-FFF2-40B4-BE49-F238E27FC236}">
                <a16:creationId xmlns:a16="http://schemas.microsoft.com/office/drawing/2014/main" id="{2FD0BB10-BFEC-4E42-A583-2E49504C703A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7" name="Elipse 676">
            <a:extLst>
              <a:ext uri="{FF2B5EF4-FFF2-40B4-BE49-F238E27FC236}">
                <a16:creationId xmlns:a16="http://schemas.microsoft.com/office/drawing/2014/main" id="{3E56927E-4B54-46BD-8AB8-C04301226FB0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8" name="Elipse 677">
            <a:extLst>
              <a:ext uri="{FF2B5EF4-FFF2-40B4-BE49-F238E27FC236}">
                <a16:creationId xmlns:a16="http://schemas.microsoft.com/office/drawing/2014/main" id="{841F3889-BA72-499D-9255-EE9C03B1244E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79" name="Elipse 678">
            <a:extLst>
              <a:ext uri="{FF2B5EF4-FFF2-40B4-BE49-F238E27FC236}">
                <a16:creationId xmlns:a16="http://schemas.microsoft.com/office/drawing/2014/main" id="{B7BEF7DE-82A3-4CA0-B711-564FB73CB3F5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0" name="Elipse 679">
            <a:extLst>
              <a:ext uri="{FF2B5EF4-FFF2-40B4-BE49-F238E27FC236}">
                <a16:creationId xmlns:a16="http://schemas.microsoft.com/office/drawing/2014/main" id="{50696409-E0D4-443C-ACFA-43DD47C42C5F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1" name="Elipse 680">
            <a:extLst>
              <a:ext uri="{FF2B5EF4-FFF2-40B4-BE49-F238E27FC236}">
                <a16:creationId xmlns:a16="http://schemas.microsoft.com/office/drawing/2014/main" id="{D81A3F23-0160-434C-8EF4-7792CD9D88C6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2" name="Elipse 681">
            <a:extLst>
              <a:ext uri="{FF2B5EF4-FFF2-40B4-BE49-F238E27FC236}">
                <a16:creationId xmlns:a16="http://schemas.microsoft.com/office/drawing/2014/main" id="{2FA78F7F-2E0B-4A35-9010-6941917F3D81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3" name="Elipse 682">
            <a:extLst>
              <a:ext uri="{FF2B5EF4-FFF2-40B4-BE49-F238E27FC236}">
                <a16:creationId xmlns:a16="http://schemas.microsoft.com/office/drawing/2014/main" id="{2C9B9A07-DEF8-4D77-BE97-9FA0D060236C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4" name="Elipse 683">
            <a:extLst>
              <a:ext uri="{FF2B5EF4-FFF2-40B4-BE49-F238E27FC236}">
                <a16:creationId xmlns:a16="http://schemas.microsoft.com/office/drawing/2014/main" id="{7AE30B4E-1D71-4CB1-B147-38CBBDF4185E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5" name="Elipse 684">
            <a:extLst>
              <a:ext uri="{FF2B5EF4-FFF2-40B4-BE49-F238E27FC236}">
                <a16:creationId xmlns:a16="http://schemas.microsoft.com/office/drawing/2014/main" id="{70484D20-3F63-4137-B2D1-104AEDE60BB4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6" name="Elipse 685">
            <a:extLst>
              <a:ext uri="{FF2B5EF4-FFF2-40B4-BE49-F238E27FC236}">
                <a16:creationId xmlns:a16="http://schemas.microsoft.com/office/drawing/2014/main" id="{35832423-00C6-4651-A309-82037FA9D543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7" name="Elipse 686">
            <a:extLst>
              <a:ext uri="{FF2B5EF4-FFF2-40B4-BE49-F238E27FC236}">
                <a16:creationId xmlns:a16="http://schemas.microsoft.com/office/drawing/2014/main" id="{BF6F6765-5CD7-436B-ACC3-7543DE700FCD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8" name="Elipse 687">
            <a:extLst>
              <a:ext uri="{FF2B5EF4-FFF2-40B4-BE49-F238E27FC236}">
                <a16:creationId xmlns:a16="http://schemas.microsoft.com/office/drawing/2014/main" id="{F5B8C5E1-98BE-4BA7-8675-91EADF8F0CE0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9" name="Elipse 688">
            <a:extLst>
              <a:ext uri="{FF2B5EF4-FFF2-40B4-BE49-F238E27FC236}">
                <a16:creationId xmlns:a16="http://schemas.microsoft.com/office/drawing/2014/main" id="{0E636F4D-6A68-4973-B95D-2AF32DBDA70E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0" name="Elipse 689">
            <a:extLst>
              <a:ext uri="{FF2B5EF4-FFF2-40B4-BE49-F238E27FC236}">
                <a16:creationId xmlns:a16="http://schemas.microsoft.com/office/drawing/2014/main" id="{E466370E-5C8F-4E58-AADA-5D978A35B5DC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1" name="Elipse 690">
            <a:extLst>
              <a:ext uri="{FF2B5EF4-FFF2-40B4-BE49-F238E27FC236}">
                <a16:creationId xmlns:a16="http://schemas.microsoft.com/office/drawing/2014/main" id="{8B157D52-F93B-444A-B3D1-4E72161E14FB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2" name="Elipse 691">
            <a:extLst>
              <a:ext uri="{FF2B5EF4-FFF2-40B4-BE49-F238E27FC236}">
                <a16:creationId xmlns:a16="http://schemas.microsoft.com/office/drawing/2014/main" id="{7449C427-6355-4440-859E-9D9A286DEFA4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3" name="Elipse 692">
            <a:extLst>
              <a:ext uri="{FF2B5EF4-FFF2-40B4-BE49-F238E27FC236}">
                <a16:creationId xmlns:a16="http://schemas.microsoft.com/office/drawing/2014/main" id="{2791D64D-308B-4631-BC9E-1CD49AB0C9B4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4" name="Elipse 693">
            <a:extLst>
              <a:ext uri="{FF2B5EF4-FFF2-40B4-BE49-F238E27FC236}">
                <a16:creationId xmlns:a16="http://schemas.microsoft.com/office/drawing/2014/main" id="{FF005D98-A3C5-4328-8EB0-E60E775D415A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5" name="Elipse 694">
            <a:extLst>
              <a:ext uri="{FF2B5EF4-FFF2-40B4-BE49-F238E27FC236}">
                <a16:creationId xmlns:a16="http://schemas.microsoft.com/office/drawing/2014/main" id="{C317BE68-F926-4F5E-BF9C-4174771F44C6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6" name="Elipse 695">
            <a:extLst>
              <a:ext uri="{FF2B5EF4-FFF2-40B4-BE49-F238E27FC236}">
                <a16:creationId xmlns:a16="http://schemas.microsoft.com/office/drawing/2014/main" id="{FED2C17F-F0C4-4D98-B16A-626970207860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7" name="Elipse 696">
            <a:extLst>
              <a:ext uri="{FF2B5EF4-FFF2-40B4-BE49-F238E27FC236}">
                <a16:creationId xmlns:a16="http://schemas.microsoft.com/office/drawing/2014/main" id="{94298470-B7AC-40EF-8FEA-DB7D6E28BA54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8" name="Elipse 697">
            <a:extLst>
              <a:ext uri="{FF2B5EF4-FFF2-40B4-BE49-F238E27FC236}">
                <a16:creationId xmlns:a16="http://schemas.microsoft.com/office/drawing/2014/main" id="{4F24B5BF-C5BD-41B8-B00B-3E7FF83826F9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9" name="Elipse 698">
            <a:extLst>
              <a:ext uri="{FF2B5EF4-FFF2-40B4-BE49-F238E27FC236}">
                <a16:creationId xmlns:a16="http://schemas.microsoft.com/office/drawing/2014/main" id="{7D11C7C5-6FC0-420A-8FA0-E9470FD6C4C1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0" name="Elipse 699">
            <a:extLst>
              <a:ext uri="{FF2B5EF4-FFF2-40B4-BE49-F238E27FC236}">
                <a16:creationId xmlns:a16="http://schemas.microsoft.com/office/drawing/2014/main" id="{2FB53268-9D62-4D50-A3DA-098507562312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1" name="Elipse 700">
            <a:extLst>
              <a:ext uri="{FF2B5EF4-FFF2-40B4-BE49-F238E27FC236}">
                <a16:creationId xmlns:a16="http://schemas.microsoft.com/office/drawing/2014/main" id="{48418965-6B08-42BB-9B21-7BF16B0D50DA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2" name="Elipse 701">
            <a:extLst>
              <a:ext uri="{FF2B5EF4-FFF2-40B4-BE49-F238E27FC236}">
                <a16:creationId xmlns:a16="http://schemas.microsoft.com/office/drawing/2014/main" id="{0653BC7D-8960-4E4C-BB4B-3FC8857C6A28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3" name="Elipse 702">
            <a:extLst>
              <a:ext uri="{FF2B5EF4-FFF2-40B4-BE49-F238E27FC236}">
                <a16:creationId xmlns:a16="http://schemas.microsoft.com/office/drawing/2014/main" id="{F7287090-F92D-432E-BEB8-0164A9D0F7B9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4" name="Elipse 703">
            <a:extLst>
              <a:ext uri="{FF2B5EF4-FFF2-40B4-BE49-F238E27FC236}">
                <a16:creationId xmlns:a16="http://schemas.microsoft.com/office/drawing/2014/main" id="{41A16CE8-5ECE-4E3A-B164-F5D8FABA4FE6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5" name="Elipse 704">
            <a:extLst>
              <a:ext uri="{FF2B5EF4-FFF2-40B4-BE49-F238E27FC236}">
                <a16:creationId xmlns:a16="http://schemas.microsoft.com/office/drawing/2014/main" id="{B932AC9F-9FA7-4584-80E4-07BE854192BB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6" name="Elipse 705">
            <a:extLst>
              <a:ext uri="{FF2B5EF4-FFF2-40B4-BE49-F238E27FC236}">
                <a16:creationId xmlns:a16="http://schemas.microsoft.com/office/drawing/2014/main" id="{A2C63EC3-FBF3-4610-ACE8-0259BA53DABB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678126</xdr:colOff>
      <xdr:row>17</xdr:row>
      <xdr:rowOff>119063</xdr:rowOff>
    </xdr:from>
    <xdr:to>
      <xdr:col>16</xdr:col>
      <xdr:colOff>420726</xdr:colOff>
      <xdr:row>19</xdr:row>
      <xdr:rowOff>117113</xdr:rowOff>
    </xdr:to>
    <xdr:grpSp>
      <xdr:nvGrpSpPr>
        <xdr:cNvPr id="707" name="Agrupar 706">
          <a:extLst>
            <a:ext uri="{FF2B5EF4-FFF2-40B4-BE49-F238E27FC236}">
              <a16:creationId xmlns:a16="http://schemas.microsoft.com/office/drawing/2014/main" id="{A5EE5279-0D08-415F-8D93-E07B12E91B2A}"/>
            </a:ext>
          </a:extLst>
        </xdr:cNvPr>
        <xdr:cNvGrpSpPr/>
      </xdr:nvGrpSpPr>
      <xdr:grpSpPr>
        <a:xfrm>
          <a:off x="12410685" y="3379975"/>
          <a:ext cx="1793276" cy="379050"/>
          <a:chOff x="7936176" y="442913"/>
          <a:chExt cx="8293101" cy="4775396"/>
        </a:xfrm>
      </xdr:grpSpPr>
      <xdr:sp macro="" textlink="">
        <xdr:nvSpPr>
          <xdr:cNvPr id="708" name="Elipse 707">
            <a:extLst>
              <a:ext uri="{FF2B5EF4-FFF2-40B4-BE49-F238E27FC236}">
                <a16:creationId xmlns:a16="http://schemas.microsoft.com/office/drawing/2014/main" id="{75C3D63A-FEFB-46D7-9DA5-EFA5EB7CEE84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9" name="Elipse 708">
            <a:extLst>
              <a:ext uri="{FF2B5EF4-FFF2-40B4-BE49-F238E27FC236}">
                <a16:creationId xmlns:a16="http://schemas.microsoft.com/office/drawing/2014/main" id="{155D4BBA-D616-4D3F-A8E9-ADA144F589AB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0" name="Elipse 709">
            <a:extLst>
              <a:ext uri="{FF2B5EF4-FFF2-40B4-BE49-F238E27FC236}">
                <a16:creationId xmlns:a16="http://schemas.microsoft.com/office/drawing/2014/main" id="{835A1B0D-37AA-47BA-827E-4C55409AAE77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1" name="Elipse 710">
            <a:extLst>
              <a:ext uri="{FF2B5EF4-FFF2-40B4-BE49-F238E27FC236}">
                <a16:creationId xmlns:a16="http://schemas.microsoft.com/office/drawing/2014/main" id="{68F862DE-491A-430E-A4BB-199451F7C8AA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2" name="Elipse 711">
            <a:extLst>
              <a:ext uri="{FF2B5EF4-FFF2-40B4-BE49-F238E27FC236}">
                <a16:creationId xmlns:a16="http://schemas.microsoft.com/office/drawing/2014/main" id="{9AC80E4E-943D-45E1-8037-2322E5C5E63F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3" name="Elipse 712">
            <a:extLst>
              <a:ext uri="{FF2B5EF4-FFF2-40B4-BE49-F238E27FC236}">
                <a16:creationId xmlns:a16="http://schemas.microsoft.com/office/drawing/2014/main" id="{47837B4A-1353-40B0-BADD-409D6B55621A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4" name="Elipse 713">
            <a:extLst>
              <a:ext uri="{FF2B5EF4-FFF2-40B4-BE49-F238E27FC236}">
                <a16:creationId xmlns:a16="http://schemas.microsoft.com/office/drawing/2014/main" id="{8BE9E4AA-824D-4E9A-993B-DBF01F33B858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5" name="Elipse 714">
            <a:extLst>
              <a:ext uri="{FF2B5EF4-FFF2-40B4-BE49-F238E27FC236}">
                <a16:creationId xmlns:a16="http://schemas.microsoft.com/office/drawing/2014/main" id="{25D307C4-04D1-4526-9A26-D6E93442DBEB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6" name="Elipse 715">
            <a:extLst>
              <a:ext uri="{FF2B5EF4-FFF2-40B4-BE49-F238E27FC236}">
                <a16:creationId xmlns:a16="http://schemas.microsoft.com/office/drawing/2014/main" id="{59257DC7-8DED-47B4-B0A9-A682485B5B93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7" name="Elipse 716">
            <a:extLst>
              <a:ext uri="{FF2B5EF4-FFF2-40B4-BE49-F238E27FC236}">
                <a16:creationId xmlns:a16="http://schemas.microsoft.com/office/drawing/2014/main" id="{DB2209A4-4C64-440A-85F4-52A1CFEB4B58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8" name="Elipse 717">
            <a:extLst>
              <a:ext uri="{FF2B5EF4-FFF2-40B4-BE49-F238E27FC236}">
                <a16:creationId xmlns:a16="http://schemas.microsoft.com/office/drawing/2014/main" id="{E827124E-6664-4060-8380-8B9D26004096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9" name="Elipse 718">
            <a:extLst>
              <a:ext uri="{FF2B5EF4-FFF2-40B4-BE49-F238E27FC236}">
                <a16:creationId xmlns:a16="http://schemas.microsoft.com/office/drawing/2014/main" id="{BBA46F9A-93B9-4EC9-8A46-BAB17A8A0F7B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0" name="Elipse 719">
            <a:extLst>
              <a:ext uri="{FF2B5EF4-FFF2-40B4-BE49-F238E27FC236}">
                <a16:creationId xmlns:a16="http://schemas.microsoft.com/office/drawing/2014/main" id="{FC5AAB9B-8A8F-464B-BC40-5B8A28F6877D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1" name="Elipse 720">
            <a:extLst>
              <a:ext uri="{FF2B5EF4-FFF2-40B4-BE49-F238E27FC236}">
                <a16:creationId xmlns:a16="http://schemas.microsoft.com/office/drawing/2014/main" id="{895FE203-B61A-47A1-B916-A19CC19C04CF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722" name="Conector reto 721">
            <a:extLst>
              <a:ext uri="{FF2B5EF4-FFF2-40B4-BE49-F238E27FC236}">
                <a16:creationId xmlns:a16="http://schemas.microsoft.com/office/drawing/2014/main" id="{2C063569-E66E-4E36-8464-89B6C524B5E4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3" name="Conector reto 722">
            <a:extLst>
              <a:ext uri="{FF2B5EF4-FFF2-40B4-BE49-F238E27FC236}">
                <a16:creationId xmlns:a16="http://schemas.microsoft.com/office/drawing/2014/main" id="{B829394B-83EC-4AD2-9424-3308E4387F69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4" name="Conector reto 723">
            <a:extLst>
              <a:ext uri="{FF2B5EF4-FFF2-40B4-BE49-F238E27FC236}">
                <a16:creationId xmlns:a16="http://schemas.microsoft.com/office/drawing/2014/main" id="{80B41D3E-35F9-4A95-945D-B076D7D275B0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5" name="Conector reto 724">
            <a:extLst>
              <a:ext uri="{FF2B5EF4-FFF2-40B4-BE49-F238E27FC236}">
                <a16:creationId xmlns:a16="http://schemas.microsoft.com/office/drawing/2014/main" id="{F9B7088A-9115-497F-B54D-1CF294253305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6" name="Conector reto 725">
            <a:extLst>
              <a:ext uri="{FF2B5EF4-FFF2-40B4-BE49-F238E27FC236}">
                <a16:creationId xmlns:a16="http://schemas.microsoft.com/office/drawing/2014/main" id="{3578ECF7-4DC2-4F86-BF91-BE373262EB5C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7" name="Conector reto 726">
            <a:extLst>
              <a:ext uri="{FF2B5EF4-FFF2-40B4-BE49-F238E27FC236}">
                <a16:creationId xmlns:a16="http://schemas.microsoft.com/office/drawing/2014/main" id="{7DBB7A21-D66A-45D3-96C9-9131D4F7F62A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8" name="Conector reto 727">
            <a:extLst>
              <a:ext uri="{FF2B5EF4-FFF2-40B4-BE49-F238E27FC236}">
                <a16:creationId xmlns:a16="http://schemas.microsoft.com/office/drawing/2014/main" id="{2036BA1C-2CE1-4B41-A7B9-9225806E6A97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9" name="Conector reto 728">
            <a:extLst>
              <a:ext uri="{FF2B5EF4-FFF2-40B4-BE49-F238E27FC236}">
                <a16:creationId xmlns:a16="http://schemas.microsoft.com/office/drawing/2014/main" id="{49023E5F-C9E6-49DF-8A95-4A4FF90E2617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0" name="Conector reto 729">
            <a:extLst>
              <a:ext uri="{FF2B5EF4-FFF2-40B4-BE49-F238E27FC236}">
                <a16:creationId xmlns:a16="http://schemas.microsoft.com/office/drawing/2014/main" id="{00D90253-B932-4113-B85E-5F6B28BA3DF0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1" name="Conector reto 730">
            <a:extLst>
              <a:ext uri="{FF2B5EF4-FFF2-40B4-BE49-F238E27FC236}">
                <a16:creationId xmlns:a16="http://schemas.microsoft.com/office/drawing/2014/main" id="{7B21B010-0F40-4C78-8A7C-0DD6E68CD61D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2" name="Conector reto 731">
            <a:extLst>
              <a:ext uri="{FF2B5EF4-FFF2-40B4-BE49-F238E27FC236}">
                <a16:creationId xmlns:a16="http://schemas.microsoft.com/office/drawing/2014/main" id="{C2BDE4F7-3891-4037-843B-D34F6F30CAC1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3" name="Conector reto 732">
            <a:extLst>
              <a:ext uri="{FF2B5EF4-FFF2-40B4-BE49-F238E27FC236}">
                <a16:creationId xmlns:a16="http://schemas.microsoft.com/office/drawing/2014/main" id="{D013DA55-6061-42D9-B5EB-C97B97C035AE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4" name="Conector reto 733">
            <a:extLst>
              <a:ext uri="{FF2B5EF4-FFF2-40B4-BE49-F238E27FC236}">
                <a16:creationId xmlns:a16="http://schemas.microsoft.com/office/drawing/2014/main" id="{F64B16FB-1379-4842-9E4E-6734DA7D6941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5" name="Conector reto 734">
            <a:extLst>
              <a:ext uri="{FF2B5EF4-FFF2-40B4-BE49-F238E27FC236}">
                <a16:creationId xmlns:a16="http://schemas.microsoft.com/office/drawing/2014/main" id="{1B86A074-BB80-4245-83D0-F57CF4C3E181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6" name="Conector reto 735">
            <a:extLst>
              <a:ext uri="{FF2B5EF4-FFF2-40B4-BE49-F238E27FC236}">
                <a16:creationId xmlns:a16="http://schemas.microsoft.com/office/drawing/2014/main" id="{A6B836A3-539F-4BA5-97CA-FF48A4584A10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7" name="Conector reto 736">
            <a:extLst>
              <a:ext uri="{FF2B5EF4-FFF2-40B4-BE49-F238E27FC236}">
                <a16:creationId xmlns:a16="http://schemas.microsoft.com/office/drawing/2014/main" id="{215C91B4-2182-441A-A511-172E2C102D0A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8" name="Conector reto 737">
            <a:extLst>
              <a:ext uri="{FF2B5EF4-FFF2-40B4-BE49-F238E27FC236}">
                <a16:creationId xmlns:a16="http://schemas.microsoft.com/office/drawing/2014/main" id="{78B27A70-04CE-4811-86B4-76D47C3FC254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9" name="Conector reto 738">
            <a:extLst>
              <a:ext uri="{FF2B5EF4-FFF2-40B4-BE49-F238E27FC236}">
                <a16:creationId xmlns:a16="http://schemas.microsoft.com/office/drawing/2014/main" id="{919F99E3-6202-4867-A0C1-9B32A39E16E2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0" name="Conector reto 739">
            <a:extLst>
              <a:ext uri="{FF2B5EF4-FFF2-40B4-BE49-F238E27FC236}">
                <a16:creationId xmlns:a16="http://schemas.microsoft.com/office/drawing/2014/main" id="{3A88E1D8-C13D-46D8-9014-EAB5223048B7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1" name="Conector reto 740">
            <a:extLst>
              <a:ext uri="{FF2B5EF4-FFF2-40B4-BE49-F238E27FC236}">
                <a16:creationId xmlns:a16="http://schemas.microsoft.com/office/drawing/2014/main" id="{86EE127F-C8E7-4FBC-AC8C-AFD3A823F005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2" name="Conector reto 741">
            <a:extLst>
              <a:ext uri="{FF2B5EF4-FFF2-40B4-BE49-F238E27FC236}">
                <a16:creationId xmlns:a16="http://schemas.microsoft.com/office/drawing/2014/main" id="{C794D25E-385B-41A2-AB2F-2FB8ABA62D70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3" name="Conector reto 742">
            <a:extLst>
              <a:ext uri="{FF2B5EF4-FFF2-40B4-BE49-F238E27FC236}">
                <a16:creationId xmlns:a16="http://schemas.microsoft.com/office/drawing/2014/main" id="{870FB141-9E1B-4B71-AD33-B4EB839DEBFC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4" name="Conector reto 743">
            <a:extLst>
              <a:ext uri="{FF2B5EF4-FFF2-40B4-BE49-F238E27FC236}">
                <a16:creationId xmlns:a16="http://schemas.microsoft.com/office/drawing/2014/main" id="{000E86F3-5789-4EB2-9F0F-2244AF9D1C92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5" name="Conector reto 744">
            <a:extLst>
              <a:ext uri="{FF2B5EF4-FFF2-40B4-BE49-F238E27FC236}">
                <a16:creationId xmlns:a16="http://schemas.microsoft.com/office/drawing/2014/main" id="{A5F9C2C9-1A12-49A3-A244-C500FFF354AA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6" name="Conector reto 745">
            <a:extLst>
              <a:ext uri="{FF2B5EF4-FFF2-40B4-BE49-F238E27FC236}">
                <a16:creationId xmlns:a16="http://schemas.microsoft.com/office/drawing/2014/main" id="{847BCC98-E488-4C2A-9457-56A98DAD2EBA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47" name="Forma Livre: Forma 746">
            <a:extLst>
              <a:ext uri="{FF2B5EF4-FFF2-40B4-BE49-F238E27FC236}">
                <a16:creationId xmlns:a16="http://schemas.microsoft.com/office/drawing/2014/main" id="{B1815DCE-51E8-4935-9EA1-B161667BA026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8" name="Forma Livre: Forma 747">
            <a:extLst>
              <a:ext uri="{FF2B5EF4-FFF2-40B4-BE49-F238E27FC236}">
                <a16:creationId xmlns:a16="http://schemas.microsoft.com/office/drawing/2014/main" id="{3491F802-3AEE-4266-9A94-EE8FA2FEF99D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9" name="Forma Livre: Forma 748">
            <a:extLst>
              <a:ext uri="{FF2B5EF4-FFF2-40B4-BE49-F238E27FC236}">
                <a16:creationId xmlns:a16="http://schemas.microsoft.com/office/drawing/2014/main" id="{80EC7584-BA2B-46E5-81E2-BA2C711A9AB5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0" name="Forma Livre: Forma 749">
            <a:extLst>
              <a:ext uri="{FF2B5EF4-FFF2-40B4-BE49-F238E27FC236}">
                <a16:creationId xmlns:a16="http://schemas.microsoft.com/office/drawing/2014/main" id="{771C5680-9008-4195-8803-11697520EEE8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1" name="Forma Livre: Forma 750">
            <a:extLst>
              <a:ext uri="{FF2B5EF4-FFF2-40B4-BE49-F238E27FC236}">
                <a16:creationId xmlns:a16="http://schemas.microsoft.com/office/drawing/2014/main" id="{E995433A-493D-4F0E-94AD-86740A84F805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2" name="Forma Livre: Forma 751">
            <a:extLst>
              <a:ext uri="{FF2B5EF4-FFF2-40B4-BE49-F238E27FC236}">
                <a16:creationId xmlns:a16="http://schemas.microsoft.com/office/drawing/2014/main" id="{6559359E-3A32-4A25-9EEA-6BD5123BF6FE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3" name="Elipse 752">
            <a:extLst>
              <a:ext uri="{FF2B5EF4-FFF2-40B4-BE49-F238E27FC236}">
                <a16:creationId xmlns:a16="http://schemas.microsoft.com/office/drawing/2014/main" id="{F3EE52E0-2D0E-4AD2-A7F6-5132719C9353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4" name="Elipse 753">
            <a:extLst>
              <a:ext uri="{FF2B5EF4-FFF2-40B4-BE49-F238E27FC236}">
                <a16:creationId xmlns:a16="http://schemas.microsoft.com/office/drawing/2014/main" id="{AF78C317-9913-462C-899B-804787B5473B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5" name="Elipse 754">
            <a:extLst>
              <a:ext uri="{FF2B5EF4-FFF2-40B4-BE49-F238E27FC236}">
                <a16:creationId xmlns:a16="http://schemas.microsoft.com/office/drawing/2014/main" id="{71D9BD54-C8FD-46B7-A576-2D7FCD28F8A1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6" name="Elipse 755">
            <a:extLst>
              <a:ext uri="{FF2B5EF4-FFF2-40B4-BE49-F238E27FC236}">
                <a16:creationId xmlns:a16="http://schemas.microsoft.com/office/drawing/2014/main" id="{C62EE3BC-8404-4478-8C20-747A07E1608F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7" name="Elipse 756">
            <a:extLst>
              <a:ext uri="{FF2B5EF4-FFF2-40B4-BE49-F238E27FC236}">
                <a16:creationId xmlns:a16="http://schemas.microsoft.com/office/drawing/2014/main" id="{B92AA4AB-BAB5-4469-BEF1-303C86B0A72A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8" name="Elipse 757">
            <a:extLst>
              <a:ext uri="{FF2B5EF4-FFF2-40B4-BE49-F238E27FC236}">
                <a16:creationId xmlns:a16="http://schemas.microsoft.com/office/drawing/2014/main" id="{32E2B36E-C1A1-4406-AB43-996F8074E6AF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9" name="Elipse 758">
            <a:extLst>
              <a:ext uri="{FF2B5EF4-FFF2-40B4-BE49-F238E27FC236}">
                <a16:creationId xmlns:a16="http://schemas.microsoft.com/office/drawing/2014/main" id="{885941F4-7334-469F-8EAD-1FA3A258DBFC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0" name="Elipse 759">
            <a:extLst>
              <a:ext uri="{FF2B5EF4-FFF2-40B4-BE49-F238E27FC236}">
                <a16:creationId xmlns:a16="http://schemas.microsoft.com/office/drawing/2014/main" id="{AEEC33EC-98AB-47C8-9D72-84EF9DF618CB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1" name="Elipse 760">
            <a:extLst>
              <a:ext uri="{FF2B5EF4-FFF2-40B4-BE49-F238E27FC236}">
                <a16:creationId xmlns:a16="http://schemas.microsoft.com/office/drawing/2014/main" id="{6A9F3C85-C2EE-42A5-B37E-163201B261AF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2" name="Elipse 761">
            <a:extLst>
              <a:ext uri="{FF2B5EF4-FFF2-40B4-BE49-F238E27FC236}">
                <a16:creationId xmlns:a16="http://schemas.microsoft.com/office/drawing/2014/main" id="{D47A9781-1336-41DF-971E-CF36241D99C8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3" name="Elipse 762">
            <a:extLst>
              <a:ext uri="{FF2B5EF4-FFF2-40B4-BE49-F238E27FC236}">
                <a16:creationId xmlns:a16="http://schemas.microsoft.com/office/drawing/2014/main" id="{9F54E0A7-E3D0-42F8-AFF2-77D99E61BEEA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4" name="Elipse 763">
            <a:extLst>
              <a:ext uri="{FF2B5EF4-FFF2-40B4-BE49-F238E27FC236}">
                <a16:creationId xmlns:a16="http://schemas.microsoft.com/office/drawing/2014/main" id="{9EF83085-9C43-407E-9487-443C06EFDD60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5" name="Elipse 764">
            <a:extLst>
              <a:ext uri="{FF2B5EF4-FFF2-40B4-BE49-F238E27FC236}">
                <a16:creationId xmlns:a16="http://schemas.microsoft.com/office/drawing/2014/main" id="{E4976C06-8E96-4500-B085-A0DF0C9874DA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6" name="Elipse 765">
            <a:extLst>
              <a:ext uri="{FF2B5EF4-FFF2-40B4-BE49-F238E27FC236}">
                <a16:creationId xmlns:a16="http://schemas.microsoft.com/office/drawing/2014/main" id="{DAE83D31-B3B9-4CBA-94A3-6B4742AED3FF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7" name="Elipse 766">
            <a:extLst>
              <a:ext uri="{FF2B5EF4-FFF2-40B4-BE49-F238E27FC236}">
                <a16:creationId xmlns:a16="http://schemas.microsoft.com/office/drawing/2014/main" id="{26C1B471-8636-49A7-952E-0FC285EAD4CA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8" name="Elipse 767">
            <a:extLst>
              <a:ext uri="{FF2B5EF4-FFF2-40B4-BE49-F238E27FC236}">
                <a16:creationId xmlns:a16="http://schemas.microsoft.com/office/drawing/2014/main" id="{925FC4A0-9F10-4413-BB46-02946086C928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9" name="Elipse 768">
            <a:extLst>
              <a:ext uri="{FF2B5EF4-FFF2-40B4-BE49-F238E27FC236}">
                <a16:creationId xmlns:a16="http://schemas.microsoft.com/office/drawing/2014/main" id="{FB425186-F8CD-43F3-ABB6-CA488D94840D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0" name="Elipse 769">
            <a:extLst>
              <a:ext uri="{FF2B5EF4-FFF2-40B4-BE49-F238E27FC236}">
                <a16:creationId xmlns:a16="http://schemas.microsoft.com/office/drawing/2014/main" id="{5B6B3D32-E953-483B-9878-EA07DBA0C961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1" name="Elipse 770">
            <a:extLst>
              <a:ext uri="{FF2B5EF4-FFF2-40B4-BE49-F238E27FC236}">
                <a16:creationId xmlns:a16="http://schemas.microsoft.com/office/drawing/2014/main" id="{A06F538C-75F1-4289-A80D-2DD154543EB4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2" name="Elipse 771">
            <a:extLst>
              <a:ext uri="{FF2B5EF4-FFF2-40B4-BE49-F238E27FC236}">
                <a16:creationId xmlns:a16="http://schemas.microsoft.com/office/drawing/2014/main" id="{D0F200E9-4F14-495E-A6AE-A251CEA41F73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3" name="Elipse 772">
            <a:extLst>
              <a:ext uri="{FF2B5EF4-FFF2-40B4-BE49-F238E27FC236}">
                <a16:creationId xmlns:a16="http://schemas.microsoft.com/office/drawing/2014/main" id="{72595A8D-5FEF-4B5B-9DBD-1D54E5827EAE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4" name="Elipse 773">
            <a:extLst>
              <a:ext uri="{FF2B5EF4-FFF2-40B4-BE49-F238E27FC236}">
                <a16:creationId xmlns:a16="http://schemas.microsoft.com/office/drawing/2014/main" id="{0E7D3F64-FA7D-471B-88C5-C50618971910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5" name="Elipse 774">
            <a:extLst>
              <a:ext uri="{FF2B5EF4-FFF2-40B4-BE49-F238E27FC236}">
                <a16:creationId xmlns:a16="http://schemas.microsoft.com/office/drawing/2014/main" id="{71ACE8A5-F628-4006-8C49-058EB0890054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6" name="Elipse 775">
            <a:extLst>
              <a:ext uri="{FF2B5EF4-FFF2-40B4-BE49-F238E27FC236}">
                <a16:creationId xmlns:a16="http://schemas.microsoft.com/office/drawing/2014/main" id="{51CEC987-629D-43C0-B9F3-80D4E479D187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7" name="Elipse 776">
            <a:extLst>
              <a:ext uri="{FF2B5EF4-FFF2-40B4-BE49-F238E27FC236}">
                <a16:creationId xmlns:a16="http://schemas.microsoft.com/office/drawing/2014/main" id="{8A2DC096-F56E-4D2C-8C73-86F8537E3C3B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8" name="Elipse 777">
            <a:extLst>
              <a:ext uri="{FF2B5EF4-FFF2-40B4-BE49-F238E27FC236}">
                <a16:creationId xmlns:a16="http://schemas.microsoft.com/office/drawing/2014/main" id="{EFBCCB2F-AF42-49CB-9027-43D744284A72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678126</xdr:colOff>
      <xdr:row>20</xdr:row>
      <xdr:rowOff>90488</xdr:rowOff>
    </xdr:from>
    <xdr:to>
      <xdr:col>16</xdr:col>
      <xdr:colOff>420726</xdr:colOff>
      <xdr:row>22</xdr:row>
      <xdr:rowOff>88538</xdr:rowOff>
    </xdr:to>
    <xdr:grpSp>
      <xdr:nvGrpSpPr>
        <xdr:cNvPr id="779" name="Agrupar 778">
          <a:extLst>
            <a:ext uri="{FF2B5EF4-FFF2-40B4-BE49-F238E27FC236}">
              <a16:creationId xmlns:a16="http://schemas.microsoft.com/office/drawing/2014/main" id="{B6213A80-FADF-4C2E-BCE6-1126D2228BE9}"/>
            </a:ext>
          </a:extLst>
        </xdr:cNvPr>
        <xdr:cNvGrpSpPr/>
      </xdr:nvGrpSpPr>
      <xdr:grpSpPr>
        <a:xfrm>
          <a:off x="12410685" y="3978929"/>
          <a:ext cx="1793276" cy="356638"/>
          <a:chOff x="7936176" y="442913"/>
          <a:chExt cx="8293101" cy="4775396"/>
        </a:xfrm>
      </xdr:grpSpPr>
      <xdr:sp macro="" textlink="">
        <xdr:nvSpPr>
          <xdr:cNvPr id="780" name="Elipse 779">
            <a:extLst>
              <a:ext uri="{FF2B5EF4-FFF2-40B4-BE49-F238E27FC236}">
                <a16:creationId xmlns:a16="http://schemas.microsoft.com/office/drawing/2014/main" id="{704CDEF7-4BA8-45CE-AE74-156401173127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1" name="Elipse 780">
            <a:extLst>
              <a:ext uri="{FF2B5EF4-FFF2-40B4-BE49-F238E27FC236}">
                <a16:creationId xmlns:a16="http://schemas.microsoft.com/office/drawing/2014/main" id="{DC634176-416F-4DB1-B450-D1C4D60DE19A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2" name="Elipse 781">
            <a:extLst>
              <a:ext uri="{FF2B5EF4-FFF2-40B4-BE49-F238E27FC236}">
                <a16:creationId xmlns:a16="http://schemas.microsoft.com/office/drawing/2014/main" id="{743519B9-927B-4EB7-B673-B6E3A727EF9A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3" name="Elipse 782">
            <a:extLst>
              <a:ext uri="{FF2B5EF4-FFF2-40B4-BE49-F238E27FC236}">
                <a16:creationId xmlns:a16="http://schemas.microsoft.com/office/drawing/2014/main" id="{F5D2909B-84E5-44AA-BCF5-5B53F860525E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4" name="Elipse 783">
            <a:extLst>
              <a:ext uri="{FF2B5EF4-FFF2-40B4-BE49-F238E27FC236}">
                <a16:creationId xmlns:a16="http://schemas.microsoft.com/office/drawing/2014/main" id="{8AA02869-002F-4313-89C7-381581DE1553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5" name="Elipse 784">
            <a:extLst>
              <a:ext uri="{FF2B5EF4-FFF2-40B4-BE49-F238E27FC236}">
                <a16:creationId xmlns:a16="http://schemas.microsoft.com/office/drawing/2014/main" id="{28610D53-7D81-452D-9A13-01001FC8940A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6" name="Elipse 785">
            <a:extLst>
              <a:ext uri="{FF2B5EF4-FFF2-40B4-BE49-F238E27FC236}">
                <a16:creationId xmlns:a16="http://schemas.microsoft.com/office/drawing/2014/main" id="{2B84B27A-52B0-4E72-BBA3-219029863681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7" name="Elipse 786">
            <a:extLst>
              <a:ext uri="{FF2B5EF4-FFF2-40B4-BE49-F238E27FC236}">
                <a16:creationId xmlns:a16="http://schemas.microsoft.com/office/drawing/2014/main" id="{F7CC1867-80A2-456A-8F00-DBE1B09B2B84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8" name="Elipse 787">
            <a:extLst>
              <a:ext uri="{FF2B5EF4-FFF2-40B4-BE49-F238E27FC236}">
                <a16:creationId xmlns:a16="http://schemas.microsoft.com/office/drawing/2014/main" id="{9326F94D-7581-47A0-9B11-434E477D3D61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9" name="Elipse 788">
            <a:extLst>
              <a:ext uri="{FF2B5EF4-FFF2-40B4-BE49-F238E27FC236}">
                <a16:creationId xmlns:a16="http://schemas.microsoft.com/office/drawing/2014/main" id="{1C176983-08B4-4616-82FF-87F0F85F2799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0" name="Elipse 789">
            <a:extLst>
              <a:ext uri="{FF2B5EF4-FFF2-40B4-BE49-F238E27FC236}">
                <a16:creationId xmlns:a16="http://schemas.microsoft.com/office/drawing/2014/main" id="{B18849BB-9B58-4CF4-97CE-8F2E65810F86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1" name="Elipse 790">
            <a:extLst>
              <a:ext uri="{FF2B5EF4-FFF2-40B4-BE49-F238E27FC236}">
                <a16:creationId xmlns:a16="http://schemas.microsoft.com/office/drawing/2014/main" id="{9D9D72DA-BAEA-431E-8379-185B2FDECF7D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2" name="Elipse 791">
            <a:extLst>
              <a:ext uri="{FF2B5EF4-FFF2-40B4-BE49-F238E27FC236}">
                <a16:creationId xmlns:a16="http://schemas.microsoft.com/office/drawing/2014/main" id="{7D6A3639-468A-41D3-8898-80A0287BDE6C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3" name="Elipse 792">
            <a:extLst>
              <a:ext uri="{FF2B5EF4-FFF2-40B4-BE49-F238E27FC236}">
                <a16:creationId xmlns:a16="http://schemas.microsoft.com/office/drawing/2014/main" id="{CEE2F026-6577-4F07-9539-8F11225E88DA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794" name="Conector reto 793">
            <a:extLst>
              <a:ext uri="{FF2B5EF4-FFF2-40B4-BE49-F238E27FC236}">
                <a16:creationId xmlns:a16="http://schemas.microsoft.com/office/drawing/2014/main" id="{7D7FF814-5665-4D74-A8D0-ED560CEB913E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5" name="Conector reto 794">
            <a:extLst>
              <a:ext uri="{FF2B5EF4-FFF2-40B4-BE49-F238E27FC236}">
                <a16:creationId xmlns:a16="http://schemas.microsoft.com/office/drawing/2014/main" id="{864D7E58-0E7B-4426-B32A-4FF13FE56D6A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6" name="Conector reto 795">
            <a:extLst>
              <a:ext uri="{FF2B5EF4-FFF2-40B4-BE49-F238E27FC236}">
                <a16:creationId xmlns:a16="http://schemas.microsoft.com/office/drawing/2014/main" id="{E506DE15-12AE-4C68-A1BA-B9785D8017E7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7" name="Conector reto 796">
            <a:extLst>
              <a:ext uri="{FF2B5EF4-FFF2-40B4-BE49-F238E27FC236}">
                <a16:creationId xmlns:a16="http://schemas.microsoft.com/office/drawing/2014/main" id="{1B69495B-29E7-482B-A67D-0F5FB48DE446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8" name="Conector reto 797">
            <a:extLst>
              <a:ext uri="{FF2B5EF4-FFF2-40B4-BE49-F238E27FC236}">
                <a16:creationId xmlns:a16="http://schemas.microsoft.com/office/drawing/2014/main" id="{7C52D1A9-FF94-48B9-8B78-6CF3125E1D60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9" name="Conector reto 798">
            <a:extLst>
              <a:ext uri="{FF2B5EF4-FFF2-40B4-BE49-F238E27FC236}">
                <a16:creationId xmlns:a16="http://schemas.microsoft.com/office/drawing/2014/main" id="{25B746B1-0DC7-4485-A83B-DF523FAD4E02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0" name="Conector reto 799">
            <a:extLst>
              <a:ext uri="{FF2B5EF4-FFF2-40B4-BE49-F238E27FC236}">
                <a16:creationId xmlns:a16="http://schemas.microsoft.com/office/drawing/2014/main" id="{527FB2A1-1D56-4B6A-9482-EC91E5BB1983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Conector reto 800">
            <a:extLst>
              <a:ext uri="{FF2B5EF4-FFF2-40B4-BE49-F238E27FC236}">
                <a16:creationId xmlns:a16="http://schemas.microsoft.com/office/drawing/2014/main" id="{8039B8E5-49AE-4589-90D4-CA4D098B2B84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2" name="Conector reto 801">
            <a:extLst>
              <a:ext uri="{FF2B5EF4-FFF2-40B4-BE49-F238E27FC236}">
                <a16:creationId xmlns:a16="http://schemas.microsoft.com/office/drawing/2014/main" id="{E9EE3C77-CC20-4729-9E52-948417563F0E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3" name="Conector reto 802">
            <a:extLst>
              <a:ext uri="{FF2B5EF4-FFF2-40B4-BE49-F238E27FC236}">
                <a16:creationId xmlns:a16="http://schemas.microsoft.com/office/drawing/2014/main" id="{184EE9F5-E781-4253-B720-42C2D656C755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4" name="Conector reto 803">
            <a:extLst>
              <a:ext uri="{FF2B5EF4-FFF2-40B4-BE49-F238E27FC236}">
                <a16:creationId xmlns:a16="http://schemas.microsoft.com/office/drawing/2014/main" id="{CE53430D-A1C6-46EF-A4EC-00DB405EAEF4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5" name="Conector reto 804">
            <a:extLst>
              <a:ext uri="{FF2B5EF4-FFF2-40B4-BE49-F238E27FC236}">
                <a16:creationId xmlns:a16="http://schemas.microsoft.com/office/drawing/2014/main" id="{0EDD87C6-0CEF-4917-920D-6EE3C7C963B1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6" name="Conector reto 805">
            <a:extLst>
              <a:ext uri="{FF2B5EF4-FFF2-40B4-BE49-F238E27FC236}">
                <a16:creationId xmlns:a16="http://schemas.microsoft.com/office/drawing/2014/main" id="{21A06173-A3FD-49FE-A125-5053A5C40178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7" name="Conector reto 806">
            <a:extLst>
              <a:ext uri="{FF2B5EF4-FFF2-40B4-BE49-F238E27FC236}">
                <a16:creationId xmlns:a16="http://schemas.microsoft.com/office/drawing/2014/main" id="{90ED63F0-356C-4827-8FE7-1FA0BBB7E312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8" name="Conector reto 807">
            <a:extLst>
              <a:ext uri="{FF2B5EF4-FFF2-40B4-BE49-F238E27FC236}">
                <a16:creationId xmlns:a16="http://schemas.microsoft.com/office/drawing/2014/main" id="{C3E80E35-32EA-495A-A2A1-17AA5FA61796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9" name="Conector reto 808">
            <a:extLst>
              <a:ext uri="{FF2B5EF4-FFF2-40B4-BE49-F238E27FC236}">
                <a16:creationId xmlns:a16="http://schemas.microsoft.com/office/drawing/2014/main" id="{2948766B-E376-4EAA-8405-904B15F78657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0" name="Conector reto 809">
            <a:extLst>
              <a:ext uri="{FF2B5EF4-FFF2-40B4-BE49-F238E27FC236}">
                <a16:creationId xmlns:a16="http://schemas.microsoft.com/office/drawing/2014/main" id="{0ED9B653-C11C-472A-ACD2-32D6D1C2800A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1" name="Conector reto 810">
            <a:extLst>
              <a:ext uri="{FF2B5EF4-FFF2-40B4-BE49-F238E27FC236}">
                <a16:creationId xmlns:a16="http://schemas.microsoft.com/office/drawing/2014/main" id="{2A4B6F33-33B3-4297-9DFC-58EA45F22EDC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2" name="Conector reto 811">
            <a:extLst>
              <a:ext uri="{FF2B5EF4-FFF2-40B4-BE49-F238E27FC236}">
                <a16:creationId xmlns:a16="http://schemas.microsoft.com/office/drawing/2014/main" id="{CB98CC5C-228C-4677-ABBE-69B04F3B7F24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3" name="Conector reto 812">
            <a:extLst>
              <a:ext uri="{FF2B5EF4-FFF2-40B4-BE49-F238E27FC236}">
                <a16:creationId xmlns:a16="http://schemas.microsoft.com/office/drawing/2014/main" id="{7744DFCB-763D-4829-A087-610475700DB1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4" name="Conector reto 813">
            <a:extLst>
              <a:ext uri="{FF2B5EF4-FFF2-40B4-BE49-F238E27FC236}">
                <a16:creationId xmlns:a16="http://schemas.microsoft.com/office/drawing/2014/main" id="{8855B1A1-E8BF-4AAD-9BCF-29CE910AF1B9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5" name="Conector reto 814">
            <a:extLst>
              <a:ext uri="{FF2B5EF4-FFF2-40B4-BE49-F238E27FC236}">
                <a16:creationId xmlns:a16="http://schemas.microsoft.com/office/drawing/2014/main" id="{D2801AFE-DAF8-42A0-A8C7-0D197343EC13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6" name="Conector reto 815">
            <a:extLst>
              <a:ext uri="{FF2B5EF4-FFF2-40B4-BE49-F238E27FC236}">
                <a16:creationId xmlns:a16="http://schemas.microsoft.com/office/drawing/2014/main" id="{2C774095-9A78-4B96-A59B-4BA879A9924E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7" name="Conector reto 816">
            <a:extLst>
              <a:ext uri="{FF2B5EF4-FFF2-40B4-BE49-F238E27FC236}">
                <a16:creationId xmlns:a16="http://schemas.microsoft.com/office/drawing/2014/main" id="{42E0D0E9-4802-44BD-83DB-0A5601F14E29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8" name="Conector reto 817">
            <a:extLst>
              <a:ext uri="{FF2B5EF4-FFF2-40B4-BE49-F238E27FC236}">
                <a16:creationId xmlns:a16="http://schemas.microsoft.com/office/drawing/2014/main" id="{EA325DE0-5458-407B-A92C-0FF73BDACD4E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9" name="Forma Livre: Forma 818">
            <a:extLst>
              <a:ext uri="{FF2B5EF4-FFF2-40B4-BE49-F238E27FC236}">
                <a16:creationId xmlns:a16="http://schemas.microsoft.com/office/drawing/2014/main" id="{1D790E67-145A-45ED-8669-637ACFFA6CE2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0" name="Forma Livre: Forma 819">
            <a:extLst>
              <a:ext uri="{FF2B5EF4-FFF2-40B4-BE49-F238E27FC236}">
                <a16:creationId xmlns:a16="http://schemas.microsoft.com/office/drawing/2014/main" id="{BD304BEA-5D50-4F94-B82E-9EE146940556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1" name="Forma Livre: Forma 820">
            <a:extLst>
              <a:ext uri="{FF2B5EF4-FFF2-40B4-BE49-F238E27FC236}">
                <a16:creationId xmlns:a16="http://schemas.microsoft.com/office/drawing/2014/main" id="{1031CA28-8591-4BCD-9FB0-5D48A831EBB8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2" name="Forma Livre: Forma 821">
            <a:extLst>
              <a:ext uri="{FF2B5EF4-FFF2-40B4-BE49-F238E27FC236}">
                <a16:creationId xmlns:a16="http://schemas.microsoft.com/office/drawing/2014/main" id="{23645514-90EF-45E8-9076-98608408DF8B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3" name="Forma Livre: Forma 822">
            <a:extLst>
              <a:ext uri="{FF2B5EF4-FFF2-40B4-BE49-F238E27FC236}">
                <a16:creationId xmlns:a16="http://schemas.microsoft.com/office/drawing/2014/main" id="{619AAF65-1244-48F7-AA9E-CE1B93227541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4" name="Forma Livre: Forma 823">
            <a:extLst>
              <a:ext uri="{FF2B5EF4-FFF2-40B4-BE49-F238E27FC236}">
                <a16:creationId xmlns:a16="http://schemas.microsoft.com/office/drawing/2014/main" id="{C17543F6-8432-42CD-B23E-31CA15AC8E50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5" name="Elipse 824">
            <a:extLst>
              <a:ext uri="{FF2B5EF4-FFF2-40B4-BE49-F238E27FC236}">
                <a16:creationId xmlns:a16="http://schemas.microsoft.com/office/drawing/2014/main" id="{B57F2879-D9FF-41DC-9825-5EB5E5DBDAEE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6" name="Elipse 825">
            <a:extLst>
              <a:ext uri="{FF2B5EF4-FFF2-40B4-BE49-F238E27FC236}">
                <a16:creationId xmlns:a16="http://schemas.microsoft.com/office/drawing/2014/main" id="{8EF804CD-D914-4838-95DC-6A9FA8FDC117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7" name="Elipse 826">
            <a:extLst>
              <a:ext uri="{FF2B5EF4-FFF2-40B4-BE49-F238E27FC236}">
                <a16:creationId xmlns:a16="http://schemas.microsoft.com/office/drawing/2014/main" id="{F0880F1F-9FFE-4A13-8BB5-8E9A1EFC9EBD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8" name="Elipse 827">
            <a:extLst>
              <a:ext uri="{FF2B5EF4-FFF2-40B4-BE49-F238E27FC236}">
                <a16:creationId xmlns:a16="http://schemas.microsoft.com/office/drawing/2014/main" id="{2ABB93AE-3152-4174-B699-AC86722B2C43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9" name="Elipse 828">
            <a:extLst>
              <a:ext uri="{FF2B5EF4-FFF2-40B4-BE49-F238E27FC236}">
                <a16:creationId xmlns:a16="http://schemas.microsoft.com/office/drawing/2014/main" id="{9647B112-DB5D-4885-9718-5DA1777504D6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0" name="Elipse 829">
            <a:extLst>
              <a:ext uri="{FF2B5EF4-FFF2-40B4-BE49-F238E27FC236}">
                <a16:creationId xmlns:a16="http://schemas.microsoft.com/office/drawing/2014/main" id="{180B45DD-B3DD-4B2F-ABE0-37DFFDC9E329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1" name="Elipse 830">
            <a:extLst>
              <a:ext uri="{FF2B5EF4-FFF2-40B4-BE49-F238E27FC236}">
                <a16:creationId xmlns:a16="http://schemas.microsoft.com/office/drawing/2014/main" id="{2C1D988F-9327-4600-B8EA-7851507BB7F6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2" name="Elipse 831">
            <a:extLst>
              <a:ext uri="{FF2B5EF4-FFF2-40B4-BE49-F238E27FC236}">
                <a16:creationId xmlns:a16="http://schemas.microsoft.com/office/drawing/2014/main" id="{581877DF-BBA3-4574-BDAA-E53A8845B6BC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3" name="Elipse 832">
            <a:extLst>
              <a:ext uri="{FF2B5EF4-FFF2-40B4-BE49-F238E27FC236}">
                <a16:creationId xmlns:a16="http://schemas.microsoft.com/office/drawing/2014/main" id="{BEF1F3F0-F2BB-4817-ACCC-86EB4A48782C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4" name="Elipse 833">
            <a:extLst>
              <a:ext uri="{FF2B5EF4-FFF2-40B4-BE49-F238E27FC236}">
                <a16:creationId xmlns:a16="http://schemas.microsoft.com/office/drawing/2014/main" id="{8D6313F4-260A-46EE-A3D2-06E180B46645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5" name="Elipse 834">
            <a:extLst>
              <a:ext uri="{FF2B5EF4-FFF2-40B4-BE49-F238E27FC236}">
                <a16:creationId xmlns:a16="http://schemas.microsoft.com/office/drawing/2014/main" id="{7257F85A-F196-47F2-81BA-43057DC708EB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6" name="Elipse 835">
            <a:extLst>
              <a:ext uri="{FF2B5EF4-FFF2-40B4-BE49-F238E27FC236}">
                <a16:creationId xmlns:a16="http://schemas.microsoft.com/office/drawing/2014/main" id="{A06F5B7E-4913-4E2A-94AE-5AA4A52DF03B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7" name="Elipse 836">
            <a:extLst>
              <a:ext uri="{FF2B5EF4-FFF2-40B4-BE49-F238E27FC236}">
                <a16:creationId xmlns:a16="http://schemas.microsoft.com/office/drawing/2014/main" id="{85A85E1F-6E03-4947-BA69-F6014C0998D4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8" name="Elipse 837">
            <a:extLst>
              <a:ext uri="{FF2B5EF4-FFF2-40B4-BE49-F238E27FC236}">
                <a16:creationId xmlns:a16="http://schemas.microsoft.com/office/drawing/2014/main" id="{49FA0C81-C0B1-49EF-8C6A-DF81A2AE21ED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39" name="Elipse 838">
            <a:extLst>
              <a:ext uri="{FF2B5EF4-FFF2-40B4-BE49-F238E27FC236}">
                <a16:creationId xmlns:a16="http://schemas.microsoft.com/office/drawing/2014/main" id="{F867702D-87E4-448E-8183-51A12E115DF2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0" name="Elipse 839">
            <a:extLst>
              <a:ext uri="{FF2B5EF4-FFF2-40B4-BE49-F238E27FC236}">
                <a16:creationId xmlns:a16="http://schemas.microsoft.com/office/drawing/2014/main" id="{67DB6AA3-B8FB-46AB-AAF1-59D02BA498AE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1" name="Elipse 840">
            <a:extLst>
              <a:ext uri="{FF2B5EF4-FFF2-40B4-BE49-F238E27FC236}">
                <a16:creationId xmlns:a16="http://schemas.microsoft.com/office/drawing/2014/main" id="{033B295B-AB93-4CC7-8721-862075E4F935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2" name="Elipse 841">
            <a:extLst>
              <a:ext uri="{FF2B5EF4-FFF2-40B4-BE49-F238E27FC236}">
                <a16:creationId xmlns:a16="http://schemas.microsoft.com/office/drawing/2014/main" id="{C9A901D5-4E8A-469A-986A-3A6CD66D344F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3" name="Elipse 842">
            <a:extLst>
              <a:ext uri="{FF2B5EF4-FFF2-40B4-BE49-F238E27FC236}">
                <a16:creationId xmlns:a16="http://schemas.microsoft.com/office/drawing/2014/main" id="{49A79AFE-2F9C-4EB5-A66A-9F5346598E19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4" name="Elipse 843">
            <a:extLst>
              <a:ext uri="{FF2B5EF4-FFF2-40B4-BE49-F238E27FC236}">
                <a16:creationId xmlns:a16="http://schemas.microsoft.com/office/drawing/2014/main" id="{52BA06EE-6413-4BA6-84AA-E4FEE034B295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5" name="Elipse 844">
            <a:extLst>
              <a:ext uri="{FF2B5EF4-FFF2-40B4-BE49-F238E27FC236}">
                <a16:creationId xmlns:a16="http://schemas.microsoft.com/office/drawing/2014/main" id="{71F82BD1-C9C1-404C-A791-EC601CD62974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6" name="Elipse 845">
            <a:extLst>
              <a:ext uri="{FF2B5EF4-FFF2-40B4-BE49-F238E27FC236}">
                <a16:creationId xmlns:a16="http://schemas.microsoft.com/office/drawing/2014/main" id="{1656DC5A-4477-4B63-9AB9-5E31189D3B86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7" name="Elipse 846">
            <a:extLst>
              <a:ext uri="{FF2B5EF4-FFF2-40B4-BE49-F238E27FC236}">
                <a16:creationId xmlns:a16="http://schemas.microsoft.com/office/drawing/2014/main" id="{6A44CD71-69D2-4787-A7B6-0ABE28BA13C8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8" name="Elipse 847">
            <a:extLst>
              <a:ext uri="{FF2B5EF4-FFF2-40B4-BE49-F238E27FC236}">
                <a16:creationId xmlns:a16="http://schemas.microsoft.com/office/drawing/2014/main" id="{ACB0309B-4E7F-4CB9-99A6-E71F8AB591C2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9" name="Elipse 848">
            <a:extLst>
              <a:ext uri="{FF2B5EF4-FFF2-40B4-BE49-F238E27FC236}">
                <a16:creationId xmlns:a16="http://schemas.microsoft.com/office/drawing/2014/main" id="{CB1F0B6D-1A67-4881-A6F6-0F8169355B0A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0" name="Elipse 849">
            <a:extLst>
              <a:ext uri="{FF2B5EF4-FFF2-40B4-BE49-F238E27FC236}">
                <a16:creationId xmlns:a16="http://schemas.microsoft.com/office/drawing/2014/main" id="{AA29E3A7-9B54-48A0-AEAB-F19D5381DE76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652606</xdr:colOff>
      <xdr:row>23</xdr:row>
      <xdr:rowOff>92882</xdr:rowOff>
    </xdr:from>
    <xdr:to>
      <xdr:col>13</xdr:col>
      <xdr:colOff>401930</xdr:colOff>
      <xdr:row>25</xdr:row>
      <xdr:rowOff>94293</xdr:rowOff>
    </xdr:to>
    <xdr:grpSp>
      <xdr:nvGrpSpPr>
        <xdr:cNvPr id="851" name="Agrupar 850">
          <a:extLst>
            <a:ext uri="{FF2B5EF4-FFF2-40B4-BE49-F238E27FC236}">
              <a16:creationId xmlns:a16="http://schemas.microsoft.com/office/drawing/2014/main" id="{6BFF013D-986D-4D82-9521-7F9B2C98DCE7}"/>
            </a:ext>
          </a:extLst>
        </xdr:cNvPr>
        <xdr:cNvGrpSpPr/>
      </xdr:nvGrpSpPr>
      <xdr:grpSpPr>
        <a:xfrm>
          <a:off x="10334488" y="4519206"/>
          <a:ext cx="1800001" cy="359999"/>
          <a:chOff x="7972289" y="1955300"/>
          <a:chExt cx="8293102" cy="1699760"/>
        </a:xfrm>
      </xdr:grpSpPr>
      <xdr:sp macro="" textlink="">
        <xdr:nvSpPr>
          <xdr:cNvPr id="852" name="Elipse 851">
            <a:extLst>
              <a:ext uri="{FF2B5EF4-FFF2-40B4-BE49-F238E27FC236}">
                <a16:creationId xmlns:a16="http://schemas.microsoft.com/office/drawing/2014/main" id="{9451BB89-FC36-4341-8353-296C53299C0F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3" name="Elipse 852">
            <a:extLst>
              <a:ext uri="{FF2B5EF4-FFF2-40B4-BE49-F238E27FC236}">
                <a16:creationId xmlns:a16="http://schemas.microsoft.com/office/drawing/2014/main" id="{20C11603-0A12-4FB3-8A2E-ED0220B9D734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4" name="Elipse 853">
            <a:extLst>
              <a:ext uri="{FF2B5EF4-FFF2-40B4-BE49-F238E27FC236}">
                <a16:creationId xmlns:a16="http://schemas.microsoft.com/office/drawing/2014/main" id="{F884ED65-0C2F-4173-8E53-8772C341A614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5" name="Elipse 854">
            <a:extLst>
              <a:ext uri="{FF2B5EF4-FFF2-40B4-BE49-F238E27FC236}">
                <a16:creationId xmlns:a16="http://schemas.microsoft.com/office/drawing/2014/main" id="{C17F344C-1BB5-4C6D-93AE-FB6588518E5D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6" name="Elipse 855">
            <a:extLst>
              <a:ext uri="{FF2B5EF4-FFF2-40B4-BE49-F238E27FC236}">
                <a16:creationId xmlns:a16="http://schemas.microsoft.com/office/drawing/2014/main" id="{D2EA5D31-EFE3-4287-99E4-FC458DAB0703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7" name="Elipse 856">
            <a:extLst>
              <a:ext uri="{FF2B5EF4-FFF2-40B4-BE49-F238E27FC236}">
                <a16:creationId xmlns:a16="http://schemas.microsoft.com/office/drawing/2014/main" id="{5B6EB717-E3CD-426D-B3EC-BCC3F5A038EB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8" name="Elipse 857">
            <a:extLst>
              <a:ext uri="{FF2B5EF4-FFF2-40B4-BE49-F238E27FC236}">
                <a16:creationId xmlns:a16="http://schemas.microsoft.com/office/drawing/2014/main" id="{939FE709-61B7-4421-9206-4B20C097C129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9" name="Elipse 858">
            <a:extLst>
              <a:ext uri="{FF2B5EF4-FFF2-40B4-BE49-F238E27FC236}">
                <a16:creationId xmlns:a16="http://schemas.microsoft.com/office/drawing/2014/main" id="{19895370-5B4D-4E6D-8C78-DD573D996D55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860" name="Conector reto 859">
            <a:extLst>
              <a:ext uri="{FF2B5EF4-FFF2-40B4-BE49-F238E27FC236}">
                <a16:creationId xmlns:a16="http://schemas.microsoft.com/office/drawing/2014/main" id="{8C8FB6D2-4EB4-4D63-9653-C1F94F5C9804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1" name="Conector reto 860">
            <a:extLst>
              <a:ext uri="{FF2B5EF4-FFF2-40B4-BE49-F238E27FC236}">
                <a16:creationId xmlns:a16="http://schemas.microsoft.com/office/drawing/2014/main" id="{522E1BE1-C2FA-4853-B050-7F3E147F74C0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2" name="Conector reto 861">
            <a:extLst>
              <a:ext uri="{FF2B5EF4-FFF2-40B4-BE49-F238E27FC236}">
                <a16:creationId xmlns:a16="http://schemas.microsoft.com/office/drawing/2014/main" id="{2B87C586-2409-4A70-87F9-81E2650F60F3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3" name="Conector reto 862">
            <a:extLst>
              <a:ext uri="{FF2B5EF4-FFF2-40B4-BE49-F238E27FC236}">
                <a16:creationId xmlns:a16="http://schemas.microsoft.com/office/drawing/2014/main" id="{0845ABB3-70ED-47D1-B867-BB13FE65D61D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4" name="Conector reto 863">
            <a:extLst>
              <a:ext uri="{FF2B5EF4-FFF2-40B4-BE49-F238E27FC236}">
                <a16:creationId xmlns:a16="http://schemas.microsoft.com/office/drawing/2014/main" id="{12994427-B499-44A5-BA31-19428215D83E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5" name="Conector reto 864">
            <a:extLst>
              <a:ext uri="{FF2B5EF4-FFF2-40B4-BE49-F238E27FC236}">
                <a16:creationId xmlns:a16="http://schemas.microsoft.com/office/drawing/2014/main" id="{4E9B6EB5-71D3-41D0-917E-C972DB774417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6" name="Conector reto 865">
            <a:extLst>
              <a:ext uri="{FF2B5EF4-FFF2-40B4-BE49-F238E27FC236}">
                <a16:creationId xmlns:a16="http://schemas.microsoft.com/office/drawing/2014/main" id="{9AEDAE8F-9333-4E68-9ACD-6CFF8B27ED83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7" name="Conector reto 866">
            <a:extLst>
              <a:ext uri="{FF2B5EF4-FFF2-40B4-BE49-F238E27FC236}">
                <a16:creationId xmlns:a16="http://schemas.microsoft.com/office/drawing/2014/main" id="{7E497BC2-7602-4502-B46B-F9F7EC879E14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8" name="Conector reto 867">
            <a:extLst>
              <a:ext uri="{FF2B5EF4-FFF2-40B4-BE49-F238E27FC236}">
                <a16:creationId xmlns:a16="http://schemas.microsoft.com/office/drawing/2014/main" id="{FB19D682-E33B-45BC-B83F-D6A29EE47803}"/>
              </a:ext>
            </a:extLst>
          </xdr:cNvPr>
          <xdr:cNvCxnSpPr/>
        </xdr:nvCxnSpPr>
        <xdr:spPr>
          <a:xfrm>
            <a:off x="1004887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9" name="Conector reto 868">
            <a:extLst>
              <a:ext uri="{FF2B5EF4-FFF2-40B4-BE49-F238E27FC236}">
                <a16:creationId xmlns:a16="http://schemas.microsoft.com/office/drawing/2014/main" id="{F6F50C14-8ED8-4AC9-9407-E40982F69685}"/>
              </a:ext>
            </a:extLst>
          </xdr:cNvPr>
          <xdr:cNvCxnSpPr/>
        </xdr:nvCxnSpPr>
        <xdr:spPr>
          <a:xfrm>
            <a:off x="12058650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0" name="Conector reto 869">
            <a:extLst>
              <a:ext uri="{FF2B5EF4-FFF2-40B4-BE49-F238E27FC236}">
                <a16:creationId xmlns:a16="http://schemas.microsoft.com/office/drawing/2014/main" id="{39830BFB-92BC-41A8-ACA4-4515266C57D7}"/>
              </a:ext>
            </a:extLst>
          </xdr:cNvPr>
          <xdr:cNvCxnSpPr/>
        </xdr:nvCxnSpPr>
        <xdr:spPr>
          <a:xfrm>
            <a:off x="1406842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1" name="Conector reto 870">
            <a:extLst>
              <a:ext uri="{FF2B5EF4-FFF2-40B4-BE49-F238E27FC236}">
                <a16:creationId xmlns:a16="http://schemas.microsoft.com/office/drawing/2014/main" id="{CCA68277-FC1F-48CA-A744-E73560AA4841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2" name="Conector reto 871">
            <a:extLst>
              <a:ext uri="{FF2B5EF4-FFF2-40B4-BE49-F238E27FC236}">
                <a16:creationId xmlns:a16="http://schemas.microsoft.com/office/drawing/2014/main" id="{8F31DC71-689A-44C3-A0BC-AD57D4BF06D3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3" name="Forma Livre: Forma 872">
            <a:extLst>
              <a:ext uri="{FF2B5EF4-FFF2-40B4-BE49-F238E27FC236}">
                <a16:creationId xmlns:a16="http://schemas.microsoft.com/office/drawing/2014/main" id="{F76A2B4C-07D2-481A-B0D5-DA55752199A6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4" name="Forma Livre: Forma 873">
            <a:extLst>
              <a:ext uri="{FF2B5EF4-FFF2-40B4-BE49-F238E27FC236}">
                <a16:creationId xmlns:a16="http://schemas.microsoft.com/office/drawing/2014/main" id="{4E727654-0F1A-493D-9ABF-AA344A094B23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5" name="Forma Livre: Forma 874">
            <a:extLst>
              <a:ext uri="{FF2B5EF4-FFF2-40B4-BE49-F238E27FC236}">
                <a16:creationId xmlns:a16="http://schemas.microsoft.com/office/drawing/2014/main" id="{28DB718C-B190-4778-90B8-0DAF1B7687E9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6" name="Forma Livre: Forma 875">
            <a:extLst>
              <a:ext uri="{FF2B5EF4-FFF2-40B4-BE49-F238E27FC236}">
                <a16:creationId xmlns:a16="http://schemas.microsoft.com/office/drawing/2014/main" id="{0363929F-5780-4E8A-9741-6F8CE2F5B4A7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7" name="Forma Livre: Forma 876">
            <a:extLst>
              <a:ext uri="{FF2B5EF4-FFF2-40B4-BE49-F238E27FC236}">
                <a16:creationId xmlns:a16="http://schemas.microsoft.com/office/drawing/2014/main" id="{F79D0B8A-382D-4CC0-BD2C-46B37C2645AB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8" name="Forma Livre: Forma 877">
            <a:extLst>
              <a:ext uri="{FF2B5EF4-FFF2-40B4-BE49-F238E27FC236}">
                <a16:creationId xmlns:a16="http://schemas.microsoft.com/office/drawing/2014/main" id="{BFFCEA48-139E-4552-8ADA-C25F5AF17ED7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79" name="Elipse 878">
            <a:extLst>
              <a:ext uri="{FF2B5EF4-FFF2-40B4-BE49-F238E27FC236}">
                <a16:creationId xmlns:a16="http://schemas.microsoft.com/office/drawing/2014/main" id="{F34EBB5E-93CE-4ECD-BEC2-F09E7440CD33}"/>
              </a:ext>
            </a:extLst>
          </xdr:cNvPr>
          <xdr:cNvSpPr/>
        </xdr:nvSpPr>
        <xdr:spPr>
          <a:xfrm>
            <a:off x="1001712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0" name="Elipse 879">
            <a:extLst>
              <a:ext uri="{FF2B5EF4-FFF2-40B4-BE49-F238E27FC236}">
                <a16:creationId xmlns:a16="http://schemas.microsoft.com/office/drawing/2014/main" id="{CC1954F4-C049-47F9-8DBF-EFDE41699006}"/>
              </a:ext>
            </a:extLst>
          </xdr:cNvPr>
          <xdr:cNvSpPr/>
        </xdr:nvSpPr>
        <xdr:spPr>
          <a:xfrm>
            <a:off x="1001712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1" name="Elipse 880">
            <a:extLst>
              <a:ext uri="{FF2B5EF4-FFF2-40B4-BE49-F238E27FC236}">
                <a16:creationId xmlns:a16="http://schemas.microsoft.com/office/drawing/2014/main" id="{2A8BF26C-8551-4241-A349-2CD9FC607C04}"/>
              </a:ext>
            </a:extLst>
          </xdr:cNvPr>
          <xdr:cNvSpPr/>
        </xdr:nvSpPr>
        <xdr:spPr>
          <a:xfrm>
            <a:off x="12026900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2" name="Elipse 881">
            <a:extLst>
              <a:ext uri="{FF2B5EF4-FFF2-40B4-BE49-F238E27FC236}">
                <a16:creationId xmlns:a16="http://schemas.microsoft.com/office/drawing/2014/main" id="{DBF6525F-42D1-4843-BA51-E442D9DDFF7E}"/>
              </a:ext>
            </a:extLst>
          </xdr:cNvPr>
          <xdr:cNvSpPr/>
        </xdr:nvSpPr>
        <xdr:spPr>
          <a:xfrm>
            <a:off x="12026900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3" name="Elipse 882">
            <a:extLst>
              <a:ext uri="{FF2B5EF4-FFF2-40B4-BE49-F238E27FC236}">
                <a16:creationId xmlns:a16="http://schemas.microsoft.com/office/drawing/2014/main" id="{BD221B2F-C96C-474E-AC46-CBF8EBB6CAC0}"/>
              </a:ext>
            </a:extLst>
          </xdr:cNvPr>
          <xdr:cNvSpPr/>
        </xdr:nvSpPr>
        <xdr:spPr>
          <a:xfrm>
            <a:off x="1403667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4" name="Elipse 883">
            <a:extLst>
              <a:ext uri="{FF2B5EF4-FFF2-40B4-BE49-F238E27FC236}">
                <a16:creationId xmlns:a16="http://schemas.microsoft.com/office/drawing/2014/main" id="{A370F745-45B2-4BFA-8463-D2BFB770D083}"/>
              </a:ext>
            </a:extLst>
          </xdr:cNvPr>
          <xdr:cNvSpPr/>
        </xdr:nvSpPr>
        <xdr:spPr>
          <a:xfrm>
            <a:off x="1403667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5" name="Elipse 884">
            <a:extLst>
              <a:ext uri="{FF2B5EF4-FFF2-40B4-BE49-F238E27FC236}">
                <a16:creationId xmlns:a16="http://schemas.microsoft.com/office/drawing/2014/main" id="{F17309F6-7E29-46B7-81EC-5335B5484D59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6" name="Elipse 885">
            <a:extLst>
              <a:ext uri="{FF2B5EF4-FFF2-40B4-BE49-F238E27FC236}">
                <a16:creationId xmlns:a16="http://schemas.microsoft.com/office/drawing/2014/main" id="{5789381E-0639-43FC-9002-C1A46062CB20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7" name="Elipse 886">
            <a:extLst>
              <a:ext uri="{FF2B5EF4-FFF2-40B4-BE49-F238E27FC236}">
                <a16:creationId xmlns:a16="http://schemas.microsoft.com/office/drawing/2014/main" id="{BFA813A9-61CA-4494-9877-8DA3041B7802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88" name="Elipse 887">
            <a:extLst>
              <a:ext uri="{FF2B5EF4-FFF2-40B4-BE49-F238E27FC236}">
                <a16:creationId xmlns:a16="http://schemas.microsoft.com/office/drawing/2014/main" id="{ABA0E9AB-5A91-4EBA-AC95-943D1F5663FD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663813</xdr:colOff>
      <xdr:row>26</xdr:row>
      <xdr:rowOff>92881</xdr:rowOff>
    </xdr:from>
    <xdr:to>
      <xdr:col>13</xdr:col>
      <xdr:colOff>413137</xdr:colOff>
      <xdr:row>28</xdr:row>
      <xdr:rowOff>94293</xdr:rowOff>
    </xdr:to>
    <xdr:grpSp>
      <xdr:nvGrpSpPr>
        <xdr:cNvPr id="889" name="Agrupar 888">
          <a:extLst>
            <a:ext uri="{FF2B5EF4-FFF2-40B4-BE49-F238E27FC236}">
              <a16:creationId xmlns:a16="http://schemas.microsoft.com/office/drawing/2014/main" id="{C6A5E060-B891-459E-85DA-E6B2C4B5D08C}"/>
            </a:ext>
          </a:extLst>
        </xdr:cNvPr>
        <xdr:cNvGrpSpPr/>
      </xdr:nvGrpSpPr>
      <xdr:grpSpPr>
        <a:xfrm>
          <a:off x="10345695" y="5057087"/>
          <a:ext cx="1800001" cy="360000"/>
          <a:chOff x="7972289" y="1955300"/>
          <a:chExt cx="8293102" cy="1699760"/>
        </a:xfrm>
      </xdr:grpSpPr>
      <xdr:sp macro="" textlink="">
        <xdr:nvSpPr>
          <xdr:cNvPr id="890" name="Elipse 889">
            <a:extLst>
              <a:ext uri="{FF2B5EF4-FFF2-40B4-BE49-F238E27FC236}">
                <a16:creationId xmlns:a16="http://schemas.microsoft.com/office/drawing/2014/main" id="{4144F8C6-4ED9-4AEF-A07C-F981D072BB4C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1" name="Elipse 890">
            <a:extLst>
              <a:ext uri="{FF2B5EF4-FFF2-40B4-BE49-F238E27FC236}">
                <a16:creationId xmlns:a16="http://schemas.microsoft.com/office/drawing/2014/main" id="{705318FC-17A5-4E07-BE5E-E3C7AEC22254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2" name="Elipse 891">
            <a:extLst>
              <a:ext uri="{FF2B5EF4-FFF2-40B4-BE49-F238E27FC236}">
                <a16:creationId xmlns:a16="http://schemas.microsoft.com/office/drawing/2014/main" id="{109BF947-5043-4E58-9FCF-058406C96A3D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3" name="Elipse 892">
            <a:extLst>
              <a:ext uri="{FF2B5EF4-FFF2-40B4-BE49-F238E27FC236}">
                <a16:creationId xmlns:a16="http://schemas.microsoft.com/office/drawing/2014/main" id="{BE9C1FEC-476A-4DC6-AE51-4340EF012A81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4" name="Elipse 893">
            <a:extLst>
              <a:ext uri="{FF2B5EF4-FFF2-40B4-BE49-F238E27FC236}">
                <a16:creationId xmlns:a16="http://schemas.microsoft.com/office/drawing/2014/main" id="{9A4629A3-E8E7-4372-ADD2-86D2EF3E59E8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5" name="Elipse 894">
            <a:extLst>
              <a:ext uri="{FF2B5EF4-FFF2-40B4-BE49-F238E27FC236}">
                <a16:creationId xmlns:a16="http://schemas.microsoft.com/office/drawing/2014/main" id="{E4FF9B7C-2B28-4D48-BACB-B7C5CBACCBCA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6" name="Elipse 895">
            <a:extLst>
              <a:ext uri="{FF2B5EF4-FFF2-40B4-BE49-F238E27FC236}">
                <a16:creationId xmlns:a16="http://schemas.microsoft.com/office/drawing/2014/main" id="{D5061774-9C77-4CEE-8A9E-704912D35D57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97" name="Elipse 896">
            <a:extLst>
              <a:ext uri="{FF2B5EF4-FFF2-40B4-BE49-F238E27FC236}">
                <a16:creationId xmlns:a16="http://schemas.microsoft.com/office/drawing/2014/main" id="{556F62F7-1DE0-4B74-BF87-3ED855C16EEF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898" name="Conector reto 897">
            <a:extLst>
              <a:ext uri="{FF2B5EF4-FFF2-40B4-BE49-F238E27FC236}">
                <a16:creationId xmlns:a16="http://schemas.microsoft.com/office/drawing/2014/main" id="{8130DBC2-9272-430E-A8EA-7922EB6CD41D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9" name="Conector reto 898">
            <a:extLst>
              <a:ext uri="{FF2B5EF4-FFF2-40B4-BE49-F238E27FC236}">
                <a16:creationId xmlns:a16="http://schemas.microsoft.com/office/drawing/2014/main" id="{811FAB05-390F-4191-82DE-65D4F8FA1165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0" name="Conector reto 899">
            <a:extLst>
              <a:ext uri="{FF2B5EF4-FFF2-40B4-BE49-F238E27FC236}">
                <a16:creationId xmlns:a16="http://schemas.microsoft.com/office/drawing/2014/main" id="{7F753FC3-481E-40B7-8EC8-3198387AECDF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1" name="Conector reto 900">
            <a:extLst>
              <a:ext uri="{FF2B5EF4-FFF2-40B4-BE49-F238E27FC236}">
                <a16:creationId xmlns:a16="http://schemas.microsoft.com/office/drawing/2014/main" id="{50DF6E09-107D-4848-B075-0D2C1FBD14C3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2" name="Conector reto 901">
            <a:extLst>
              <a:ext uri="{FF2B5EF4-FFF2-40B4-BE49-F238E27FC236}">
                <a16:creationId xmlns:a16="http://schemas.microsoft.com/office/drawing/2014/main" id="{DFB619D0-00F9-45B9-8BF3-EFEA2A39FBEB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3" name="Conector reto 902">
            <a:extLst>
              <a:ext uri="{FF2B5EF4-FFF2-40B4-BE49-F238E27FC236}">
                <a16:creationId xmlns:a16="http://schemas.microsoft.com/office/drawing/2014/main" id="{9756B9D2-243F-4D14-8B89-5BC3F0A6B5FF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4" name="Conector reto 903">
            <a:extLst>
              <a:ext uri="{FF2B5EF4-FFF2-40B4-BE49-F238E27FC236}">
                <a16:creationId xmlns:a16="http://schemas.microsoft.com/office/drawing/2014/main" id="{03050E05-0035-461C-8CEE-6F154F3A0793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5" name="Conector reto 904">
            <a:extLst>
              <a:ext uri="{FF2B5EF4-FFF2-40B4-BE49-F238E27FC236}">
                <a16:creationId xmlns:a16="http://schemas.microsoft.com/office/drawing/2014/main" id="{9CC48DA5-C934-452F-8DB2-DC26635C0D89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6" name="Conector reto 905">
            <a:extLst>
              <a:ext uri="{FF2B5EF4-FFF2-40B4-BE49-F238E27FC236}">
                <a16:creationId xmlns:a16="http://schemas.microsoft.com/office/drawing/2014/main" id="{1DCAC81A-EC0A-4F64-AFD2-B794439AF48F}"/>
              </a:ext>
            </a:extLst>
          </xdr:cNvPr>
          <xdr:cNvCxnSpPr/>
        </xdr:nvCxnSpPr>
        <xdr:spPr>
          <a:xfrm>
            <a:off x="1004887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7" name="Conector reto 906">
            <a:extLst>
              <a:ext uri="{FF2B5EF4-FFF2-40B4-BE49-F238E27FC236}">
                <a16:creationId xmlns:a16="http://schemas.microsoft.com/office/drawing/2014/main" id="{BBE14AE5-5E6A-4796-9581-1AB75950E2ED}"/>
              </a:ext>
            </a:extLst>
          </xdr:cNvPr>
          <xdr:cNvCxnSpPr/>
        </xdr:nvCxnSpPr>
        <xdr:spPr>
          <a:xfrm>
            <a:off x="1406842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8" name="Conector reto 907">
            <a:extLst>
              <a:ext uri="{FF2B5EF4-FFF2-40B4-BE49-F238E27FC236}">
                <a16:creationId xmlns:a16="http://schemas.microsoft.com/office/drawing/2014/main" id="{3555AF20-1581-424C-82C9-77AC25B060AE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9" name="Conector reto 908">
            <a:extLst>
              <a:ext uri="{FF2B5EF4-FFF2-40B4-BE49-F238E27FC236}">
                <a16:creationId xmlns:a16="http://schemas.microsoft.com/office/drawing/2014/main" id="{2341608D-D9A3-442D-A693-AB36FBED1EE6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10" name="Forma Livre: Forma 909">
            <a:extLst>
              <a:ext uri="{FF2B5EF4-FFF2-40B4-BE49-F238E27FC236}">
                <a16:creationId xmlns:a16="http://schemas.microsoft.com/office/drawing/2014/main" id="{4441B6C9-6B08-44BC-B1DF-505D32500C2E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1" name="Forma Livre: Forma 910">
            <a:extLst>
              <a:ext uri="{FF2B5EF4-FFF2-40B4-BE49-F238E27FC236}">
                <a16:creationId xmlns:a16="http://schemas.microsoft.com/office/drawing/2014/main" id="{19A0BC67-17B8-431C-82C4-4D6E10AD3F0A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2" name="Forma Livre: Forma 911">
            <a:extLst>
              <a:ext uri="{FF2B5EF4-FFF2-40B4-BE49-F238E27FC236}">
                <a16:creationId xmlns:a16="http://schemas.microsoft.com/office/drawing/2014/main" id="{EB2E2EDE-A79A-45D6-82C0-228F54A5EEA8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3" name="Forma Livre: Forma 912">
            <a:extLst>
              <a:ext uri="{FF2B5EF4-FFF2-40B4-BE49-F238E27FC236}">
                <a16:creationId xmlns:a16="http://schemas.microsoft.com/office/drawing/2014/main" id="{251889F4-0937-4BA8-B227-854C5DC51BCB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4" name="Forma Livre: Forma 913">
            <a:extLst>
              <a:ext uri="{FF2B5EF4-FFF2-40B4-BE49-F238E27FC236}">
                <a16:creationId xmlns:a16="http://schemas.microsoft.com/office/drawing/2014/main" id="{2057091F-1443-472D-8796-78551076FCA8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5" name="Forma Livre: Forma 914">
            <a:extLst>
              <a:ext uri="{FF2B5EF4-FFF2-40B4-BE49-F238E27FC236}">
                <a16:creationId xmlns:a16="http://schemas.microsoft.com/office/drawing/2014/main" id="{DFD93983-6DD3-481B-882B-F92660D59F5B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6" name="Elipse 915">
            <a:extLst>
              <a:ext uri="{FF2B5EF4-FFF2-40B4-BE49-F238E27FC236}">
                <a16:creationId xmlns:a16="http://schemas.microsoft.com/office/drawing/2014/main" id="{F13EAFB5-9C26-4980-BC6D-04BD691C0ABF}"/>
              </a:ext>
            </a:extLst>
          </xdr:cNvPr>
          <xdr:cNvSpPr/>
        </xdr:nvSpPr>
        <xdr:spPr>
          <a:xfrm>
            <a:off x="1001712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7" name="Elipse 916">
            <a:extLst>
              <a:ext uri="{FF2B5EF4-FFF2-40B4-BE49-F238E27FC236}">
                <a16:creationId xmlns:a16="http://schemas.microsoft.com/office/drawing/2014/main" id="{CB2D92B6-28D1-4B11-B859-A7B262430EE5}"/>
              </a:ext>
            </a:extLst>
          </xdr:cNvPr>
          <xdr:cNvSpPr/>
        </xdr:nvSpPr>
        <xdr:spPr>
          <a:xfrm>
            <a:off x="1001712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8" name="Elipse 917">
            <a:extLst>
              <a:ext uri="{FF2B5EF4-FFF2-40B4-BE49-F238E27FC236}">
                <a16:creationId xmlns:a16="http://schemas.microsoft.com/office/drawing/2014/main" id="{30F09E5F-2400-4C25-A642-962E45A6F1FD}"/>
              </a:ext>
            </a:extLst>
          </xdr:cNvPr>
          <xdr:cNvSpPr/>
        </xdr:nvSpPr>
        <xdr:spPr>
          <a:xfrm>
            <a:off x="1403667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19" name="Elipse 918">
            <a:extLst>
              <a:ext uri="{FF2B5EF4-FFF2-40B4-BE49-F238E27FC236}">
                <a16:creationId xmlns:a16="http://schemas.microsoft.com/office/drawing/2014/main" id="{088B625D-4C5D-4096-9B83-74DE2E5E1F41}"/>
              </a:ext>
            </a:extLst>
          </xdr:cNvPr>
          <xdr:cNvSpPr/>
        </xdr:nvSpPr>
        <xdr:spPr>
          <a:xfrm>
            <a:off x="1403667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0" name="Elipse 919">
            <a:extLst>
              <a:ext uri="{FF2B5EF4-FFF2-40B4-BE49-F238E27FC236}">
                <a16:creationId xmlns:a16="http://schemas.microsoft.com/office/drawing/2014/main" id="{4FF0C737-9B0B-4A6D-A38A-FAAE2097F4A5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1" name="Elipse 920">
            <a:extLst>
              <a:ext uri="{FF2B5EF4-FFF2-40B4-BE49-F238E27FC236}">
                <a16:creationId xmlns:a16="http://schemas.microsoft.com/office/drawing/2014/main" id="{F9A6AA90-C79E-4DCA-9D26-81D4D516E782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2" name="Elipse 921">
            <a:extLst>
              <a:ext uri="{FF2B5EF4-FFF2-40B4-BE49-F238E27FC236}">
                <a16:creationId xmlns:a16="http://schemas.microsoft.com/office/drawing/2014/main" id="{442EE0A6-F026-41C5-ABB2-4A30314C1A50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3" name="Elipse 922">
            <a:extLst>
              <a:ext uri="{FF2B5EF4-FFF2-40B4-BE49-F238E27FC236}">
                <a16:creationId xmlns:a16="http://schemas.microsoft.com/office/drawing/2014/main" id="{88182546-1AE9-40B0-A643-BC77EEA08FF8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663812</xdr:colOff>
      <xdr:row>29</xdr:row>
      <xdr:rowOff>137705</xdr:rowOff>
    </xdr:from>
    <xdr:to>
      <xdr:col>13</xdr:col>
      <xdr:colOff>413136</xdr:colOff>
      <xdr:row>31</xdr:row>
      <xdr:rowOff>139117</xdr:rowOff>
    </xdr:to>
    <xdr:grpSp>
      <xdr:nvGrpSpPr>
        <xdr:cNvPr id="924" name="Agrupar 923">
          <a:extLst>
            <a:ext uri="{FF2B5EF4-FFF2-40B4-BE49-F238E27FC236}">
              <a16:creationId xmlns:a16="http://schemas.microsoft.com/office/drawing/2014/main" id="{D35AA36F-3E56-4806-8515-0C0DB53859DA}"/>
            </a:ext>
          </a:extLst>
        </xdr:cNvPr>
        <xdr:cNvGrpSpPr/>
      </xdr:nvGrpSpPr>
      <xdr:grpSpPr>
        <a:xfrm>
          <a:off x="10345694" y="5639793"/>
          <a:ext cx="1800001" cy="360000"/>
          <a:chOff x="7972289" y="1955300"/>
          <a:chExt cx="8293102" cy="1699760"/>
        </a:xfrm>
      </xdr:grpSpPr>
      <xdr:sp macro="" textlink="">
        <xdr:nvSpPr>
          <xdr:cNvPr id="925" name="Elipse 924">
            <a:extLst>
              <a:ext uri="{FF2B5EF4-FFF2-40B4-BE49-F238E27FC236}">
                <a16:creationId xmlns:a16="http://schemas.microsoft.com/office/drawing/2014/main" id="{A329F88A-F5C2-45AA-AFD6-3AAEB5FB9FCC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6" name="Elipse 925">
            <a:extLst>
              <a:ext uri="{FF2B5EF4-FFF2-40B4-BE49-F238E27FC236}">
                <a16:creationId xmlns:a16="http://schemas.microsoft.com/office/drawing/2014/main" id="{E88E6C26-E67B-43AC-A77E-8A23EB40CFD7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7" name="Elipse 926">
            <a:extLst>
              <a:ext uri="{FF2B5EF4-FFF2-40B4-BE49-F238E27FC236}">
                <a16:creationId xmlns:a16="http://schemas.microsoft.com/office/drawing/2014/main" id="{C8A808B0-34BA-4D70-A7B9-26EFF5B13BD4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8" name="Elipse 927">
            <a:extLst>
              <a:ext uri="{FF2B5EF4-FFF2-40B4-BE49-F238E27FC236}">
                <a16:creationId xmlns:a16="http://schemas.microsoft.com/office/drawing/2014/main" id="{5D21728C-0B41-4CE6-B089-48A2EE073658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9" name="Elipse 928">
            <a:extLst>
              <a:ext uri="{FF2B5EF4-FFF2-40B4-BE49-F238E27FC236}">
                <a16:creationId xmlns:a16="http://schemas.microsoft.com/office/drawing/2014/main" id="{5EA0556F-1ED6-43CB-8089-82DFE55CA19D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0" name="Elipse 929">
            <a:extLst>
              <a:ext uri="{FF2B5EF4-FFF2-40B4-BE49-F238E27FC236}">
                <a16:creationId xmlns:a16="http://schemas.microsoft.com/office/drawing/2014/main" id="{145D9522-EB87-48CC-94B6-0C57EE005AB6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1" name="Elipse 930">
            <a:extLst>
              <a:ext uri="{FF2B5EF4-FFF2-40B4-BE49-F238E27FC236}">
                <a16:creationId xmlns:a16="http://schemas.microsoft.com/office/drawing/2014/main" id="{1672303D-F004-4A98-921F-E7B4A3732761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2" name="Elipse 931">
            <a:extLst>
              <a:ext uri="{FF2B5EF4-FFF2-40B4-BE49-F238E27FC236}">
                <a16:creationId xmlns:a16="http://schemas.microsoft.com/office/drawing/2014/main" id="{1C74568E-FDA3-4076-AAE2-6B17FD0B660D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933" name="Conector reto 932">
            <a:extLst>
              <a:ext uri="{FF2B5EF4-FFF2-40B4-BE49-F238E27FC236}">
                <a16:creationId xmlns:a16="http://schemas.microsoft.com/office/drawing/2014/main" id="{5AB877CB-7D33-4A52-B724-49ADD53EB6AB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4" name="Conector reto 933">
            <a:extLst>
              <a:ext uri="{FF2B5EF4-FFF2-40B4-BE49-F238E27FC236}">
                <a16:creationId xmlns:a16="http://schemas.microsoft.com/office/drawing/2014/main" id="{144DBDBD-F043-4238-90A4-0A65258CAD9D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5" name="Conector reto 934">
            <a:extLst>
              <a:ext uri="{FF2B5EF4-FFF2-40B4-BE49-F238E27FC236}">
                <a16:creationId xmlns:a16="http://schemas.microsoft.com/office/drawing/2014/main" id="{C09D14E6-9D2D-4CB2-8399-E84FB54DF90F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6" name="Conector reto 935">
            <a:extLst>
              <a:ext uri="{FF2B5EF4-FFF2-40B4-BE49-F238E27FC236}">
                <a16:creationId xmlns:a16="http://schemas.microsoft.com/office/drawing/2014/main" id="{8BC4D1BA-4956-4C1F-9556-FE0B29D92E98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7" name="Conector reto 936">
            <a:extLst>
              <a:ext uri="{FF2B5EF4-FFF2-40B4-BE49-F238E27FC236}">
                <a16:creationId xmlns:a16="http://schemas.microsoft.com/office/drawing/2014/main" id="{975E51BB-9BE4-4BB8-9757-801C47857CF1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8" name="Conector reto 937">
            <a:extLst>
              <a:ext uri="{FF2B5EF4-FFF2-40B4-BE49-F238E27FC236}">
                <a16:creationId xmlns:a16="http://schemas.microsoft.com/office/drawing/2014/main" id="{E09A52FA-A918-42F7-8527-5F05CE4F2526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9" name="Conector reto 938">
            <a:extLst>
              <a:ext uri="{FF2B5EF4-FFF2-40B4-BE49-F238E27FC236}">
                <a16:creationId xmlns:a16="http://schemas.microsoft.com/office/drawing/2014/main" id="{EF0DBA04-2462-4300-9390-C4BAA5E0ED17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0" name="Conector reto 939">
            <a:extLst>
              <a:ext uri="{FF2B5EF4-FFF2-40B4-BE49-F238E27FC236}">
                <a16:creationId xmlns:a16="http://schemas.microsoft.com/office/drawing/2014/main" id="{B733B617-99DB-4DCA-9079-166466A11515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1" name="Conector reto 940">
            <a:extLst>
              <a:ext uri="{FF2B5EF4-FFF2-40B4-BE49-F238E27FC236}">
                <a16:creationId xmlns:a16="http://schemas.microsoft.com/office/drawing/2014/main" id="{39A6F495-4115-4358-9117-E8C9F383141A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2" name="Conector reto 941">
            <a:extLst>
              <a:ext uri="{FF2B5EF4-FFF2-40B4-BE49-F238E27FC236}">
                <a16:creationId xmlns:a16="http://schemas.microsoft.com/office/drawing/2014/main" id="{AFF84024-5042-4E9F-A13E-5C862F33355B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43" name="Forma Livre: Forma 942">
            <a:extLst>
              <a:ext uri="{FF2B5EF4-FFF2-40B4-BE49-F238E27FC236}">
                <a16:creationId xmlns:a16="http://schemas.microsoft.com/office/drawing/2014/main" id="{8B4A1659-7D60-42BB-A372-E97842860615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4" name="Forma Livre: Forma 943">
            <a:extLst>
              <a:ext uri="{FF2B5EF4-FFF2-40B4-BE49-F238E27FC236}">
                <a16:creationId xmlns:a16="http://schemas.microsoft.com/office/drawing/2014/main" id="{658A2294-1262-4497-AA35-E0D1EBA594A6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5" name="Forma Livre: Forma 944">
            <a:extLst>
              <a:ext uri="{FF2B5EF4-FFF2-40B4-BE49-F238E27FC236}">
                <a16:creationId xmlns:a16="http://schemas.microsoft.com/office/drawing/2014/main" id="{6009DDFD-C9D5-4DFA-A273-98CE1D46CB96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6" name="Forma Livre: Forma 945">
            <a:extLst>
              <a:ext uri="{FF2B5EF4-FFF2-40B4-BE49-F238E27FC236}">
                <a16:creationId xmlns:a16="http://schemas.microsoft.com/office/drawing/2014/main" id="{4F713626-E431-447F-81D3-C665404B744B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7" name="Forma Livre: Forma 946">
            <a:extLst>
              <a:ext uri="{FF2B5EF4-FFF2-40B4-BE49-F238E27FC236}">
                <a16:creationId xmlns:a16="http://schemas.microsoft.com/office/drawing/2014/main" id="{200BE614-CBE7-4DDF-8EE1-1E67807C31C0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8" name="Forma Livre: Forma 947">
            <a:extLst>
              <a:ext uri="{FF2B5EF4-FFF2-40B4-BE49-F238E27FC236}">
                <a16:creationId xmlns:a16="http://schemas.microsoft.com/office/drawing/2014/main" id="{44E02321-8CFD-46FB-9F90-21070162D5A5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9" name="Elipse 948">
            <a:extLst>
              <a:ext uri="{FF2B5EF4-FFF2-40B4-BE49-F238E27FC236}">
                <a16:creationId xmlns:a16="http://schemas.microsoft.com/office/drawing/2014/main" id="{01496B22-5DBE-4AFB-8028-AFE5736F8051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0" name="Elipse 949">
            <a:extLst>
              <a:ext uri="{FF2B5EF4-FFF2-40B4-BE49-F238E27FC236}">
                <a16:creationId xmlns:a16="http://schemas.microsoft.com/office/drawing/2014/main" id="{2DF9070B-CA7E-4256-A966-56C02330C4B0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1" name="Elipse 950">
            <a:extLst>
              <a:ext uri="{FF2B5EF4-FFF2-40B4-BE49-F238E27FC236}">
                <a16:creationId xmlns:a16="http://schemas.microsoft.com/office/drawing/2014/main" id="{8B3B65B8-EE8A-4E9A-BB84-2BB4B950D598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2" name="Elipse 951">
            <a:extLst>
              <a:ext uri="{FF2B5EF4-FFF2-40B4-BE49-F238E27FC236}">
                <a16:creationId xmlns:a16="http://schemas.microsoft.com/office/drawing/2014/main" id="{EF5BF381-0D48-4C7C-9EE5-0BF19B19C33D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7</xdr:col>
      <xdr:colOff>673553</xdr:colOff>
      <xdr:row>5</xdr:row>
      <xdr:rowOff>112307</xdr:rowOff>
    </xdr:from>
    <xdr:to>
      <xdr:col>9</xdr:col>
      <xdr:colOff>190500</xdr:colOff>
      <xdr:row>7</xdr:row>
      <xdr:rowOff>105817</xdr:rowOff>
    </xdr:to>
    <xdr:sp macro="[0]!subOtimização" textlink="">
      <xdr:nvSpPr>
        <xdr:cNvPr id="953" name="Fluxograma: Processo Alternativo 952">
          <a:extLst>
            <a:ext uri="{FF2B5EF4-FFF2-40B4-BE49-F238E27FC236}">
              <a16:creationId xmlns:a16="http://schemas.microsoft.com/office/drawing/2014/main" id="{20BEC1BA-540A-4F94-B5D4-F14AB1D4EA69}"/>
            </a:ext>
          </a:extLst>
        </xdr:cNvPr>
        <xdr:cNvSpPr/>
      </xdr:nvSpPr>
      <xdr:spPr>
        <a:xfrm>
          <a:off x="7504339" y="1010378"/>
          <a:ext cx="1680482" cy="347296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OTIMIZAR</a:t>
          </a:r>
        </a:p>
      </xdr:txBody>
    </xdr:sp>
    <xdr:clientData/>
  </xdr:twoCellAnchor>
  <xdr:twoCellAnchor>
    <xdr:from>
      <xdr:col>1</xdr:col>
      <xdr:colOff>3201</xdr:colOff>
      <xdr:row>42</xdr:row>
      <xdr:rowOff>68041</xdr:rowOff>
    </xdr:from>
    <xdr:to>
      <xdr:col>8</xdr:col>
      <xdr:colOff>336175</xdr:colOff>
      <xdr:row>70</xdr:row>
      <xdr:rowOff>159806</xdr:rowOff>
    </xdr:to>
    <xdr:graphicFrame macro="">
      <xdr:nvGraphicFramePr>
        <xdr:cNvPr id="954" name="Gráfico 953">
          <a:extLst>
            <a:ext uri="{FF2B5EF4-FFF2-40B4-BE49-F238E27FC236}">
              <a16:creationId xmlns:a16="http://schemas.microsoft.com/office/drawing/2014/main" id="{B9EABAF1-FDA5-4EA8-A5C7-C9273BB70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571500</xdr:colOff>
      <xdr:row>42</xdr:row>
      <xdr:rowOff>156882</xdr:rowOff>
    </xdr:from>
    <xdr:to>
      <xdr:col>10</xdr:col>
      <xdr:colOff>549089</xdr:colOff>
      <xdr:row>48</xdr:row>
      <xdr:rowOff>33618</xdr:rowOff>
    </xdr:to>
    <xdr:sp macro="[0]!Ajuste_Gráfico" textlink="">
      <xdr:nvSpPr>
        <xdr:cNvPr id="2684" name="Triângulo isósceles 2683" descr="Atualizar&#10;Gráfico">
          <a:extLst>
            <a:ext uri="{FF2B5EF4-FFF2-40B4-BE49-F238E27FC236}">
              <a16:creationId xmlns:a16="http://schemas.microsoft.com/office/drawing/2014/main" id="{CAE08C56-CDE8-4A19-9BAC-90BD828F686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740588" y="8001000"/>
          <a:ext cx="1490383" cy="952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Atualizar</a:t>
          </a:r>
        </a:p>
        <a:p>
          <a:pPr algn="ctr"/>
          <a:r>
            <a:rPr lang="pt-BR" sz="1200"/>
            <a:t>Gráfico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4</xdr:row>
      <xdr:rowOff>0</xdr:rowOff>
    </xdr:from>
    <xdr:to>
      <xdr:col>9</xdr:col>
      <xdr:colOff>73239</xdr:colOff>
      <xdr:row>6</xdr:row>
      <xdr:rowOff>54228</xdr:rowOff>
    </xdr:to>
    <xdr:sp macro="[0]!subGeraDados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249C0BC7-5C2B-451C-8C51-69F28B242698}"/>
            </a:ext>
          </a:extLst>
        </xdr:cNvPr>
        <xdr:cNvSpPr/>
      </xdr:nvSpPr>
      <xdr:spPr>
        <a:xfrm>
          <a:off x="5895975" y="742950"/>
          <a:ext cx="844764" cy="41617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GERAR</a:t>
          </a:r>
        </a:p>
      </xdr:txBody>
    </xdr:sp>
    <xdr:clientData/>
  </xdr:twoCellAnchor>
  <xdr:twoCellAnchor>
    <xdr:from>
      <xdr:col>8</xdr:col>
      <xdr:colOff>91168</xdr:colOff>
      <xdr:row>6</xdr:row>
      <xdr:rowOff>152401</xdr:rowOff>
    </xdr:from>
    <xdr:to>
      <xdr:col>9</xdr:col>
      <xdr:colOff>67031</xdr:colOff>
      <xdr:row>10</xdr:row>
      <xdr:rowOff>157823</xdr:rowOff>
    </xdr:to>
    <xdr:sp macro="[0]!Plan11.subIrParaPlan11" textlink="">
      <xdr:nvSpPr>
        <xdr:cNvPr id="5" name="Elipse 4">
          <a:extLst>
            <a:ext uri="{FF2B5EF4-FFF2-40B4-BE49-F238E27FC236}">
              <a16:creationId xmlns:a16="http://schemas.microsoft.com/office/drawing/2014/main" id="{A78AE8E8-6FB8-46FC-9828-F633137A18E5}"/>
            </a:ext>
          </a:extLst>
        </xdr:cNvPr>
        <xdr:cNvSpPr/>
      </xdr:nvSpPr>
      <xdr:spPr>
        <a:xfrm>
          <a:off x="5929993" y="1257301"/>
          <a:ext cx="804538" cy="557872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MAIN</a:t>
          </a:r>
        </a:p>
      </xdr:txBody>
    </xdr:sp>
    <xdr:clientData/>
  </xdr:twoCellAnchor>
  <xdr:twoCellAnchor>
    <xdr:from>
      <xdr:col>7</xdr:col>
      <xdr:colOff>666750</xdr:colOff>
      <xdr:row>11</xdr:row>
      <xdr:rowOff>109903</xdr:rowOff>
    </xdr:from>
    <xdr:to>
      <xdr:col>9</xdr:col>
      <xdr:colOff>183697</xdr:colOff>
      <xdr:row>13</xdr:row>
      <xdr:rowOff>90668</xdr:rowOff>
    </xdr:to>
    <xdr:sp macro="[0]!Inicializar" textlink="">
      <xdr:nvSpPr>
        <xdr:cNvPr id="6" name="Fluxograma: Processo Alternativo 5">
          <a:extLst>
            <a:ext uri="{FF2B5EF4-FFF2-40B4-BE49-F238E27FC236}">
              <a16:creationId xmlns:a16="http://schemas.microsoft.com/office/drawing/2014/main" id="{B5E74E4F-2F3A-4843-A0CC-3110A71AE844}"/>
            </a:ext>
          </a:extLst>
        </xdr:cNvPr>
        <xdr:cNvSpPr/>
      </xdr:nvSpPr>
      <xdr:spPr>
        <a:xfrm>
          <a:off x="5819775" y="1948228"/>
          <a:ext cx="1031422" cy="34271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PROCESSAR</a:t>
          </a:r>
        </a:p>
      </xdr:txBody>
    </xdr:sp>
    <xdr:clientData/>
  </xdr:twoCellAnchor>
  <xdr:twoCellAnchor>
    <xdr:from>
      <xdr:col>7</xdr:col>
      <xdr:colOff>673553</xdr:colOff>
      <xdr:row>14</xdr:row>
      <xdr:rowOff>98699</xdr:rowOff>
    </xdr:from>
    <xdr:to>
      <xdr:col>9</xdr:col>
      <xdr:colOff>190500</xdr:colOff>
      <xdr:row>16</xdr:row>
      <xdr:rowOff>76201</xdr:rowOff>
    </xdr:to>
    <xdr:sp macro="[0]!DesenharXY" textlink="">
      <xdr:nvSpPr>
        <xdr:cNvPr id="7" name="Fluxograma: Processo Alternativo 6">
          <a:extLst>
            <a:ext uri="{FF2B5EF4-FFF2-40B4-BE49-F238E27FC236}">
              <a16:creationId xmlns:a16="http://schemas.microsoft.com/office/drawing/2014/main" id="{D0C8F040-6DEB-4405-AD5C-BD1E9F5FA861}"/>
            </a:ext>
          </a:extLst>
        </xdr:cNvPr>
        <xdr:cNvSpPr/>
      </xdr:nvSpPr>
      <xdr:spPr>
        <a:xfrm>
          <a:off x="5826578" y="2479949"/>
          <a:ext cx="1031422" cy="339452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DESENHAR</a:t>
          </a:r>
        </a:p>
      </xdr:txBody>
    </xdr:sp>
    <xdr:clientData/>
  </xdr:twoCellAnchor>
  <xdr:twoCellAnchor>
    <xdr:from>
      <xdr:col>10</xdr:col>
      <xdr:colOff>628650</xdr:colOff>
      <xdr:row>1</xdr:row>
      <xdr:rowOff>114299</xdr:rowOff>
    </xdr:from>
    <xdr:to>
      <xdr:col>13</xdr:col>
      <xdr:colOff>371250</xdr:colOff>
      <xdr:row>3</xdr:row>
      <xdr:rowOff>93299</xdr:rowOff>
    </xdr:to>
    <xdr:grpSp>
      <xdr:nvGrpSpPr>
        <xdr:cNvPr id="112" name="Agrupar 111">
          <a:extLst>
            <a:ext uri="{FF2B5EF4-FFF2-40B4-BE49-F238E27FC236}">
              <a16:creationId xmlns:a16="http://schemas.microsoft.com/office/drawing/2014/main" id="{ABEEA49D-9829-498F-AC77-5C4FC40B9C74}"/>
            </a:ext>
          </a:extLst>
        </xdr:cNvPr>
        <xdr:cNvGrpSpPr/>
      </xdr:nvGrpSpPr>
      <xdr:grpSpPr>
        <a:xfrm>
          <a:off x="10303329" y="291192"/>
          <a:ext cx="1783671" cy="360000"/>
          <a:chOff x="7936176" y="1782763"/>
          <a:chExt cx="8293101" cy="2095696"/>
        </a:xfrm>
      </xdr:grpSpPr>
      <xdr:sp macro="" textlink="">
        <xdr:nvSpPr>
          <xdr:cNvPr id="71" name="Elipse 70">
            <a:extLst>
              <a:ext uri="{FF2B5EF4-FFF2-40B4-BE49-F238E27FC236}">
                <a16:creationId xmlns:a16="http://schemas.microsoft.com/office/drawing/2014/main" id="{FD37A672-941F-412D-818F-F4651FB723DC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Elipse 71">
            <a:extLst>
              <a:ext uri="{FF2B5EF4-FFF2-40B4-BE49-F238E27FC236}">
                <a16:creationId xmlns:a16="http://schemas.microsoft.com/office/drawing/2014/main" id="{FA9D7B7F-2EE3-4509-B5F4-D3E05B207DA8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3" name="Elipse 72">
            <a:extLst>
              <a:ext uri="{FF2B5EF4-FFF2-40B4-BE49-F238E27FC236}">
                <a16:creationId xmlns:a16="http://schemas.microsoft.com/office/drawing/2014/main" id="{07596B6A-F297-4320-B379-392717700DF3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Elipse 73">
            <a:extLst>
              <a:ext uri="{FF2B5EF4-FFF2-40B4-BE49-F238E27FC236}">
                <a16:creationId xmlns:a16="http://schemas.microsoft.com/office/drawing/2014/main" id="{0C119A1C-E8AE-49DD-8105-015079B5A642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Elipse 74">
            <a:extLst>
              <a:ext uri="{FF2B5EF4-FFF2-40B4-BE49-F238E27FC236}">
                <a16:creationId xmlns:a16="http://schemas.microsoft.com/office/drawing/2014/main" id="{FBD858F3-E38E-4D9E-8B55-1BC7AF42B84A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Elipse 75">
            <a:extLst>
              <a:ext uri="{FF2B5EF4-FFF2-40B4-BE49-F238E27FC236}">
                <a16:creationId xmlns:a16="http://schemas.microsoft.com/office/drawing/2014/main" id="{67D3A163-6819-414C-BB9C-CA481EA4CA08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7" name="Elipse 76">
            <a:extLst>
              <a:ext uri="{FF2B5EF4-FFF2-40B4-BE49-F238E27FC236}">
                <a16:creationId xmlns:a16="http://schemas.microsoft.com/office/drawing/2014/main" id="{854441AD-A174-451D-8CA5-5176CC262192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Elipse 77">
            <a:extLst>
              <a:ext uri="{FF2B5EF4-FFF2-40B4-BE49-F238E27FC236}">
                <a16:creationId xmlns:a16="http://schemas.microsoft.com/office/drawing/2014/main" id="{DA400C46-AC0B-4DDA-BE74-B89D16442538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79" name="Conector reto 78">
            <a:extLst>
              <a:ext uri="{FF2B5EF4-FFF2-40B4-BE49-F238E27FC236}">
                <a16:creationId xmlns:a16="http://schemas.microsoft.com/office/drawing/2014/main" id="{21B0DB9B-F62C-44EE-B825-E90365148C03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ector reto 79">
            <a:extLst>
              <a:ext uri="{FF2B5EF4-FFF2-40B4-BE49-F238E27FC236}">
                <a16:creationId xmlns:a16="http://schemas.microsoft.com/office/drawing/2014/main" id="{FFDB5255-757B-4B3C-A147-54A9D7AA40C0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ector reto 80">
            <a:extLst>
              <a:ext uri="{FF2B5EF4-FFF2-40B4-BE49-F238E27FC236}">
                <a16:creationId xmlns:a16="http://schemas.microsoft.com/office/drawing/2014/main" id="{1E551ADC-E7F0-45C9-8835-45A4BDF3FFF2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ector reto 81">
            <a:extLst>
              <a:ext uri="{FF2B5EF4-FFF2-40B4-BE49-F238E27FC236}">
                <a16:creationId xmlns:a16="http://schemas.microsoft.com/office/drawing/2014/main" id="{27398EC5-2C97-451D-A01B-0B8A86D364B0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Conector reto 82">
            <a:extLst>
              <a:ext uri="{FF2B5EF4-FFF2-40B4-BE49-F238E27FC236}">
                <a16:creationId xmlns:a16="http://schemas.microsoft.com/office/drawing/2014/main" id="{410EA826-BE4D-4AC1-80C6-5DE44A941A65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ector reto 83">
            <a:extLst>
              <a:ext uri="{FF2B5EF4-FFF2-40B4-BE49-F238E27FC236}">
                <a16:creationId xmlns:a16="http://schemas.microsoft.com/office/drawing/2014/main" id="{DB096ABF-7C12-4F91-A164-48A77B93071B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ector reto 84">
            <a:extLst>
              <a:ext uri="{FF2B5EF4-FFF2-40B4-BE49-F238E27FC236}">
                <a16:creationId xmlns:a16="http://schemas.microsoft.com/office/drawing/2014/main" id="{65EAE8B1-D4B5-4591-8FB1-3A8D2137860F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ector reto 85">
            <a:extLst>
              <a:ext uri="{FF2B5EF4-FFF2-40B4-BE49-F238E27FC236}">
                <a16:creationId xmlns:a16="http://schemas.microsoft.com/office/drawing/2014/main" id="{7027F8F6-5AF8-4B12-8C8C-BF548ACCFCB4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ector reto 86">
            <a:extLst>
              <a:ext uri="{FF2B5EF4-FFF2-40B4-BE49-F238E27FC236}">
                <a16:creationId xmlns:a16="http://schemas.microsoft.com/office/drawing/2014/main" id="{084D6AF2-5E76-4200-A00E-6F202472DE10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ector reto 87">
            <a:extLst>
              <a:ext uri="{FF2B5EF4-FFF2-40B4-BE49-F238E27FC236}">
                <a16:creationId xmlns:a16="http://schemas.microsoft.com/office/drawing/2014/main" id="{737812A9-9405-40FF-B9A7-051EC5AD458C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Conector reto 88">
            <a:extLst>
              <a:ext uri="{FF2B5EF4-FFF2-40B4-BE49-F238E27FC236}">
                <a16:creationId xmlns:a16="http://schemas.microsoft.com/office/drawing/2014/main" id="{89D82996-D282-487A-839C-07CE06067713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ector reto 89">
            <a:extLst>
              <a:ext uri="{FF2B5EF4-FFF2-40B4-BE49-F238E27FC236}">
                <a16:creationId xmlns:a16="http://schemas.microsoft.com/office/drawing/2014/main" id="{9D219D04-F51F-4404-8301-1B32790050E5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ector reto 90">
            <a:extLst>
              <a:ext uri="{FF2B5EF4-FFF2-40B4-BE49-F238E27FC236}">
                <a16:creationId xmlns:a16="http://schemas.microsoft.com/office/drawing/2014/main" id="{F0DE2199-B047-4FE0-8F85-3448E6C15B47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211D1C0E-8935-40C8-BB49-905EB491D652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0BC61522-4AF3-4A01-B243-052278D541AD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ADB93A05-CCB8-4981-89E4-5BE6F145B42A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2ECDF215-2CE6-48FA-8956-5ED3E33DCD29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41E27A73-D773-48FD-9E14-D5B73E7E16B5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D6C353B7-F45A-475D-9572-46CB435B5403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8" name="Elipse 97">
            <a:extLst>
              <a:ext uri="{FF2B5EF4-FFF2-40B4-BE49-F238E27FC236}">
                <a16:creationId xmlns:a16="http://schemas.microsoft.com/office/drawing/2014/main" id="{7112EA17-EB40-4563-81F9-C170B0AEBDE5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9" name="Elipse 98">
            <a:extLst>
              <a:ext uri="{FF2B5EF4-FFF2-40B4-BE49-F238E27FC236}">
                <a16:creationId xmlns:a16="http://schemas.microsoft.com/office/drawing/2014/main" id="{F43796CE-CEE2-4BF4-88B5-42E4E356FE40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0" name="Elipse 99">
            <a:extLst>
              <a:ext uri="{FF2B5EF4-FFF2-40B4-BE49-F238E27FC236}">
                <a16:creationId xmlns:a16="http://schemas.microsoft.com/office/drawing/2014/main" id="{CA3EB92F-2A50-466B-8477-984D98D8F503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1" name="Elipse 100">
            <a:extLst>
              <a:ext uri="{FF2B5EF4-FFF2-40B4-BE49-F238E27FC236}">
                <a16:creationId xmlns:a16="http://schemas.microsoft.com/office/drawing/2014/main" id="{EE4A3119-B161-4FC9-AFDB-1C5F5CE1E2EF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2" name="Elipse 101">
            <a:extLst>
              <a:ext uri="{FF2B5EF4-FFF2-40B4-BE49-F238E27FC236}">
                <a16:creationId xmlns:a16="http://schemas.microsoft.com/office/drawing/2014/main" id="{2960FD0C-0078-4567-B4A3-F318EF462C8E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3" name="Elipse 102">
            <a:extLst>
              <a:ext uri="{FF2B5EF4-FFF2-40B4-BE49-F238E27FC236}">
                <a16:creationId xmlns:a16="http://schemas.microsoft.com/office/drawing/2014/main" id="{7FAFBA49-BCB8-44CB-9A60-391501A8F0C6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4" name="Elipse 103">
            <a:extLst>
              <a:ext uri="{FF2B5EF4-FFF2-40B4-BE49-F238E27FC236}">
                <a16:creationId xmlns:a16="http://schemas.microsoft.com/office/drawing/2014/main" id="{8775F729-4F6E-4ECF-AB2E-DFDB94903661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Elipse 104">
            <a:extLst>
              <a:ext uri="{FF2B5EF4-FFF2-40B4-BE49-F238E27FC236}">
                <a16:creationId xmlns:a16="http://schemas.microsoft.com/office/drawing/2014/main" id="{83A3ADBB-BE8B-4052-8178-6A055A3A9977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6" name="Elipse 105">
            <a:extLst>
              <a:ext uri="{FF2B5EF4-FFF2-40B4-BE49-F238E27FC236}">
                <a16:creationId xmlns:a16="http://schemas.microsoft.com/office/drawing/2014/main" id="{03D9CBEB-BE13-4444-8086-E5EFC19A4D75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7" name="Elipse 106">
            <a:extLst>
              <a:ext uri="{FF2B5EF4-FFF2-40B4-BE49-F238E27FC236}">
                <a16:creationId xmlns:a16="http://schemas.microsoft.com/office/drawing/2014/main" id="{94FF86A3-CD6E-4136-A864-C13114849F81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Elipse 107">
            <a:extLst>
              <a:ext uri="{FF2B5EF4-FFF2-40B4-BE49-F238E27FC236}">
                <a16:creationId xmlns:a16="http://schemas.microsoft.com/office/drawing/2014/main" id="{DF6DD880-00DC-4FC9-80EC-6CACD260F5B8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9" name="Elipse 108">
            <a:extLst>
              <a:ext uri="{FF2B5EF4-FFF2-40B4-BE49-F238E27FC236}">
                <a16:creationId xmlns:a16="http://schemas.microsoft.com/office/drawing/2014/main" id="{D574C27A-62A4-4AE1-94CA-759149DC6E58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0" name="Elipse 109">
            <a:extLst>
              <a:ext uri="{FF2B5EF4-FFF2-40B4-BE49-F238E27FC236}">
                <a16:creationId xmlns:a16="http://schemas.microsoft.com/office/drawing/2014/main" id="{13D0D865-57CE-4D88-B9B9-3437179E3159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Elipse 110">
            <a:extLst>
              <a:ext uri="{FF2B5EF4-FFF2-40B4-BE49-F238E27FC236}">
                <a16:creationId xmlns:a16="http://schemas.microsoft.com/office/drawing/2014/main" id="{B122AF75-3B5B-4E75-A55F-61CCF57B5BE5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638175</xdr:colOff>
      <xdr:row>4</xdr:row>
      <xdr:rowOff>114300</xdr:rowOff>
    </xdr:from>
    <xdr:to>
      <xdr:col>13</xdr:col>
      <xdr:colOff>380775</xdr:colOff>
      <xdr:row>6</xdr:row>
      <xdr:rowOff>112350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063F9562-14C4-4624-A408-15AEA6F2152A}"/>
            </a:ext>
          </a:extLst>
        </xdr:cNvPr>
        <xdr:cNvGrpSpPr/>
      </xdr:nvGrpSpPr>
      <xdr:grpSpPr>
        <a:xfrm>
          <a:off x="10312854" y="849086"/>
          <a:ext cx="1783671" cy="351835"/>
          <a:chOff x="7936176" y="1782763"/>
          <a:chExt cx="8293101" cy="2095696"/>
        </a:xfrm>
      </xdr:grpSpPr>
      <xdr:sp macro="" textlink="">
        <xdr:nvSpPr>
          <xdr:cNvPr id="113" name="Elipse 112">
            <a:extLst>
              <a:ext uri="{FF2B5EF4-FFF2-40B4-BE49-F238E27FC236}">
                <a16:creationId xmlns:a16="http://schemas.microsoft.com/office/drawing/2014/main" id="{916CE204-3F57-44A7-B62B-AD99EBC20C8E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Elipse 113">
            <a:extLst>
              <a:ext uri="{FF2B5EF4-FFF2-40B4-BE49-F238E27FC236}">
                <a16:creationId xmlns:a16="http://schemas.microsoft.com/office/drawing/2014/main" id="{5E33115C-7EC5-42E8-8066-3FBA5FE9D4CE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5" name="Elipse 114">
            <a:extLst>
              <a:ext uri="{FF2B5EF4-FFF2-40B4-BE49-F238E27FC236}">
                <a16:creationId xmlns:a16="http://schemas.microsoft.com/office/drawing/2014/main" id="{4BEF1639-6DDF-495C-855C-489A34C759BE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Elipse 115">
            <a:extLst>
              <a:ext uri="{FF2B5EF4-FFF2-40B4-BE49-F238E27FC236}">
                <a16:creationId xmlns:a16="http://schemas.microsoft.com/office/drawing/2014/main" id="{2EE5F226-750C-40EB-8F8A-3B80427D118C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Elipse 116">
            <a:extLst>
              <a:ext uri="{FF2B5EF4-FFF2-40B4-BE49-F238E27FC236}">
                <a16:creationId xmlns:a16="http://schemas.microsoft.com/office/drawing/2014/main" id="{AD5D5969-1819-45BE-A306-E5E2ED69522F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Elipse 117">
            <a:extLst>
              <a:ext uri="{FF2B5EF4-FFF2-40B4-BE49-F238E27FC236}">
                <a16:creationId xmlns:a16="http://schemas.microsoft.com/office/drawing/2014/main" id="{BF9EB575-5659-4810-B0CF-D4CB96AF5728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9" name="Elipse 118">
            <a:extLst>
              <a:ext uri="{FF2B5EF4-FFF2-40B4-BE49-F238E27FC236}">
                <a16:creationId xmlns:a16="http://schemas.microsoft.com/office/drawing/2014/main" id="{E6DD9633-367E-467A-B3E7-819ED1978E46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Elipse 119">
            <a:extLst>
              <a:ext uri="{FF2B5EF4-FFF2-40B4-BE49-F238E27FC236}">
                <a16:creationId xmlns:a16="http://schemas.microsoft.com/office/drawing/2014/main" id="{1341BEB8-D8EC-4EC0-9C29-E8EAD2036243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1" name="Conector reto 120">
            <a:extLst>
              <a:ext uri="{FF2B5EF4-FFF2-40B4-BE49-F238E27FC236}">
                <a16:creationId xmlns:a16="http://schemas.microsoft.com/office/drawing/2014/main" id="{7A22A2EF-B625-4745-B3DC-6526C98A0FA0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Conector reto 121">
            <a:extLst>
              <a:ext uri="{FF2B5EF4-FFF2-40B4-BE49-F238E27FC236}">
                <a16:creationId xmlns:a16="http://schemas.microsoft.com/office/drawing/2014/main" id="{1D19530F-97DB-4CA4-9835-683056FC832F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Conector reto 122">
            <a:extLst>
              <a:ext uri="{FF2B5EF4-FFF2-40B4-BE49-F238E27FC236}">
                <a16:creationId xmlns:a16="http://schemas.microsoft.com/office/drawing/2014/main" id="{9B0F2268-CC72-42C3-9AE7-F89ADAA043B2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Conector reto 123">
            <a:extLst>
              <a:ext uri="{FF2B5EF4-FFF2-40B4-BE49-F238E27FC236}">
                <a16:creationId xmlns:a16="http://schemas.microsoft.com/office/drawing/2014/main" id="{AB47C964-762B-4CBC-B931-85CEE0B8DE75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ector reto 124">
            <a:extLst>
              <a:ext uri="{FF2B5EF4-FFF2-40B4-BE49-F238E27FC236}">
                <a16:creationId xmlns:a16="http://schemas.microsoft.com/office/drawing/2014/main" id="{A75671F6-A3DA-4CB9-BFC9-244BB9628CAF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ector reto 125">
            <a:extLst>
              <a:ext uri="{FF2B5EF4-FFF2-40B4-BE49-F238E27FC236}">
                <a16:creationId xmlns:a16="http://schemas.microsoft.com/office/drawing/2014/main" id="{84C1C487-2742-4D32-94E9-16029FBFDAA9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ector reto 126">
            <a:extLst>
              <a:ext uri="{FF2B5EF4-FFF2-40B4-BE49-F238E27FC236}">
                <a16:creationId xmlns:a16="http://schemas.microsoft.com/office/drawing/2014/main" id="{A8C5CF00-5868-4F7A-8AB7-DA0CD0BBE24E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ector reto 127">
            <a:extLst>
              <a:ext uri="{FF2B5EF4-FFF2-40B4-BE49-F238E27FC236}">
                <a16:creationId xmlns:a16="http://schemas.microsoft.com/office/drawing/2014/main" id="{712EEA25-14CE-4E10-A117-1561BD05F739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ector reto 128">
            <a:extLst>
              <a:ext uri="{FF2B5EF4-FFF2-40B4-BE49-F238E27FC236}">
                <a16:creationId xmlns:a16="http://schemas.microsoft.com/office/drawing/2014/main" id="{C258A16B-B743-49F9-92DA-3ED2CFFAC1D8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ector reto 129">
            <a:extLst>
              <a:ext uri="{FF2B5EF4-FFF2-40B4-BE49-F238E27FC236}">
                <a16:creationId xmlns:a16="http://schemas.microsoft.com/office/drawing/2014/main" id="{4D9EE04E-6783-4EB7-A5B8-FC78082B6A3E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ector reto 130">
            <a:extLst>
              <a:ext uri="{FF2B5EF4-FFF2-40B4-BE49-F238E27FC236}">
                <a16:creationId xmlns:a16="http://schemas.microsoft.com/office/drawing/2014/main" id="{8705865E-A5C6-4BE4-8D3F-142E31DD7719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ector reto 131">
            <a:extLst>
              <a:ext uri="{FF2B5EF4-FFF2-40B4-BE49-F238E27FC236}">
                <a16:creationId xmlns:a16="http://schemas.microsoft.com/office/drawing/2014/main" id="{8244E763-66EE-4EB1-B341-8277E6389A52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ector reto 132">
            <a:extLst>
              <a:ext uri="{FF2B5EF4-FFF2-40B4-BE49-F238E27FC236}">
                <a16:creationId xmlns:a16="http://schemas.microsoft.com/office/drawing/2014/main" id="{1DFAFBEB-E260-41D0-BDBA-46F8F1E63652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C7195445-B5CA-4DCC-B50F-1CD481401FC7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52BA2946-31D1-4697-897E-836CCAD80468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65668D04-A6AF-46B4-80FF-684ED106D72F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CB71AA0B-554C-4DF4-B0D8-08E038C13324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3D06DF37-33F0-47CB-B04F-EFDC686B0249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B40CB03-FEB9-46EB-ABCE-FD62CB76AC1C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0" name="Elipse 139">
            <a:extLst>
              <a:ext uri="{FF2B5EF4-FFF2-40B4-BE49-F238E27FC236}">
                <a16:creationId xmlns:a16="http://schemas.microsoft.com/office/drawing/2014/main" id="{0F3D0305-F657-452E-86F6-E06175821BE2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" name="Elipse 140">
            <a:extLst>
              <a:ext uri="{FF2B5EF4-FFF2-40B4-BE49-F238E27FC236}">
                <a16:creationId xmlns:a16="http://schemas.microsoft.com/office/drawing/2014/main" id="{42D08F08-37BE-4B60-893F-56EE987F1CE0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" name="Elipse 141">
            <a:extLst>
              <a:ext uri="{FF2B5EF4-FFF2-40B4-BE49-F238E27FC236}">
                <a16:creationId xmlns:a16="http://schemas.microsoft.com/office/drawing/2014/main" id="{B054AC0A-5CAA-4490-A304-148F17F93273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3" name="Elipse 142">
            <a:extLst>
              <a:ext uri="{FF2B5EF4-FFF2-40B4-BE49-F238E27FC236}">
                <a16:creationId xmlns:a16="http://schemas.microsoft.com/office/drawing/2014/main" id="{850FBB53-B1A2-4E87-A9FD-0F489D6D7693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4" name="Elipse 143">
            <a:extLst>
              <a:ext uri="{FF2B5EF4-FFF2-40B4-BE49-F238E27FC236}">
                <a16:creationId xmlns:a16="http://schemas.microsoft.com/office/drawing/2014/main" id="{67221A41-973D-48B1-A04C-D8C8296A8424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" name="Elipse 144">
            <a:extLst>
              <a:ext uri="{FF2B5EF4-FFF2-40B4-BE49-F238E27FC236}">
                <a16:creationId xmlns:a16="http://schemas.microsoft.com/office/drawing/2014/main" id="{0241852A-F5DC-4BE3-BAA3-105727486900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" name="Elipse 145">
            <a:extLst>
              <a:ext uri="{FF2B5EF4-FFF2-40B4-BE49-F238E27FC236}">
                <a16:creationId xmlns:a16="http://schemas.microsoft.com/office/drawing/2014/main" id="{2F31109E-B8B6-4A72-8EB2-07ED4B89A829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" name="Elipse 146">
            <a:extLst>
              <a:ext uri="{FF2B5EF4-FFF2-40B4-BE49-F238E27FC236}">
                <a16:creationId xmlns:a16="http://schemas.microsoft.com/office/drawing/2014/main" id="{96108625-061C-4CD7-9D18-CC7B5ADF0BA8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" name="Elipse 147">
            <a:extLst>
              <a:ext uri="{FF2B5EF4-FFF2-40B4-BE49-F238E27FC236}">
                <a16:creationId xmlns:a16="http://schemas.microsoft.com/office/drawing/2014/main" id="{BE2CAE99-983C-4FF7-90AC-FBF09F744735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" name="Elipse 148">
            <a:extLst>
              <a:ext uri="{FF2B5EF4-FFF2-40B4-BE49-F238E27FC236}">
                <a16:creationId xmlns:a16="http://schemas.microsoft.com/office/drawing/2014/main" id="{CF347FBC-3005-4452-9F50-3612032C1B31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0" name="Elipse 149">
            <a:extLst>
              <a:ext uri="{FF2B5EF4-FFF2-40B4-BE49-F238E27FC236}">
                <a16:creationId xmlns:a16="http://schemas.microsoft.com/office/drawing/2014/main" id="{BB1565EA-4F9E-411E-83A7-448B852E2ACE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1" name="Elipse 150">
            <a:extLst>
              <a:ext uri="{FF2B5EF4-FFF2-40B4-BE49-F238E27FC236}">
                <a16:creationId xmlns:a16="http://schemas.microsoft.com/office/drawing/2014/main" id="{75E07D85-3883-40CC-8D0E-0BF9CE8E562C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" name="Elipse 151">
            <a:extLst>
              <a:ext uri="{FF2B5EF4-FFF2-40B4-BE49-F238E27FC236}">
                <a16:creationId xmlns:a16="http://schemas.microsoft.com/office/drawing/2014/main" id="{5AE385D6-B93B-4D51-B596-04D0879A2473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" name="Elipse 152">
            <a:extLst>
              <a:ext uri="{FF2B5EF4-FFF2-40B4-BE49-F238E27FC236}">
                <a16:creationId xmlns:a16="http://schemas.microsoft.com/office/drawing/2014/main" id="{67AA934E-18FA-44A1-82A2-DC8C9F179566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8</xdr:row>
      <xdr:rowOff>58179</xdr:rowOff>
    </xdr:from>
    <xdr:to>
      <xdr:col>13</xdr:col>
      <xdr:colOff>389350</xdr:colOff>
      <xdr:row>10</xdr:row>
      <xdr:rowOff>59591</xdr:rowOff>
    </xdr:to>
    <xdr:grpSp>
      <xdr:nvGrpSpPr>
        <xdr:cNvPr id="196" name="Agrupar 195">
          <a:extLst>
            <a:ext uri="{FF2B5EF4-FFF2-40B4-BE49-F238E27FC236}">
              <a16:creationId xmlns:a16="http://schemas.microsoft.com/office/drawing/2014/main" id="{5ABDD414-8CCD-4CD0-957F-CBA13F008B4C}"/>
            </a:ext>
          </a:extLst>
        </xdr:cNvPr>
        <xdr:cNvGrpSpPr/>
      </xdr:nvGrpSpPr>
      <xdr:grpSpPr>
        <a:xfrm>
          <a:off x="10314705" y="1500536"/>
          <a:ext cx="1790395" cy="355198"/>
          <a:chOff x="7936176" y="1782763"/>
          <a:chExt cx="8293101" cy="2095696"/>
        </a:xfrm>
      </xdr:grpSpPr>
      <xdr:sp macro="" textlink="">
        <xdr:nvSpPr>
          <xdr:cNvPr id="155" name="Elipse 154">
            <a:extLst>
              <a:ext uri="{FF2B5EF4-FFF2-40B4-BE49-F238E27FC236}">
                <a16:creationId xmlns:a16="http://schemas.microsoft.com/office/drawing/2014/main" id="{1E3EF072-65A5-4ADB-A24F-30712B7B0564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6" name="Elipse 155">
            <a:extLst>
              <a:ext uri="{FF2B5EF4-FFF2-40B4-BE49-F238E27FC236}">
                <a16:creationId xmlns:a16="http://schemas.microsoft.com/office/drawing/2014/main" id="{8BC1847E-9B88-4148-A439-44A8846658E0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7" name="Elipse 156">
            <a:extLst>
              <a:ext uri="{FF2B5EF4-FFF2-40B4-BE49-F238E27FC236}">
                <a16:creationId xmlns:a16="http://schemas.microsoft.com/office/drawing/2014/main" id="{55F4B46B-A148-4DAD-AA05-2728B967CA66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8" name="Elipse 157">
            <a:extLst>
              <a:ext uri="{FF2B5EF4-FFF2-40B4-BE49-F238E27FC236}">
                <a16:creationId xmlns:a16="http://schemas.microsoft.com/office/drawing/2014/main" id="{33ED98F6-2860-4AD5-81B7-B8618009A28F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9" name="Elipse 158">
            <a:extLst>
              <a:ext uri="{FF2B5EF4-FFF2-40B4-BE49-F238E27FC236}">
                <a16:creationId xmlns:a16="http://schemas.microsoft.com/office/drawing/2014/main" id="{54F75160-58B7-411B-9B72-80AACE67C9F3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0" name="Elipse 159">
            <a:extLst>
              <a:ext uri="{FF2B5EF4-FFF2-40B4-BE49-F238E27FC236}">
                <a16:creationId xmlns:a16="http://schemas.microsoft.com/office/drawing/2014/main" id="{A162E3E6-5517-4BFB-B6E8-3C9654CB9075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1" name="Elipse 160">
            <a:extLst>
              <a:ext uri="{FF2B5EF4-FFF2-40B4-BE49-F238E27FC236}">
                <a16:creationId xmlns:a16="http://schemas.microsoft.com/office/drawing/2014/main" id="{844B814C-48CB-4E48-9958-C8AA007F9189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" name="Elipse 161">
            <a:extLst>
              <a:ext uri="{FF2B5EF4-FFF2-40B4-BE49-F238E27FC236}">
                <a16:creationId xmlns:a16="http://schemas.microsoft.com/office/drawing/2014/main" id="{613A264F-1398-4803-AE0E-E78E59B14E9F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63" name="Conector reto 162">
            <a:extLst>
              <a:ext uri="{FF2B5EF4-FFF2-40B4-BE49-F238E27FC236}">
                <a16:creationId xmlns:a16="http://schemas.microsoft.com/office/drawing/2014/main" id="{C41C812C-9E01-42BA-9E88-8D2A41D9E45B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" name="Conector reto 163">
            <a:extLst>
              <a:ext uri="{FF2B5EF4-FFF2-40B4-BE49-F238E27FC236}">
                <a16:creationId xmlns:a16="http://schemas.microsoft.com/office/drawing/2014/main" id="{1445E76D-EF57-488E-A0B0-F2FA3D54B207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" name="Conector reto 164">
            <a:extLst>
              <a:ext uri="{FF2B5EF4-FFF2-40B4-BE49-F238E27FC236}">
                <a16:creationId xmlns:a16="http://schemas.microsoft.com/office/drawing/2014/main" id="{6559426A-80E2-4E83-8860-023244F2772C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" name="Conector reto 165">
            <a:extLst>
              <a:ext uri="{FF2B5EF4-FFF2-40B4-BE49-F238E27FC236}">
                <a16:creationId xmlns:a16="http://schemas.microsoft.com/office/drawing/2014/main" id="{8C419622-3D36-4783-9CBC-7A0C7BA6C820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" name="Conector reto 166">
            <a:extLst>
              <a:ext uri="{FF2B5EF4-FFF2-40B4-BE49-F238E27FC236}">
                <a16:creationId xmlns:a16="http://schemas.microsoft.com/office/drawing/2014/main" id="{13B4BBE7-FCEC-4E5D-A629-9B00D998D598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" name="Conector reto 167">
            <a:extLst>
              <a:ext uri="{FF2B5EF4-FFF2-40B4-BE49-F238E27FC236}">
                <a16:creationId xmlns:a16="http://schemas.microsoft.com/office/drawing/2014/main" id="{2AB178FC-FDA9-453A-A33B-8D3FD63B3C37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Conector reto 168">
            <a:extLst>
              <a:ext uri="{FF2B5EF4-FFF2-40B4-BE49-F238E27FC236}">
                <a16:creationId xmlns:a16="http://schemas.microsoft.com/office/drawing/2014/main" id="{7EEF675A-7C4D-47C0-B2B9-31F2FF2AA177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" name="Conector reto 169">
            <a:extLst>
              <a:ext uri="{FF2B5EF4-FFF2-40B4-BE49-F238E27FC236}">
                <a16:creationId xmlns:a16="http://schemas.microsoft.com/office/drawing/2014/main" id="{F17E3B33-BE41-47D0-AF58-45189DAEDF94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" name="Conector reto 170">
            <a:extLst>
              <a:ext uri="{FF2B5EF4-FFF2-40B4-BE49-F238E27FC236}">
                <a16:creationId xmlns:a16="http://schemas.microsoft.com/office/drawing/2014/main" id="{92AAACD6-C1F0-4E19-978D-BCECC28B247C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" name="Conector reto 171">
            <a:extLst>
              <a:ext uri="{FF2B5EF4-FFF2-40B4-BE49-F238E27FC236}">
                <a16:creationId xmlns:a16="http://schemas.microsoft.com/office/drawing/2014/main" id="{BB4E7A8E-F3A5-4255-B60E-50EA294C5606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" name="Conector reto 172">
            <a:extLst>
              <a:ext uri="{FF2B5EF4-FFF2-40B4-BE49-F238E27FC236}">
                <a16:creationId xmlns:a16="http://schemas.microsoft.com/office/drawing/2014/main" id="{AB0059F5-6A71-44DB-9E06-6678A257B393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4" name="Conector reto 173">
            <a:extLst>
              <a:ext uri="{FF2B5EF4-FFF2-40B4-BE49-F238E27FC236}">
                <a16:creationId xmlns:a16="http://schemas.microsoft.com/office/drawing/2014/main" id="{DEC8E04A-10A2-4838-BFD4-1A8A98F6DCF9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5" name="Conector reto 174">
            <a:extLst>
              <a:ext uri="{FF2B5EF4-FFF2-40B4-BE49-F238E27FC236}">
                <a16:creationId xmlns:a16="http://schemas.microsoft.com/office/drawing/2014/main" id="{6B900616-914F-4BA4-BAD7-C879779649BF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7D291504-15CC-4084-A37B-52C5A23712BF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601A4277-E765-4752-AC99-30CE4D34FD3B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B445611C-8E63-4C46-B6D4-DCB3C38FD22A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522CB680-F390-4059-A242-5D195D5D652D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1048909B-CFED-4B50-BBA6-CCFEA35D52D2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4616A5E4-9A83-45EE-AE1F-22AEFE7974FB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" name="Elipse 181">
            <a:extLst>
              <a:ext uri="{FF2B5EF4-FFF2-40B4-BE49-F238E27FC236}">
                <a16:creationId xmlns:a16="http://schemas.microsoft.com/office/drawing/2014/main" id="{164E8114-4F92-4A99-BCA8-36F664510070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" name="Elipse 182">
            <a:extLst>
              <a:ext uri="{FF2B5EF4-FFF2-40B4-BE49-F238E27FC236}">
                <a16:creationId xmlns:a16="http://schemas.microsoft.com/office/drawing/2014/main" id="{15298788-140F-4CB6-9BD0-831D5D55BDD5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" name="Elipse 183">
            <a:extLst>
              <a:ext uri="{FF2B5EF4-FFF2-40B4-BE49-F238E27FC236}">
                <a16:creationId xmlns:a16="http://schemas.microsoft.com/office/drawing/2014/main" id="{6BEF3371-870A-4B16-86E1-D4978F6DF899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" name="Elipse 184">
            <a:extLst>
              <a:ext uri="{FF2B5EF4-FFF2-40B4-BE49-F238E27FC236}">
                <a16:creationId xmlns:a16="http://schemas.microsoft.com/office/drawing/2014/main" id="{F6F27D5D-14B4-4AA7-BDD0-8B1850D1EF00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6" name="Elipse 185">
            <a:extLst>
              <a:ext uri="{FF2B5EF4-FFF2-40B4-BE49-F238E27FC236}">
                <a16:creationId xmlns:a16="http://schemas.microsoft.com/office/drawing/2014/main" id="{A3B23AF2-1642-4C6F-8D5B-8473D2E25B7B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7" name="Elipse 186">
            <a:extLst>
              <a:ext uri="{FF2B5EF4-FFF2-40B4-BE49-F238E27FC236}">
                <a16:creationId xmlns:a16="http://schemas.microsoft.com/office/drawing/2014/main" id="{7443A127-4C49-4092-9BE7-83834060AEB7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8" name="Elipse 187">
            <a:extLst>
              <a:ext uri="{FF2B5EF4-FFF2-40B4-BE49-F238E27FC236}">
                <a16:creationId xmlns:a16="http://schemas.microsoft.com/office/drawing/2014/main" id="{96A803DA-FC82-43B7-BD8E-88B57EAE1587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9" name="Elipse 188">
            <a:extLst>
              <a:ext uri="{FF2B5EF4-FFF2-40B4-BE49-F238E27FC236}">
                <a16:creationId xmlns:a16="http://schemas.microsoft.com/office/drawing/2014/main" id="{51B1366F-80E4-40FA-BF84-C62EFAED7E3E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0" name="Elipse 189">
            <a:extLst>
              <a:ext uri="{FF2B5EF4-FFF2-40B4-BE49-F238E27FC236}">
                <a16:creationId xmlns:a16="http://schemas.microsoft.com/office/drawing/2014/main" id="{30FD7B03-236C-4DF2-B582-6364C9218B03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1" name="Elipse 190">
            <a:extLst>
              <a:ext uri="{FF2B5EF4-FFF2-40B4-BE49-F238E27FC236}">
                <a16:creationId xmlns:a16="http://schemas.microsoft.com/office/drawing/2014/main" id="{2AC30A66-BF84-4DEE-B416-36F7A4F9AD8E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2" name="Elipse 191">
            <a:extLst>
              <a:ext uri="{FF2B5EF4-FFF2-40B4-BE49-F238E27FC236}">
                <a16:creationId xmlns:a16="http://schemas.microsoft.com/office/drawing/2014/main" id="{3A3A4EF6-260C-4399-BDD3-F987B8E701E5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3" name="Elipse 192">
            <a:extLst>
              <a:ext uri="{FF2B5EF4-FFF2-40B4-BE49-F238E27FC236}">
                <a16:creationId xmlns:a16="http://schemas.microsoft.com/office/drawing/2014/main" id="{1CD3A83F-86DA-46AF-A723-894CE806E2EB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4" name="Elipse 193">
            <a:extLst>
              <a:ext uri="{FF2B5EF4-FFF2-40B4-BE49-F238E27FC236}">
                <a16:creationId xmlns:a16="http://schemas.microsoft.com/office/drawing/2014/main" id="{B16776F5-B657-4DCF-B2E5-B48F6F5EF1B1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" name="Elipse 194">
            <a:extLst>
              <a:ext uri="{FF2B5EF4-FFF2-40B4-BE49-F238E27FC236}">
                <a16:creationId xmlns:a16="http://schemas.microsoft.com/office/drawing/2014/main" id="{55353C12-519C-4BB0-BC67-9E9742918DD3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630501</xdr:colOff>
      <xdr:row>11</xdr:row>
      <xdr:rowOff>106363</xdr:rowOff>
    </xdr:from>
    <xdr:to>
      <xdr:col>13</xdr:col>
      <xdr:colOff>373101</xdr:colOff>
      <xdr:row>13</xdr:row>
      <xdr:rowOff>104413</xdr:rowOff>
    </xdr:to>
    <xdr:grpSp>
      <xdr:nvGrpSpPr>
        <xdr:cNvPr id="238" name="Agrupar 237">
          <a:extLst>
            <a:ext uri="{FF2B5EF4-FFF2-40B4-BE49-F238E27FC236}">
              <a16:creationId xmlns:a16="http://schemas.microsoft.com/office/drawing/2014/main" id="{57CC53AF-5B82-4BC1-9C59-559D95762250}"/>
            </a:ext>
          </a:extLst>
        </xdr:cNvPr>
        <xdr:cNvGrpSpPr/>
      </xdr:nvGrpSpPr>
      <xdr:grpSpPr>
        <a:xfrm>
          <a:off x="10305180" y="2079399"/>
          <a:ext cx="1783671" cy="365443"/>
          <a:chOff x="7936176" y="1782763"/>
          <a:chExt cx="8293101" cy="2095696"/>
        </a:xfrm>
      </xdr:grpSpPr>
      <xdr:sp macro="" textlink="">
        <xdr:nvSpPr>
          <xdr:cNvPr id="197" name="Elipse 196">
            <a:extLst>
              <a:ext uri="{FF2B5EF4-FFF2-40B4-BE49-F238E27FC236}">
                <a16:creationId xmlns:a16="http://schemas.microsoft.com/office/drawing/2014/main" id="{A0F2DAEC-4200-4186-9877-90C38BDAFAAD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8" name="Elipse 197">
            <a:extLst>
              <a:ext uri="{FF2B5EF4-FFF2-40B4-BE49-F238E27FC236}">
                <a16:creationId xmlns:a16="http://schemas.microsoft.com/office/drawing/2014/main" id="{B14F02D7-B751-43BC-99E3-4F4D78806B1E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" name="Elipse 198">
            <a:extLst>
              <a:ext uri="{FF2B5EF4-FFF2-40B4-BE49-F238E27FC236}">
                <a16:creationId xmlns:a16="http://schemas.microsoft.com/office/drawing/2014/main" id="{898BD50E-9A6C-4C8D-85FB-E656F660C47B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" name="Elipse 199">
            <a:extLst>
              <a:ext uri="{FF2B5EF4-FFF2-40B4-BE49-F238E27FC236}">
                <a16:creationId xmlns:a16="http://schemas.microsoft.com/office/drawing/2014/main" id="{1264DE87-EB9F-4D58-86F6-6018584312EC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" name="Elipse 200">
            <a:extLst>
              <a:ext uri="{FF2B5EF4-FFF2-40B4-BE49-F238E27FC236}">
                <a16:creationId xmlns:a16="http://schemas.microsoft.com/office/drawing/2014/main" id="{13856432-8610-434E-8868-AF3C1BE77BFB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" name="Elipse 201">
            <a:extLst>
              <a:ext uri="{FF2B5EF4-FFF2-40B4-BE49-F238E27FC236}">
                <a16:creationId xmlns:a16="http://schemas.microsoft.com/office/drawing/2014/main" id="{F69AE27A-A54E-45BC-85C7-237925A6FAB8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" name="Elipse 202">
            <a:extLst>
              <a:ext uri="{FF2B5EF4-FFF2-40B4-BE49-F238E27FC236}">
                <a16:creationId xmlns:a16="http://schemas.microsoft.com/office/drawing/2014/main" id="{C847A61F-A056-4B22-A671-2B4F074DBA40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4" name="Elipse 203">
            <a:extLst>
              <a:ext uri="{FF2B5EF4-FFF2-40B4-BE49-F238E27FC236}">
                <a16:creationId xmlns:a16="http://schemas.microsoft.com/office/drawing/2014/main" id="{6C7E99C5-E111-490A-98BF-D4BB8BB00CEB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05" name="Conector reto 204">
            <a:extLst>
              <a:ext uri="{FF2B5EF4-FFF2-40B4-BE49-F238E27FC236}">
                <a16:creationId xmlns:a16="http://schemas.microsoft.com/office/drawing/2014/main" id="{E06A790B-E57A-482D-B6A1-BE06DED839F7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Conector reto 205">
            <a:extLst>
              <a:ext uri="{FF2B5EF4-FFF2-40B4-BE49-F238E27FC236}">
                <a16:creationId xmlns:a16="http://schemas.microsoft.com/office/drawing/2014/main" id="{BA6CF0F7-E8A2-4CDD-A8A5-483ADC302340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7" name="Conector reto 206">
            <a:extLst>
              <a:ext uri="{FF2B5EF4-FFF2-40B4-BE49-F238E27FC236}">
                <a16:creationId xmlns:a16="http://schemas.microsoft.com/office/drawing/2014/main" id="{91B37BAE-CF76-425D-9779-1B19D5B28ABB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Conector reto 207">
            <a:extLst>
              <a:ext uri="{FF2B5EF4-FFF2-40B4-BE49-F238E27FC236}">
                <a16:creationId xmlns:a16="http://schemas.microsoft.com/office/drawing/2014/main" id="{9CE31303-FEAE-4553-A83C-11F6B5BCD1BF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9" name="Conector reto 208">
            <a:extLst>
              <a:ext uri="{FF2B5EF4-FFF2-40B4-BE49-F238E27FC236}">
                <a16:creationId xmlns:a16="http://schemas.microsoft.com/office/drawing/2014/main" id="{E3293337-52CE-4F17-BC18-41AAF4EFBE90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" name="Conector reto 209">
            <a:extLst>
              <a:ext uri="{FF2B5EF4-FFF2-40B4-BE49-F238E27FC236}">
                <a16:creationId xmlns:a16="http://schemas.microsoft.com/office/drawing/2014/main" id="{7DDC75B2-BECC-4D46-A780-9556936077AD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Conector reto 210">
            <a:extLst>
              <a:ext uri="{FF2B5EF4-FFF2-40B4-BE49-F238E27FC236}">
                <a16:creationId xmlns:a16="http://schemas.microsoft.com/office/drawing/2014/main" id="{BBF5ED8B-1152-4B05-BB15-763CD9CA5634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Conector reto 211">
            <a:extLst>
              <a:ext uri="{FF2B5EF4-FFF2-40B4-BE49-F238E27FC236}">
                <a16:creationId xmlns:a16="http://schemas.microsoft.com/office/drawing/2014/main" id="{329AD57D-B43D-4EE8-92CE-BA155F95B915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Conector reto 212">
            <a:extLst>
              <a:ext uri="{FF2B5EF4-FFF2-40B4-BE49-F238E27FC236}">
                <a16:creationId xmlns:a16="http://schemas.microsoft.com/office/drawing/2014/main" id="{7E589BF5-64E4-4246-8B57-B0211352EB0D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4" name="Conector reto 213">
            <a:extLst>
              <a:ext uri="{FF2B5EF4-FFF2-40B4-BE49-F238E27FC236}">
                <a16:creationId xmlns:a16="http://schemas.microsoft.com/office/drawing/2014/main" id="{DECD9839-9E24-4201-AC1B-1C888E277E52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5" name="Conector reto 214">
            <a:extLst>
              <a:ext uri="{FF2B5EF4-FFF2-40B4-BE49-F238E27FC236}">
                <a16:creationId xmlns:a16="http://schemas.microsoft.com/office/drawing/2014/main" id="{F43588B4-20F1-48C2-A92A-918127953DFD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6" name="Conector reto 215">
            <a:extLst>
              <a:ext uri="{FF2B5EF4-FFF2-40B4-BE49-F238E27FC236}">
                <a16:creationId xmlns:a16="http://schemas.microsoft.com/office/drawing/2014/main" id="{7F72F829-E2BF-4F70-AB80-0703FECD8B44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Conector reto 216">
            <a:extLst>
              <a:ext uri="{FF2B5EF4-FFF2-40B4-BE49-F238E27FC236}">
                <a16:creationId xmlns:a16="http://schemas.microsoft.com/office/drawing/2014/main" id="{6B693FD6-BF5D-45FA-83FE-D1472F29E7AC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8CC54B0E-639C-4022-AE7E-644AEDC4CA5D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E4DA3BAB-D472-49E5-AB6B-29DF1781AAEA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74F5F725-BDFB-4342-933C-C095CF701035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4B3020B0-C06D-414F-94C1-548BF2149642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E3A44E3F-AD00-437E-9200-126842837F1E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467EE11D-FD75-4F67-98A9-9F59D58D1AFB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4" name="Elipse 223">
            <a:extLst>
              <a:ext uri="{FF2B5EF4-FFF2-40B4-BE49-F238E27FC236}">
                <a16:creationId xmlns:a16="http://schemas.microsoft.com/office/drawing/2014/main" id="{B2873B57-57C3-4784-870B-39795D32F850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5" name="Elipse 224">
            <a:extLst>
              <a:ext uri="{FF2B5EF4-FFF2-40B4-BE49-F238E27FC236}">
                <a16:creationId xmlns:a16="http://schemas.microsoft.com/office/drawing/2014/main" id="{9820D9EC-7DDF-42E0-860D-5C517AC0705B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6" name="Elipse 225">
            <a:extLst>
              <a:ext uri="{FF2B5EF4-FFF2-40B4-BE49-F238E27FC236}">
                <a16:creationId xmlns:a16="http://schemas.microsoft.com/office/drawing/2014/main" id="{E369F6B9-B135-4AD9-8F8B-8C7358027C99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7" name="Elipse 226">
            <a:extLst>
              <a:ext uri="{FF2B5EF4-FFF2-40B4-BE49-F238E27FC236}">
                <a16:creationId xmlns:a16="http://schemas.microsoft.com/office/drawing/2014/main" id="{9C72688B-B351-4FE1-ADDD-19283AA38B86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8" name="Elipse 227">
            <a:extLst>
              <a:ext uri="{FF2B5EF4-FFF2-40B4-BE49-F238E27FC236}">
                <a16:creationId xmlns:a16="http://schemas.microsoft.com/office/drawing/2014/main" id="{170A38E7-3952-4C8E-9C15-39DE2D38EF18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9" name="Elipse 228">
            <a:extLst>
              <a:ext uri="{FF2B5EF4-FFF2-40B4-BE49-F238E27FC236}">
                <a16:creationId xmlns:a16="http://schemas.microsoft.com/office/drawing/2014/main" id="{8B87AB66-62F9-4B3F-9FB1-108EA47426DC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0" name="Elipse 229">
            <a:extLst>
              <a:ext uri="{FF2B5EF4-FFF2-40B4-BE49-F238E27FC236}">
                <a16:creationId xmlns:a16="http://schemas.microsoft.com/office/drawing/2014/main" id="{1C68398C-AD3B-45B9-9497-EED175F308CD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" name="Elipse 230">
            <a:extLst>
              <a:ext uri="{FF2B5EF4-FFF2-40B4-BE49-F238E27FC236}">
                <a16:creationId xmlns:a16="http://schemas.microsoft.com/office/drawing/2014/main" id="{D3E00139-7FF9-4793-94F1-ECD6BD800F20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" name="Elipse 231">
            <a:extLst>
              <a:ext uri="{FF2B5EF4-FFF2-40B4-BE49-F238E27FC236}">
                <a16:creationId xmlns:a16="http://schemas.microsoft.com/office/drawing/2014/main" id="{EC556809-861F-43D7-9ECF-9854DF51994D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3" name="Elipse 232">
            <a:extLst>
              <a:ext uri="{FF2B5EF4-FFF2-40B4-BE49-F238E27FC236}">
                <a16:creationId xmlns:a16="http://schemas.microsoft.com/office/drawing/2014/main" id="{A58D88A7-8894-4006-A1A7-002A08C897B9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4" name="Elipse 233">
            <a:extLst>
              <a:ext uri="{FF2B5EF4-FFF2-40B4-BE49-F238E27FC236}">
                <a16:creationId xmlns:a16="http://schemas.microsoft.com/office/drawing/2014/main" id="{24CF5AE2-3DCF-411D-AFB5-ECF1B4AFC9AE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5" name="Elipse 234">
            <a:extLst>
              <a:ext uri="{FF2B5EF4-FFF2-40B4-BE49-F238E27FC236}">
                <a16:creationId xmlns:a16="http://schemas.microsoft.com/office/drawing/2014/main" id="{7C47C98F-18D7-4029-85EB-C4D65814845F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6" name="Elipse 235">
            <a:extLst>
              <a:ext uri="{FF2B5EF4-FFF2-40B4-BE49-F238E27FC236}">
                <a16:creationId xmlns:a16="http://schemas.microsoft.com/office/drawing/2014/main" id="{8D297D66-1C4C-4DAF-864E-74B666089E5B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7" name="Elipse 236">
            <a:extLst>
              <a:ext uri="{FF2B5EF4-FFF2-40B4-BE49-F238E27FC236}">
                <a16:creationId xmlns:a16="http://schemas.microsoft.com/office/drawing/2014/main" id="{62121228-72B4-432F-82FF-B6E9C5B636D5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14</xdr:row>
      <xdr:rowOff>153988</xdr:rowOff>
    </xdr:from>
    <xdr:to>
      <xdr:col>13</xdr:col>
      <xdr:colOff>382626</xdr:colOff>
      <xdr:row>16</xdr:row>
      <xdr:rowOff>152038</xdr:rowOff>
    </xdr:to>
    <xdr:grpSp>
      <xdr:nvGrpSpPr>
        <xdr:cNvPr id="289" name="Agrupar 288">
          <a:extLst>
            <a:ext uri="{FF2B5EF4-FFF2-40B4-BE49-F238E27FC236}">
              <a16:creationId xmlns:a16="http://schemas.microsoft.com/office/drawing/2014/main" id="{F0458C64-8E64-4617-86E9-76F1DB86F1CA}"/>
            </a:ext>
          </a:extLst>
        </xdr:cNvPr>
        <xdr:cNvGrpSpPr/>
      </xdr:nvGrpSpPr>
      <xdr:grpSpPr>
        <a:xfrm>
          <a:off x="10314705" y="2671309"/>
          <a:ext cx="1783671" cy="351836"/>
          <a:chOff x="7936176" y="1782763"/>
          <a:chExt cx="8293101" cy="2095696"/>
        </a:xfrm>
      </xdr:grpSpPr>
      <xdr:sp macro="" textlink="">
        <xdr:nvSpPr>
          <xdr:cNvPr id="239" name="Elipse 238">
            <a:extLst>
              <a:ext uri="{FF2B5EF4-FFF2-40B4-BE49-F238E27FC236}">
                <a16:creationId xmlns:a16="http://schemas.microsoft.com/office/drawing/2014/main" id="{F6F088C7-B100-44EF-9B05-476AD5B57C5D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0" name="Elipse 239">
            <a:extLst>
              <a:ext uri="{FF2B5EF4-FFF2-40B4-BE49-F238E27FC236}">
                <a16:creationId xmlns:a16="http://schemas.microsoft.com/office/drawing/2014/main" id="{AF61290B-AF61-440B-83FA-83055195F983}"/>
              </a:ext>
            </a:extLst>
          </xdr:cNvPr>
          <xdr:cNvSpPr/>
        </xdr:nvSpPr>
        <xdr:spPr>
          <a:xfrm>
            <a:off x="106870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1" name="Elipse 240">
            <a:extLst>
              <a:ext uri="{FF2B5EF4-FFF2-40B4-BE49-F238E27FC236}">
                <a16:creationId xmlns:a16="http://schemas.microsoft.com/office/drawing/2014/main" id="{45DD639B-2338-4F66-8F1F-8C83884BB5A6}"/>
              </a:ext>
            </a:extLst>
          </xdr:cNvPr>
          <xdr:cNvSpPr/>
        </xdr:nvSpPr>
        <xdr:spPr>
          <a:xfrm>
            <a:off x="133667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2" name="Elipse 241">
            <a:extLst>
              <a:ext uri="{FF2B5EF4-FFF2-40B4-BE49-F238E27FC236}">
                <a16:creationId xmlns:a16="http://schemas.microsoft.com/office/drawing/2014/main" id="{0955D887-3CAE-4F69-944A-0C71C3E9D704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3" name="Elipse 242">
            <a:extLst>
              <a:ext uri="{FF2B5EF4-FFF2-40B4-BE49-F238E27FC236}">
                <a16:creationId xmlns:a16="http://schemas.microsoft.com/office/drawing/2014/main" id="{9EECE80B-827F-4A3F-9C7E-3119744FE743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4" name="Elipse 243">
            <a:extLst>
              <a:ext uri="{FF2B5EF4-FFF2-40B4-BE49-F238E27FC236}">
                <a16:creationId xmlns:a16="http://schemas.microsoft.com/office/drawing/2014/main" id="{76F26443-3436-4A4C-8A4E-63463002A55D}"/>
              </a:ext>
            </a:extLst>
          </xdr:cNvPr>
          <xdr:cNvSpPr/>
        </xdr:nvSpPr>
        <xdr:spPr>
          <a:xfrm>
            <a:off x="106870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5" name="Elipse 244">
            <a:extLst>
              <a:ext uri="{FF2B5EF4-FFF2-40B4-BE49-F238E27FC236}">
                <a16:creationId xmlns:a16="http://schemas.microsoft.com/office/drawing/2014/main" id="{9BED9CE9-A09D-40AB-9D3A-0791D536376E}"/>
              </a:ext>
            </a:extLst>
          </xdr:cNvPr>
          <xdr:cNvSpPr/>
        </xdr:nvSpPr>
        <xdr:spPr>
          <a:xfrm>
            <a:off x="133667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6" name="Elipse 245">
            <a:extLst>
              <a:ext uri="{FF2B5EF4-FFF2-40B4-BE49-F238E27FC236}">
                <a16:creationId xmlns:a16="http://schemas.microsoft.com/office/drawing/2014/main" id="{2ABCDF70-B8F5-494E-BFCB-A2B3AAD9B2B4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47" name="Conector reto 246">
            <a:extLst>
              <a:ext uri="{FF2B5EF4-FFF2-40B4-BE49-F238E27FC236}">
                <a16:creationId xmlns:a16="http://schemas.microsoft.com/office/drawing/2014/main" id="{ECE8B5F1-90D0-4080-8515-B3085DF1F481}"/>
              </a:ext>
            </a:extLst>
          </xdr:cNvPr>
          <xdr:cNvCxnSpPr/>
        </xdr:nvCxnSpPr>
        <xdr:spPr>
          <a:xfrm>
            <a:off x="80391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8" name="Conector reto 247">
            <a:extLst>
              <a:ext uri="{FF2B5EF4-FFF2-40B4-BE49-F238E27FC236}">
                <a16:creationId xmlns:a16="http://schemas.microsoft.com/office/drawing/2014/main" id="{3DA3CBC0-9A40-4A90-95FD-271C6DD44BF2}"/>
              </a:ext>
            </a:extLst>
          </xdr:cNvPr>
          <xdr:cNvCxnSpPr/>
        </xdr:nvCxnSpPr>
        <xdr:spPr>
          <a:xfrm>
            <a:off x="107188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Conector reto 248">
            <a:extLst>
              <a:ext uri="{FF2B5EF4-FFF2-40B4-BE49-F238E27FC236}">
                <a16:creationId xmlns:a16="http://schemas.microsoft.com/office/drawing/2014/main" id="{C9C8ED6A-3364-440A-9974-DFCD83999AA3}"/>
              </a:ext>
            </a:extLst>
          </xdr:cNvPr>
          <xdr:cNvCxnSpPr/>
        </xdr:nvCxnSpPr>
        <xdr:spPr>
          <a:xfrm>
            <a:off x="13398500" y="3824288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" name="Conector reto 249">
            <a:extLst>
              <a:ext uri="{FF2B5EF4-FFF2-40B4-BE49-F238E27FC236}">
                <a16:creationId xmlns:a16="http://schemas.microsoft.com/office/drawing/2014/main" id="{41FB1466-1A31-4624-B228-EB79FD3AB0AD}"/>
              </a:ext>
            </a:extLst>
          </xdr:cNvPr>
          <xdr:cNvCxnSpPr/>
        </xdr:nvCxnSpPr>
        <xdr:spPr>
          <a:xfrm>
            <a:off x="80391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Conector reto 250">
            <a:extLst>
              <a:ext uri="{FF2B5EF4-FFF2-40B4-BE49-F238E27FC236}">
                <a16:creationId xmlns:a16="http://schemas.microsoft.com/office/drawing/2014/main" id="{DBBCC70C-50F8-4900-BB4E-A517FB31479F}"/>
              </a:ext>
            </a:extLst>
          </xdr:cNvPr>
          <xdr:cNvCxnSpPr/>
        </xdr:nvCxnSpPr>
        <xdr:spPr>
          <a:xfrm>
            <a:off x="107188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Conector reto 251">
            <a:extLst>
              <a:ext uri="{FF2B5EF4-FFF2-40B4-BE49-F238E27FC236}">
                <a16:creationId xmlns:a16="http://schemas.microsoft.com/office/drawing/2014/main" id="{A10EAD3E-F10F-4A51-8A25-77158EB2C7CF}"/>
              </a:ext>
            </a:extLst>
          </xdr:cNvPr>
          <xdr:cNvCxnSpPr/>
        </xdr:nvCxnSpPr>
        <xdr:spPr>
          <a:xfrm>
            <a:off x="13398500" y="1814513"/>
            <a:ext cx="267970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Conector reto 252">
            <a:extLst>
              <a:ext uri="{FF2B5EF4-FFF2-40B4-BE49-F238E27FC236}">
                <a16:creationId xmlns:a16="http://schemas.microsoft.com/office/drawing/2014/main" id="{CB9C3ACF-965F-4279-B453-D1953AD92527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4" name="Conector reto 253">
            <a:extLst>
              <a:ext uri="{FF2B5EF4-FFF2-40B4-BE49-F238E27FC236}">
                <a16:creationId xmlns:a16="http://schemas.microsoft.com/office/drawing/2014/main" id="{BA15EB1F-5DE6-404C-BF41-8E1A7EC92B26}"/>
              </a:ext>
            </a:extLst>
          </xdr:cNvPr>
          <xdr:cNvCxnSpPr/>
        </xdr:nvCxnSpPr>
        <xdr:spPr>
          <a:xfrm flipV="1">
            <a:off x="107188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5" name="Conector reto 254">
            <a:extLst>
              <a:ext uri="{FF2B5EF4-FFF2-40B4-BE49-F238E27FC236}">
                <a16:creationId xmlns:a16="http://schemas.microsoft.com/office/drawing/2014/main" id="{DFB393A5-430A-47D0-B8E2-C8540A6D5872}"/>
              </a:ext>
            </a:extLst>
          </xdr:cNvPr>
          <xdr:cNvCxnSpPr/>
        </xdr:nvCxnSpPr>
        <xdr:spPr>
          <a:xfrm flipV="1">
            <a:off x="133985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" name="Conector reto 255">
            <a:extLst>
              <a:ext uri="{FF2B5EF4-FFF2-40B4-BE49-F238E27FC236}">
                <a16:creationId xmlns:a16="http://schemas.microsoft.com/office/drawing/2014/main" id="{91A44BCF-B27E-4C91-816A-6873D78021CB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7" name="Conector reto 256">
            <a:extLst>
              <a:ext uri="{FF2B5EF4-FFF2-40B4-BE49-F238E27FC236}">
                <a16:creationId xmlns:a16="http://schemas.microsoft.com/office/drawing/2014/main" id="{B40F1E10-9045-4E9B-B23D-12FB0028A508}"/>
              </a:ext>
            </a:extLst>
          </xdr:cNvPr>
          <xdr:cNvCxnSpPr/>
        </xdr:nvCxnSpPr>
        <xdr:spPr>
          <a:xfrm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8" name="Conector reto 257">
            <a:extLst>
              <a:ext uri="{FF2B5EF4-FFF2-40B4-BE49-F238E27FC236}">
                <a16:creationId xmlns:a16="http://schemas.microsoft.com/office/drawing/2014/main" id="{7C5F36BD-A76B-48B9-BF61-A4BFE44D0A39}"/>
              </a:ext>
            </a:extLst>
          </xdr:cNvPr>
          <xdr:cNvCxnSpPr/>
        </xdr:nvCxnSpPr>
        <xdr:spPr>
          <a:xfrm flipV="1">
            <a:off x="80391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9" name="Conector reto 258">
            <a:extLst>
              <a:ext uri="{FF2B5EF4-FFF2-40B4-BE49-F238E27FC236}">
                <a16:creationId xmlns:a16="http://schemas.microsoft.com/office/drawing/2014/main" id="{182D1BD0-11B1-442F-9A90-30CD346A73F7}"/>
              </a:ext>
            </a:extLst>
          </xdr:cNvPr>
          <xdr:cNvCxnSpPr/>
        </xdr:nvCxnSpPr>
        <xdr:spPr>
          <a:xfrm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Conector reto 259">
            <a:extLst>
              <a:ext uri="{FF2B5EF4-FFF2-40B4-BE49-F238E27FC236}">
                <a16:creationId xmlns:a16="http://schemas.microsoft.com/office/drawing/2014/main" id="{66B626E6-B105-4FF9-87E3-6F151C5F29DC}"/>
              </a:ext>
            </a:extLst>
          </xdr:cNvPr>
          <xdr:cNvCxnSpPr/>
        </xdr:nvCxnSpPr>
        <xdr:spPr>
          <a:xfrm flipV="1">
            <a:off x="107188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Conector reto 260">
            <a:extLst>
              <a:ext uri="{FF2B5EF4-FFF2-40B4-BE49-F238E27FC236}">
                <a16:creationId xmlns:a16="http://schemas.microsoft.com/office/drawing/2014/main" id="{BA4E887F-17C9-4E31-8C15-4645B0A64FE1}"/>
              </a:ext>
            </a:extLst>
          </xdr:cNvPr>
          <xdr:cNvCxnSpPr/>
        </xdr:nvCxnSpPr>
        <xdr:spPr>
          <a:xfrm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Conector reto 261">
            <a:extLst>
              <a:ext uri="{FF2B5EF4-FFF2-40B4-BE49-F238E27FC236}">
                <a16:creationId xmlns:a16="http://schemas.microsoft.com/office/drawing/2014/main" id="{04B85FCB-1216-475B-BD4A-251A248688B3}"/>
              </a:ext>
            </a:extLst>
          </xdr:cNvPr>
          <xdr:cNvCxnSpPr/>
        </xdr:nvCxnSpPr>
        <xdr:spPr>
          <a:xfrm flipV="1">
            <a:off x="13398500" y="1814513"/>
            <a:ext cx="267970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579F3A5D-8168-43CC-A803-AAF2308F59D1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20D2AB8E-6F44-4DBF-9A40-F96561E0A5D5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987D76A7-B181-453D-9C77-95188C594D27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36CD2A8-B909-4C79-AD4D-68029790C307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C631D988-7FFF-475B-952B-7E680E5D4096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0038B62D-5559-4C0A-9E23-E0252E9B8843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9" name="Elipse 268">
            <a:extLst>
              <a:ext uri="{FF2B5EF4-FFF2-40B4-BE49-F238E27FC236}">
                <a16:creationId xmlns:a16="http://schemas.microsoft.com/office/drawing/2014/main" id="{867387EF-4621-4D1F-B9F4-EB9AA3F7AFA1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0" name="Elipse 269">
            <a:extLst>
              <a:ext uri="{FF2B5EF4-FFF2-40B4-BE49-F238E27FC236}">
                <a16:creationId xmlns:a16="http://schemas.microsoft.com/office/drawing/2014/main" id="{25E8DE92-B19E-4810-B8BE-86A97B5789E3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1" name="Elipse 270">
            <a:extLst>
              <a:ext uri="{FF2B5EF4-FFF2-40B4-BE49-F238E27FC236}">
                <a16:creationId xmlns:a16="http://schemas.microsoft.com/office/drawing/2014/main" id="{5918863F-9D39-4F19-A6A0-E8E922A3FA8D}"/>
              </a:ext>
            </a:extLst>
          </xdr:cNvPr>
          <xdr:cNvSpPr/>
        </xdr:nvSpPr>
        <xdr:spPr>
          <a:xfrm>
            <a:off x="106870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2" name="Elipse 271">
            <a:extLst>
              <a:ext uri="{FF2B5EF4-FFF2-40B4-BE49-F238E27FC236}">
                <a16:creationId xmlns:a16="http://schemas.microsoft.com/office/drawing/2014/main" id="{ABFAE5A6-28C2-4FF0-A488-FAFD9FBCA38A}"/>
              </a:ext>
            </a:extLst>
          </xdr:cNvPr>
          <xdr:cNvSpPr/>
        </xdr:nvSpPr>
        <xdr:spPr>
          <a:xfrm>
            <a:off x="106870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3" name="Elipse 272">
            <a:extLst>
              <a:ext uri="{FF2B5EF4-FFF2-40B4-BE49-F238E27FC236}">
                <a16:creationId xmlns:a16="http://schemas.microsoft.com/office/drawing/2014/main" id="{2090EA85-F7C4-40AE-81C0-EDB47FDA3E73}"/>
              </a:ext>
            </a:extLst>
          </xdr:cNvPr>
          <xdr:cNvSpPr/>
        </xdr:nvSpPr>
        <xdr:spPr>
          <a:xfrm>
            <a:off x="133667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4" name="Elipse 273">
            <a:extLst>
              <a:ext uri="{FF2B5EF4-FFF2-40B4-BE49-F238E27FC236}">
                <a16:creationId xmlns:a16="http://schemas.microsoft.com/office/drawing/2014/main" id="{638A3239-BCF3-45F2-A7BF-9F3FE53EB4B3}"/>
              </a:ext>
            </a:extLst>
          </xdr:cNvPr>
          <xdr:cNvSpPr/>
        </xdr:nvSpPr>
        <xdr:spPr>
          <a:xfrm>
            <a:off x="133667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5" name="Elipse 274">
            <a:extLst>
              <a:ext uri="{FF2B5EF4-FFF2-40B4-BE49-F238E27FC236}">
                <a16:creationId xmlns:a16="http://schemas.microsoft.com/office/drawing/2014/main" id="{0A125E43-C9B4-408F-B1D4-FBFF5D0952A1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6" name="Elipse 275">
            <a:extLst>
              <a:ext uri="{FF2B5EF4-FFF2-40B4-BE49-F238E27FC236}">
                <a16:creationId xmlns:a16="http://schemas.microsoft.com/office/drawing/2014/main" id="{64BB6B15-2CED-41E6-9830-620C876E91B7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7" name="Elipse 276">
            <a:extLst>
              <a:ext uri="{FF2B5EF4-FFF2-40B4-BE49-F238E27FC236}">
                <a16:creationId xmlns:a16="http://schemas.microsoft.com/office/drawing/2014/main" id="{A4575260-0CC6-4155-924E-82E1056FF43B}"/>
              </a:ext>
            </a:extLst>
          </xdr:cNvPr>
          <xdr:cNvSpPr/>
        </xdr:nvSpPr>
        <xdr:spPr>
          <a:xfrm>
            <a:off x="80581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8" name="Elipse 277">
            <a:extLst>
              <a:ext uri="{FF2B5EF4-FFF2-40B4-BE49-F238E27FC236}">
                <a16:creationId xmlns:a16="http://schemas.microsoft.com/office/drawing/2014/main" id="{A1004080-5C2A-474D-9646-3D74D952F4FF}"/>
              </a:ext>
            </a:extLst>
          </xdr:cNvPr>
          <xdr:cNvSpPr/>
        </xdr:nvSpPr>
        <xdr:spPr>
          <a:xfrm>
            <a:off x="106362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9" name="Elipse 278">
            <a:extLst>
              <a:ext uri="{FF2B5EF4-FFF2-40B4-BE49-F238E27FC236}">
                <a16:creationId xmlns:a16="http://schemas.microsoft.com/office/drawing/2014/main" id="{024AA1CE-CD17-4E40-94F6-5FE7EE46EF9A}"/>
              </a:ext>
            </a:extLst>
          </xdr:cNvPr>
          <xdr:cNvSpPr/>
        </xdr:nvSpPr>
        <xdr:spPr>
          <a:xfrm>
            <a:off x="80581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0" name="Elipse 279">
            <a:extLst>
              <a:ext uri="{FF2B5EF4-FFF2-40B4-BE49-F238E27FC236}">
                <a16:creationId xmlns:a16="http://schemas.microsoft.com/office/drawing/2014/main" id="{9345D64A-94E8-401A-937B-F435D0EB5F6C}"/>
              </a:ext>
            </a:extLst>
          </xdr:cNvPr>
          <xdr:cNvSpPr/>
        </xdr:nvSpPr>
        <xdr:spPr>
          <a:xfrm>
            <a:off x="106362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1" name="Elipse 280">
            <a:extLst>
              <a:ext uri="{FF2B5EF4-FFF2-40B4-BE49-F238E27FC236}">
                <a16:creationId xmlns:a16="http://schemas.microsoft.com/office/drawing/2014/main" id="{C25D1BBE-25B5-40FB-8925-C7EBA2CEA1AE}"/>
              </a:ext>
            </a:extLst>
          </xdr:cNvPr>
          <xdr:cNvSpPr/>
        </xdr:nvSpPr>
        <xdr:spPr>
          <a:xfrm>
            <a:off x="107378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2" name="Elipse 281">
            <a:extLst>
              <a:ext uri="{FF2B5EF4-FFF2-40B4-BE49-F238E27FC236}">
                <a16:creationId xmlns:a16="http://schemas.microsoft.com/office/drawing/2014/main" id="{7927197E-9CAD-4ECB-A300-B494E82D0557}"/>
              </a:ext>
            </a:extLst>
          </xdr:cNvPr>
          <xdr:cNvSpPr/>
        </xdr:nvSpPr>
        <xdr:spPr>
          <a:xfrm>
            <a:off x="133159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3" name="Elipse 282">
            <a:extLst>
              <a:ext uri="{FF2B5EF4-FFF2-40B4-BE49-F238E27FC236}">
                <a16:creationId xmlns:a16="http://schemas.microsoft.com/office/drawing/2014/main" id="{36A1FE20-48A1-435D-893B-6F4511502B74}"/>
              </a:ext>
            </a:extLst>
          </xdr:cNvPr>
          <xdr:cNvSpPr/>
        </xdr:nvSpPr>
        <xdr:spPr>
          <a:xfrm>
            <a:off x="107378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4" name="Elipse 283">
            <a:extLst>
              <a:ext uri="{FF2B5EF4-FFF2-40B4-BE49-F238E27FC236}">
                <a16:creationId xmlns:a16="http://schemas.microsoft.com/office/drawing/2014/main" id="{95904E45-F9AA-440B-9A42-9EEC8AE2DE65}"/>
              </a:ext>
            </a:extLst>
          </xdr:cNvPr>
          <xdr:cNvSpPr/>
        </xdr:nvSpPr>
        <xdr:spPr>
          <a:xfrm>
            <a:off x="133159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5" name="Elipse 284">
            <a:extLst>
              <a:ext uri="{FF2B5EF4-FFF2-40B4-BE49-F238E27FC236}">
                <a16:creationId xmlns:a16="http://schemas.microsoft.com/office/drawing/2014/main" id="{AF941254-11AB-4445-A26C-8F402B0CB732}"/>
              </a:ext>
            </a:extLst>
          </xdr:cNvPr>
          <xdr:cNvSpPr/>
        </xdr:nvSpPr>
        <xdr:spPr>
          <a:xfrm>
            <a:off x="134175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6" name="Elipse 285">
            <a:extLst>
              <a:ext uri="{FF2B5EF4-FFF2-40B4-BE49-F238E27FC236}">
                <a16:creationId xmlns:a16="http://schemas.microsoft.com/office/drawing/2014/main" id="{5ED86D38-43DC-4E6F-B38E-2CB512DE6B8D}"/>
              </a:ext>
            </a:extLst>
          </xdr:cNvPr>
          <xdr:cNvSpPr/>
        </xdr:nvSpPr>
        <xdr:spPr>
          <a:xfrm>
            <a:off x="159956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7" name="Elipse 286">
            <a:extLst>
              <a:ext uri="{FF2B5EF4-FFF2-40B4-BE49-F238E27FC236}">
                <a16:creationId xmlns:a16="http://schemas.microsoft.com/office/drawing/2014/main" id="{820956F8-708C-4F07-9536-0F8F4A969770}"/>
              </a:ext>
            </a:extLst>
          </xdr:cNvPr>
          <xdr:cNvSpPr/>
        </xdr:nvSpPr>
        <xdr:spPr>
          <a:xfrm>
            <a:off x="13417550" y="37544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8" name="Elipse 287">
            <a:extLst>
              <a:ext uri="{FF2B5EF4-FFF2-40B4-BE49-F238E27FC236}">
                <a16:creationId xmlns:a16="http://schemas.microsoft.com/office/drawing/2014/main" id="{8BF44990-9FDB-4441-B28A-8AF5BB815EB4}"/>
              </a:ext>
            </a:extLst>
          </xdr:cNvPr>
          <xdr:cNvSpPr/>
        </xdr:nvSpPr>
        <xdr:spPr>
          <a:xfrm>
            <a:off x="15995650" y="18208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630501</xdr:colOff>
      <xdr:row>17</xdr:row>
      <xdr:rowOff>125413</xdr:rowOff>
    </xdr:from>
    <xdr:to>
      <xdr:col>13</xdr:col>
      <xdr:colOff>373101</xdr:colOff>
      <xdr:row>19</xdr:row>
      <xdr:rowOff>123463</xdr:rowOff>
    </xdr:to>
    <xdr:grpSp>
      <xdr:nvGrpSpPr>
        <xdr:cNvPr id="350" name="Agrupar 349">
          <a:extLst>
            <a:ext uri="{FF2B5EF4-FFF2-40B4-BE49-F238E27FC236}">
              <a16:creationId xmlns:a16="http://schemas.microsoft.com/office/drawing/2014/main" id="{C5AC514F-CE7F-42C9-89F6-8CDAC19862DB}"/>
            </a:ext>
          </a:extLst>
        </xdr:cNvPr>
        <xdr:cNvGrpSpPr/>
      </xdr:nvGrpSpPr>
      <xdr:grpSpPr>
        <a:xfrm>
          <a:off x="10305180" y="3173413"/>
          <a:ext cx="1783671" cy="351836"/>
          <a:chOff x="7936176" y="1782763"/>
          <a:chExt cx="8293101" cy="2095696"/>
        </a:xfrm>
      </xdr:grpSpPr>
      <xdr:sp macro="" textlink="">
        <xdr:nvSpPr>
          <xdr:cNvPr id="299" name="Elipse 298">
            <a:extLst>
              <a:ext uri="{FF2B5EF4-FFF2-40B4-BE49-F238E27FC236}">
                <a16:creationId xmlns:a16="http://schemas.microsoft.com/office/drawing/2014/main" id="{819B4390-2644-4189-A955-E620572EBE7E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0" name="Elipse 299">
            <a:extLst>
              <a:ext uri="{FF2B5EF4-FFF2-40B4-BE49-F238E27FC236}">
                <a16:creationId xmlns:a16="http://schemas.microsoft.com/office/drawing/2014/main" id="{7B823D4D-01A3-4D2D-9C5B-5B6485D1FB50}"/>
              </a:ext>
            </a:extLst>
          </xdr:cNvPr>
          <xdr:cNvSpPr/>
        </xdr:nvSpPr>
        <xdr:spPr>
          <a:xfrm>
            <a:off x="1001712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1" name="Elipse 300">
            <a:extLst>
              <a:ext uri="{FF2B5EF4-FFF2-40B4-BE49-F238E27FC236}">
                <a16:creationId xmlns:a16="http://schemas.microsoft.com/office/drawing/2014/main" id="{B561F4A1-9CAF-4DF3-A84B-061432DA2AE6}"/>
              </a:ext>
            </a:extLst>
          </xdr:cNvPr>
          <xdr:cNvSpPr/>
        </xdr:nvSpPr>
        <xdr:spPr>
          <a:xfrm>
            <a:off x="1202690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2" name="Elipse 301">
            <a:extLst>
              <a:ext uri="{FF2B5EF4-FFF2-40B4-BE49-F238E27FC236}">
                <a16:creationId xmlns:a16="http://schemas.microsoft.com/office/drawing/2014/main" id="{25232F81-2C0C-4445-A083-73AF9A4A6177}"/>
              </a:ext>
            </a:extLst>
          </xdr:cNvPr>
          <xdr:cNvSpPr/>
        </xdr:nvSpPr>
        <xdr:spPr>
          <a:xfrm>
            <a:off x="1403667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3" name="Elipse 302">
            <a:extLst>
              <a:ext uri="{FF2B5EF4-FFF2-40B4-BE49-F238E27FC236}">
                <a16:creationId xmlns:a16="http://schemas.microsoft.com/office/drawing/2014/main" id="{5823D452-0C75-4E0A-8EC5-EA2816B4B633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4" name="Elipse 303">
            <a:extLst>
              <a:ext uri="{FF2B5EF4-FFF2-40B4-BE49-F238E27FC236}">
                <a16:creationId xmlns:a16="http://schemas.microsoft.com/office/drawing/2014/main" id="{3F67EE76-070C-482D-9E09-82BAB842965E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5" name="Elipse 304">
            <a:extLst>
              <a:ext uri="{FF2B5EF4-FFF2-40B4-BE49-F238E27FC236}">
                <a16:creationId xmlns:a16="http://schemas.microsoft.com/office/drawing/2014/main" id="{360ACDE3-FE5C-4F35-90A0-113B25DB3D92}"/>
              </a:ext>
            </a:extLst>
          </xdr:cNvPr>
          <xdr:cNvSpPr/>
        </xdr:nvSpPr>
        <xdr:spPr>
          <a:xfrm>
            <a:off x="1001712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6" name="Elipse 305">
            <a:extLst>
              <a:ext uri="{FF2B5EF4-FFF2-40B4-BE49-F238E27FC236}">
                <a16:creationId xmlns:a16="http://schemas.microsoft.com/office/drawing/2014/main" id="{B659476C-386B-4EC5-93F5-5A9BDA433863}"/>
              </a:ext>
            </a:extLst>
          </xdr:cNvPr>
          <xdr:cNvSpPr/>
        </xdr:nvSpPr>
        <xdr:spPr>
          <a:xfrm>
            <a:off x="120269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7" name="Elipse 306">
            <a:extLst>
              <a:ext uri="{FF2B5EF4-FFF2-40B4-BE49-F238E27FC236}">
                <a16:creationId xmlns:a16="http://schemas.microsoft.com/office/drawing/2014/main" id="{8AEA4024-79A0-4E13-B0B5-4B6479F96952}"/>
              </a:ext>
            </a:extLst>
          </xdr:cNvPr>
          <xdr:cNvSpPr/>
        </xdr:nvSpPr>
        <xdr:spPr>
          <a:xfrm>
            <a:off x="1403667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8" name="Elipse 307">
            <a:extLst>
              <a:ext uri="{FF2B5EF4-FFF2-40B4-BE49-F238E27FC236}">
                <a16:creationId xmlns:a16="http://schemas.microsoft.com/office/drawing/2014/main" id="{1C83D0D5-4C5A-4FA0-9161-2B47B2EA69D8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309" name="Conector reto 308">
            <a:extLst>
              <a:ext uri="{FF2B5EF4-FFF2-40B4-BE49-F238E27FC236}">
                <a16:creationId xmlns:a16="http://schemas.microsoft.com/office/drawing/2014/main" id="{F340CAC5-4862-441E-9BF4-2080E90F1782}"/>
              </a:ext>
            </a:extLst>
          </xdr:cNvPr>
          <xdr:cNvCxnSpPr/>
        </xdr:nvCxnSpPr>
        <xdr:spPr>
          <a:xfrm>
            <a:off x="803910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0" name="Conector reto 309">
            <a:extLst>
              <a:ext uri="{FF2B5EF4-FFF2-40B4-BE49-F238E27FC236}">
                <a16:creationId xmlns:a16="http://schemas.microsoft.com/office/drawing/2014/main" id="{1318EDE1-CE6E-47D0-8610-329A5E6F887C}"/>
              </a:ext>
            </a:extLst>
          </xdr:cNvPr>
          <xdr:cNvCxnSpPr/>
        </xdr:nvCxnSpPr>
        <xdr:spPr>
          <a:xfrm>
            <a:off x="1004887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1" name="Conector reto 310">
            <a:extLst>
              <a:ext uri="{FF2B5EF4-FFF2-40B4-BE49-F238E27FC236}">
                <a16:creationId xmlns:a16="http://schemas.microsoft.com/office/drawing/2014/main" id="{1F61E4B4-B756-4579-B186-4812ABD2BE46}"/>
              </a:ext>
            </a:extLst>
          </xdr:cNvPr>
          <xdr:cNvCxnSpPr/>
        </xdr:nvCxnSpPr>
        <xdr:spPr>
          <a:xfrm>
            <a:off x="1205865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2" name="Conector reto 311">
            <a:extLst>
              <a:ext uri="{FF2B5EF4-FFF2-40B4-BE49-F238E27FC236}">
                <a16:creationId xmlns:a16="http://schemas.microsoft.com/office/drawing/2014/main" id="{74FA17E1-4F94-4170-8891-916620C1043A}"/>
              </a:ext>
            </a:extLst>
          </xdr:cNvPr>
          <xdr:cNvCxnSpPr/>
        </xdr:nvCxnSpPr>
        <xdr:spPr>
          <a:xfrm>
            <a:off x="1406842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3" name="Conector reto 312">
            <a:extLst>
              <a:ext uri="{FF2B5EF4-FFF2-40B4-BE49-F238E27FC236}">
                <a16:creationId xmlns:a16="http://schemas.microsoft.com/office/drawing/2014/main" id="{3378F079-AD57-4FD2-AB5C-0C265F39F8A0}"/>
              </a:ext>
            </a:extLst>
          </xdr:cNvPr>
          <xdr:cNvCxnSpPr/>
        </xdr:nvCxnSpPr>
        <xdr:spPr>
          <a:xfrm>
            <a:off x="803910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4" name="Conector reto 313">
            <a:extLst>
              <a:ext uri="{FF2B5EF4-FFF2-40B4-BE49-F238E27FC236}">
                <a16:creationId xmlns:a16="http://schemas.microsoft.com/office/drawing/2014/main" id="{68BBA036-DC50-403C-9480-65DF830ED638}"/>
              </a:ext>
            </a:extLst>
          </xdr:cNvPr>
          <xdr:cNvCxnSpPr/>
        </xdr:nvCxnSpPr>
        <xdr:spPr>
          <a:xfrm>
            <a:off x="1004887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5" name="Conector reto 314">
            <a:extLst>
              <a:ext uri="{FF2B5EF4-FFF2-40B4-BE49-F238E27FC236}">
                <a16:creationId xmlns:a16="http://schemas.microsoft.com/office/drawing/2014/main" id="{7CF96F60-0ACA-45B3-8CD2-39F5E469E9CD}"/>
              </a:ext>
            </a:extLst>
          </xdr:cNvPr>
          <xdr:cNvCxnSpPr/>
        </xdr:nvCxnSpPr>
        <xdr:spPr>
          <a:xfrm>
            <a:off x="1205865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6" name="Conector reto 315">
            <a:extLst>
              <a:ext uri="{FF2B5EF4-FFF2-40B4-BE49-F238E27FC236}">
                <a16:creationId xmlns:a16="http://schemas.microsoft.com/office/drawing/2014/main" id="{197D26BA-3B95-4B8D-9297-06520AF0B8BB}"/>
              </a:ext>
            </a:extLst>
          </xdr:cNvPr>
          <xdr:cNvCxnSpPr/>
        </xdr:nvCxnSpPr>
        <xdr:spPr>
          <a:xfrm>
            <a:off x="1406842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7" name="Conector reto 316">
            <a:extLst>
              <a:ext uri="{FF2B5EF4-FFF2-40B4-BE49-F238E27FC236}">
                <a16:creationId xmlns:a16="http://schemas.microsoft.com/office/drawing/2014/main" id="{8C7F0F00-8875-4C5B-8A7D-59F79F4517F9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8" name="Conector reto 317">
            <a:extLst>
              <a:ext uri="{FF2B5EF4-FFF2-40B4-BE49-F238E27FC236}">
                <a16:creationId xmlns:a16="http://schemas.microsoft.com/office/drawing/2014/main" id="{D0862A87-50A4-4C5D-A2F4-ADEA4DC835EF}"/>
              </a:ext>
            </a:extLst>
          </xdr:cNvPr>
          <xdr:cNvCxnSpPr/>
        </xdr:nvCxnSpPr>
        <xdr:spPr>
          <a:xfrm flipV="1">
            <a:off x="1004887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9" name="Conector reto 318">
            <a:extLst>
              <a:ext uri="{FF2B5EF4-FFF2-40B4-BE49-F238E27FC236}">
                <a16:creationId xmlns:a16="http://schemas.microsoft.com/office/drawing/2014/main" id="{6FFA9759-C5CA-45A4-840C-63D054ABBB60}"/>
              </a:ext>
            </a:extLst>
          </xdr:cNvPr>
          <xdr:cNvCxnSpPr/>
        </xdr:nvCxnSpPr>
        <xdr:spPr>
          <a:xfrm flipV="1">
            <a:off x="1205865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0" name="Conector reto 319">
            <a:extLst>
              <a:ext uri="{FF2B5EF4-FFF2-40B4-BE49-F238E27FC236}">
                <a16:creationId xmlns:a16="http://schemas.microsoft.com/office/drawing/2014/main" id="{CCF3457F-43A9-4E34-925F-E555F498C104}"/>
              </a:ext>
            </a:extLst>
          </xdr:cNvPr>
          <xdr:cNvCxnSpPr/>
        </xdr:nvCxnSpPr>
        <xdr:spPr>
          <a:xfrm flipV="1">
            <a:off x="1406842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1" name="Conector reto 320">
            <a:extLst>
              <a:ext uri="{FF2B5EF4-FFF2-40B4-BE49-F238E27FC236}">
                <a16:creationId xmlns:a16="http://schemas.microsoft.com/office/drawing/2014/main" id="{ECA5DC21-3DA6-4AF8-AADE-371D10FF5308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2" name="Conector reto 321">
            <a:extLst>
              <a:ext uri="{FF2B5EF4-FFF2-40B4-BE49-F238E27FC236}">
                <a16:creationId xmlns:a16="http://schemas.microsoft.com/office/drawing/2014/main" id="{4E3F1433-52FE-4EAA-BA86-897DF3041E32}"/>
              </a:ext>
            </a:extLst>
          </xdr:cNvPr>
          <xdr:cNvCxnSpPr/>
        </xdr:nvCxnSpPr>
        <xdr:spPr>
          <a:xfrm flipV="1">
            <a:off x="803910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3" name="Conector reto 322">
            <a:extLst>
              <a:ext uri="{FF2B5EF4-FFF2-40B4-BE49-F238E27FC236}">
                <a16:creationId xmlns:a16="http://schemas.microsoft.com/office/drawing/2014/main" id="{E13481E4-09CE-4E49-9717-5D6FF26D4D29}"/>
              </a:ext>
            </a:extLst>
          </xdr:cNvPr>
          <xdr:cNvCxnSpPr/>
        </xdr:nvCxnSpPr>
        <xdr:spPr>
          <a:xfrm flipV="1">
            <a:off x="1004887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4" name="Conector reto 323">
            <a:extLst>
              <a:ext uri="{FF2B5EF4-FFF2-40B4-BE49-F238E27FC236}">
                <a16:creationId xmlns:a16="http://schemas.microsoft.com/office/drawing/2014/main" id="{4353A5E1-3FCA-4B59-82FA-C95296EC39FF}"/>
              </a:ext>
            </a:extLst>
          </xdr:cNvPr>
          <xdr:cNvCxnSpPr/>
        </xdr:nvCxnSpPr>
        <xdr:spPr>
          <a:xfrm>
            <a:off x="1205865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5" name="Conector reto 324">
            <a:extLst>
              <a:ext uri="{FF2B5EF4-FFF2-40B4-BE49-F238E27FC236}">
                <a16:creationId xmlns:a16="http://schemas.microsoft.com/office/drawing/2014/main" id="{6354EF2C-7945-4E41-9A54-CAA9FE029E2F}"/>
              </a:ext>
            </a:extLst>
          </xdr:cNvPr>
          <xdr:cNvCxnSpPr/>
        </xdr:nvCxnSpPr>
        <xdr:spPr>
          <a:xfrm>
            <a:off x="1406842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Forma Livre: Forma 325">
            <a:extLst>
              <a:ext uri="{FF2B5EF4-FFF2-40B4-BE49-F238E27FC236}">
                <a16:creationId xmlns:a16="http://schemas.microsoft.com/office/drawing/2014/main" id="{71E5B91A-492A-404D-A107-F88AEC1093AC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7" name="Forma Livre: Forma 326">
            <a:extLst>
              <a:ext uri="{FF2B5EF4-FFF2-40B4-BE49-F238E27FC236}">
                <a16:creationId xmlns:a16="http://schemas.microsoft.com/office/drawing/2014/main" id="{3E6C8D70-AD63-410A-9E13-FBF8393B00C5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8" name="Forma Livre: Forma 327">
            <a:extLst>
              <a:ext uri="{FF2B5EF4-FFF2-40B4-BE49-F238E27FC236}">
                <a16:creationId xmlns:a16="http://schemas.microsoft.com/office/drawing/2014/main" id="{E760C40D-0E0B-4B8A-ADEA-EDF8FD2E6F87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9" name="Forma Livre: Forma 328">
            <a:extLst>
              <a:ext uri="{FF2B5EF4-FFF2-40B4-BE49-F238E27FC236}">
                <a16:creationId xmlns:a16="http://schemas.microsoft.com/office/drawing/2014/main" id="{1E8A3AEB-38BD-4B7F-B3D6-8B8DC03A587E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0" name="Forma Livre: Forma 329">
            <a:extLst>
              <a:ext uri="{FF2B5EF4-FFF2-40B4-BE49-F238E27FC236}">
                <a16:creationId xmlns:a16="http://schemas.microsoft.com/office/drawing/2014/main" id="{DDBED626-C23B-4FAC-A420-EAF19D204CD3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1" name="Forma Livre: Forma 330">
            <a:extLst>
              <a:ext uri="{FF2B5EF4-FFF2-40B4-BE49-F238E27FC236}">
                <a16:creationId xmlns:a16="http://schemas.microsoft.com/office/drawing/2014/main" id="{D772AA1D-1146-425B-97D2-5B01CDB02DB1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2" name="Elipse 331">
            <a:extLst>
              <a:ext uri="{FF2B5EF4-FFF2-40B4-BE49-F238E27FC236}">
                <a16:creationId xmlns:a16="http://schemas.microsoft.com/office/drawing/2014/main" id="{3DAF3F78-BAB0-4783-9E50-2AB413D0BFD5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3" name="Elipse 332">
            <a:extLst>
              <a:ext uri="{FF2B5EF4-FFF2-40B4-BE49-F238E27FC236}">
                <a16:creationId xmlns:a16="http://schemas.microsoft.com/office/drawing/2014/main" id="{C40EE62F-692C-4892-80F7-14D42AAD85E3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4" name="Elipse 333">
            <a:extLst>
              <a:ext uri="{FF2B5EF4-FFF2-40B4-BE49-F238E27FC236}">
                <a16:creationId xmlns:a16="http://schemas.microsoft.com/office/drawing/2014/main" id="{51191270-240E-45E3-B758-B63C0B8AB032}"/>
              </a:ext>
            </a:extLst>
          </xdr:cNvPr>
          <xdr:cNvSpPr/>
        </xdr:nvSpPr>
        <xdr:spPr>
          <a:xfrm>
            <a:off x="1001712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5" name="Elipse 334">
            <a:extLst>
              <a:ext uri="{FF2B5EF4-FFF2-40B4-BE49-F238E27FC236}">
                <a16:creationId xmlns:a16="http://schemas.microsoft.com/office/drawing/2014/main" id="{BF74EFAE-412C-4C3E-AEAE-93A33C972CF7}"/>
              </a:ext>
            </a:extLst>
          </xdr:cNvPr>
          <xdr:cNvSpPr/>
        </xdr:nvSpPr>
        <xdr:spPr>
          <a:xfrm>
            <a:off x="1001712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6" name="Elipse 335">
            <a:extLst>
              <a:ext uri="{FF2B5EF4-FFF2-40B4-BE49-F238E27FC236}">
                <a16:creationId xmlns:a16="http://schemas.microsoft.com/office/drawing/2014/main" id="{D46C8008-1912-4167-A2D1-F6AE164CDA67}"/>
              </a:ext>
            </a:extLst>
          </xdr:cNvPr>
          <xdr:cNvSpPr/>
        </xdr:nvSpPr>
        <xdr:spPr>
          <a:xfrm>
            <a:off x="1202690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7" name="Elipse 336">
            <a:extLst>
              <a:ext uri="{FF2B5EF4-FFF2-40B4-BE49-F238E27FC236}">
                <a16:creationId xmlns:a16="http://schemas.microsoft.com/office/drawing/2014/main" id="{7A253E2A-9D88-4EAF-B131-06CE70D113B5}"/>
              </a:ext>
            </a:extLst>
          </xdr:cNvPr>
          <xdr:cNvSpPr/>
        </xdr:nvSpPr>
        <xdr:spPr>
          <a:xfrm>
            <a:off x="120269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8" name="Elipse 337">
            <a:extLst>
              <a:ext uri="{FF2B5EF4-FFF2-40B4-BE49-F238E27FC236}">
                <a16:creationId xmlns:a16="http://schemas.microsoft.com/office/drawing/2014/main" id="{DE5F6810-3D49-4BD1-AD1A-32C234647799}"/>
              </a:ext>
            </a:extLst>
          </xdr:cNvPr>
          <xdr:cNvSpPr/>
        </xdr:nvSpPr>
        <xdr:spPr>
          <a:xfrm>
            <a:off x="1403667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9" name="Elipse 338">
            <a:extLst>
              <a:ext uri="{FF2B5EF4-FFF2-40B4-BE49-F238E27FC236}">
                <a16:creationId xmlns:a16="http://schemas.microsoft.com/office/drawing/2014/main" id="{9A585808-436B-4BA0-8DC1-61B6E9CBE820}"/>
              </a:ext>
            </a:extLst>
          </xdr:cNvPr>
          <xdr:cNvSpPr/>
        </xdr:nvSpPr>
        <xdr:spPr>
          <a:xfrm>
            <a:off x="1403667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0" name="Elipse 339">
            <a:extLst>
              <a:ext uri="{FF2B5EF4-FFF2-40B4-BE49-F238E27FC236}">
                <a16:creationId xmlns:a16="http://schemas.microsoft.com/office/drawing/2014/main" id="{97477375-1C5C-492F-87DF-6D081C620A53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1" name="Elipse 340">
            <a:extLst>
              <a:ext uri="{FF2B5EF4-FFF2-40B4-BE49-F238E27FC236}">
                <a16:creationId xmlns:a16="http://schemas.microsoft.com/office/drawing/2014/main" id="{201FF623-186B-4D70-A39B-A60E78A49501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2" name="Elipse 341">
            <a:extLst>
              <a:ext uri="{FF2B5EF4-FFF2-40B4-BE49-F238E27FC236}">
                <a16:creationId xmlns:a16="http://schemas.microsoft.com/office/drawing/2014/main" id="{8869D7D0-A57E-4823-B625-8594D079C129}"/>
              </a:ext>
            </a:extLst>
          </xdr:cNvPr>
          <xdr:cNvSpPr/>
        </xdr:nvSpPr>
        <xdr:spPr>
          <a:xfrm>
            <a:off x="8052251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3" name="Elipse 342">
            <a:extLst>
              <a:ext uri="{FF2B5EF4-FFF2-40B4-BE49-F238E27FC236}">
                <a16:creationId xmlns:a16="http://schemas.microsoft.com/office/drawing/2014/main" id="{B35DB99E-974C-4956-869C-07CB9D5070C1}"/>
              </a:ext>
            </a:extLst>
          </xdr:cNvPr>
          <xdr:cNvSpPr/>
        </xdr:nvSpPr>
        <xdr:spPr>
          <a:xfrm>
            <a:off x="9972224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4" name="Elipse 343">
            <a:extLst>
              <a:ext uri="{FF2B5EF4-FFF2-40B4-BE49-F238E27FC236}">
                <a16:creationId xmlns:a16="http://schemas.microsoft.com/office/drawing/2014/main" id="{412E477A-16E3-4DE7-A7CA-46A64A1436C8}"/>
              </a:ext>
            </a:extLst>
          </xdr:cNvPr>
          <xdr:cNvSpPr/>
        </xdr:nvSpPr>
        <xdr:spPr>
          <a:xfrm>
            <a:off x="10062026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5" name="Elipse 344">
            <a:extLst>
              <a:ext uri="{FF2B5EF4-FFF2-40B4-BE49-F238E27FC236}">
                <a16:creationId xmlns:a16="http://schemas.microsoft.com/office/drawing/2014/main" id="{C44662DF-5256-4079-AF85-1A78B1C27763}"/>
              </a:ext>
            </a:extLst>
          </xdr:cNvPr>
          <xdr:cNvSpPr/>
        </xdr:nvSpPr>
        <xdr:spPr>
          <a:xfrm>
            <a:off x="11981999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6" name="Elipse 345">
            <a:extLst>
              <a:ext uri="{FF2B5EF4-FFF2-40B4-BE49-F238E27FC236}">
                <a16:creationId xmlns:a16="http://schemas.microsoft.com/office/drawing/2014/main" id="{87A9CDB2-4CFE-4404-9E65-4AD203CACF4B}"/>
              </a:ext>
            </a:extLst>
          </xdr:cNvPr>
          <xdr:cNvSpPr/>
        </xdr:nvSpPr>
        <xdr:spPr>
          <a:xfrm>
            <a:off x="12071801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7" name="Elipse 346">
            <a:extLst>
              <a:ext uri="{FF2B5EF4-FFF2-40B4-BE49-F238E27FC236}">
                <a16:creationId xmlns:a16="http://schemas.microsoft.com/office/drawing/2014/main" id="{8809890A-796F-4FF6-916D-2D331BD9BB83}"/>
              </a:ext>
            </a:extLst>
          </xdr:cNvPr>
          <xdr:cNvSpPr/>
        </xdr:nvSpPr>
        <xdr:spPr>
          <a:xfrm>
            <a:off x="13991774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8" name="Elipse 347">
            <a:extLst>
              <a:ext uri="{FF2B5EF4-FFF2-40B4-BE49-F238E27FC236}">
                <a16:creationId xmlns:a16="http://schemas.microsoft.com/office/drawing/2014/main" id="{6F6C882E-B49F-4D15-A334-BC4002AB5456}"/>
              </a:ext>
            </a:extLst>
          </xdr:cNvPr>
          <xdr:cNvSpPr/>
        </xdr:nvSpPr>
        <xdr:spPr>
          <a:xfrm>
            <a:off x="14081576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9" name="Elipse 348">
            <a:extLst>
              <a:ext uri="{FF2B5EF4-FFF2-40B4-BE49-F238E27FC236}">
                <a16:creationId xmlns:a16="http://schemas.microsoft.com/office/drawing/2014/main" id="{2DB810A9-7B9E-4749-AE08-FDF6FEA9343F}"/>
              </a:ext>
            </a:extLst>
          </xdr:cNvPr>
          <xdr:cNvSpPr/>
        </xdr:nvSpPr>
        <xdr:spPr>
          <a:xfrm>
            <a:off x="16001549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640026</xdr:colOff>
      <xdr:row>20</xdr:row>
      <xdr:rowOff>106363</xdr:rowOff>
    </xdr:from>
    <xdr:to>
      <xdr:col>13</xdr:col>
      <xdr:colOff>382626</xdr:colOff>
      <xdr:row>22</xdr:row>
      <xdr:rowOff>104413</xdr:rowOff>
    </xdr:to>
    <xdr:grpSp>
      <xdr:nvGrpSpPr>
        <xdr:cNvPr id="496" name="Agrupar 495">
          <a:extLst>
            <a:ext uri="{FF2B5EF4-FFF2-40B4-BE49-F238E27FC236}">
              <a16:creationId xmlns:a16="http://schemas.microsoft.com/office/drawing/2014/main" id="{745B791F-F2F4-44B3-B556-082C022F3EEB}"/>
            </a:ext>
          </a:extLst>
        </xdr:cNvPr>
        <xdr:cNvGrpSpPr/>
      </xdr:nvGrpSpPr>
      <xdr:grpSpPr>
        <a:xfrm>
          <a:off x="10314705" y="3685042"/>
          <a:ext cx="1783671" cy="351835"/>
          <a:chOff x="7936176" y="1782763"/>
          <a:chExt cx="8293101" cy="2095696"/>
        </a:xfrm>
      </xdr:grpSpPr>
      <xdr:sp macro="" textlink="">
        <xdr:nvSpPr>
          <xdr:cNvPr id="445" name="Elipse 444">
            <a:extLst>
              <a:ext uri="{FF2B5EF4-FFF2-40B4-BE49-F238E27FC236}">
                <a16:creationId xmlns:a16="http://schemas.microsoft.com/office/drawing/2014/main" id="{F2DCD28B-94B7-43B7-8DF4-19CAB5C872D4}"/>
              </a:ext>
            </a:extLst>
          </xdr:cNvPr>
          <xdr:cNvSpPr/>
        </xdr:nvSpPr>
        <xdr:spPr>
          <a:xfrm>
            <a:off x="80073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6" name="Elipse 445">
            <a:extLst>
              <a:ext uri="{FF2B5EF4-FFF2-40B4-BE49-F238E27FC236}">
                <a16:creationId xmlns:a16="http://schemas.microsoft.com/office/drawing/2014/main" id="{DE246F67-3142-4F0D-A86B-7C448502168D}"/>
              </a:ext>
            </a:extLst>
          </xdr:cNvPr>
          <xdr:cNvSpPr/>
        </xdr:nvSpPr>
        <xdr:spPr>
          <a:xfrm>
            <a:off x="1001712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7" name="Elipse 446">
            <a:extLst>
              <a:ext uri="{FF2B5EF4-FFF2-40B4-BE49-F238E27FC236}">
                <a16:creationId xmlns:a16="http://schemas.microsoft.com/office/drawing/2014/main" id="{3008ADEB-2144-4B1B-958F-BAC2B77935B2}"/>
              </a:ext>
            </a:extLst>
          </xdr:cNvPr>
          <xdr:cNvSpPr/>
        </xdr:nvSpPr>
        <xdr:spPr>
          <a:xfrm>
            <a:off x="1202690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8" name="Elipse 447">
            <a:extLst>
              <a:ext uri="{FF2B5EF4-FFF2-40B4-BE49-F238E27FC236}">
                <a16:creationId xmlns:a16="http://schemas.microsoft.com/office/drawing/2014/main" id="{1095DC81-7FD6-44A3-AF42-ABA3EAE2FA12}"/>
              </a:ext>
            </a:extLst>
          </xdr:cNvPr>
          <xdr:cNvSpPr/>
        </xdr:nvSpPr>
        <xdr:spPr>
          <a:xfrm>
            <a:off x="14036675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9" name="Elipse 448">
            <a:extLst>
              <a:ext uri="{FF2B5EF4-FFF2-40B4-BE49-F238E27FC236}">
                <a16:creationId xmlns:a16="http://schemas.microsoft.com/office/drawing/2014/main" id="{410EFE05-F9B8-4BBB-B82C-594EF5F0D98B}"/>
              </a:ext>
            </a:extLst>
          </xdr:cNvPr>
          <xdr:cNvSpPr/>
        </xdr:nvSpPr>
        <xdr:spPr>
          <a:xfrm>
            <a:off x="16046450" y="37925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0" name="Elipse 449">
            <a:extLst>
              <a:ext uri="{FF2B5EF4-FFF2-40B4-BE49-F238E27FC236}">
                <a16:creationId xmlns:a16="http://schemas.microsoft.com/office/drawing/2014/main" id="{FA0CE2EF-CE81-4EA6-AD0B-C36AF2DD559A}"/>
              </a:ext>
            </a:extLst>
          </xdr:cNvPr>
          <xdr:cNvSpPr/>
        </xdr:nvSpPr>
        <xdr:spPr>
          <a:xfrm>
            <a:off x="80073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1" name="Elipse 450">
            <a:extLst>
              <a:ext uri="{FF2B5EF4-FFF2-40B4-BE49-F238E27FC236}">
                <a16:creationId xmlns:a16="http://schemas.microsoft.com/office/drawing/2014/main" id="{A42D8165-5BAC-4A77-8DC2-26C3C21A12A0}"/>
              </a:ext>
            </a:extLst>
          </xdr:cNvPr>
          <xdr:cNvSpPr/>
        </xdr:nvSpPr>
        <xdr:spPr>
          <a:xfrm>
            <a:off x="1001712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2" name="Elipse 451">
            <a:extLst>
              <a:ext uri="{FF2B5EF4-FFF2-40B4-BE49-F238E27FC236}">
                <a16:creationId xmlns:a16="http://schemas.microsoft.com/office/drawing/2014/main" id="{04E8F4C1-D2DB-4B89-B3E9-F13AB7F8A826}"/>
              </a:ext>
            </a:extLst>
          </xdr:cNvPr>
          <xdr:cNvSpPr/>
        </xdr:nvSpPr>
        <xdr:spPr>
          <a:xfrm>
            <a:off x="120269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3" name="Elipse 452">
            <a:extLst>
              <a:ext uri="{FF2B5EF4-FFF2-40B4-BE49-F238E27FC236}">
                <a16:creationId xmlns:a16="http://schemas.microsoft.com/office/drawing/2014/main" id="{623B940F-EFBF-40A1-B905-18EF80DEE2F8}"/>
              </a:ext>
            </a:extLst>
          </xdr:cNvPr>
          <xdr:cNvSpPr/>
        </xdr:nvSpPr>
        <xdr:spPr>
          <a:xfrm>
            <a:off x="14036675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4" name="Elipse 453">
            <a:extLst>
              <a:ext uri="{FF2B5EF4-FFF2-40B4-BE49-F238E27FC236}">
                <a16:creationId xmlns:a16="http://schemas.microsoft.com/office/drawing/2014/main" id="{91D38873-50B1-41A1-BA9B-6E21F4E1B50F}"/>
              </a:ext>
            </a:extLst>
          </xdr:cNvPr>
          <xdr:cNvSpPr/>
        </xdr:nvSpPr>
        <xdr:spPr>
          <a:xfrm>
            <a:off x="1604645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55" name="Conector reto 454">
            <a:extLst>
              <a:ext uri="{FF2B5EF4-FFF2-40B4-BE49-F238E27FC236}">
                <a16:creationId xmlns:a16="http://schemas.microsoft.com/office/drawing/2014/main" id="{9F96A57F-C30B-422F-AB8E-D6F89E1FD2E9}"/>
              </a:ext>
            </a:extLst>
          </xdr:cNvPr>
          <xdr:cNvCxnSpPr/>
        </xdr:nvCxnSpPr>
        <xdr:spPr>
          <a:xfrm>
            <a:off x="803910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6" name="Conector reto 455">
            <a:extLst>
              <a:ext uri="{FF2B5EF4-FFF2-40B4-BE49-F238E27FC236}">
                <a16:creationId xmlns:a16="http://schemas.microsoft.com/office/drawing/2014/main" id="{BD6C2C9B-3299-408F-B7CE-CA046CFC405A}"/>
              </a:ext>
            </a:extLst>
          </xdr:cNvPr>
          <xdr:cNvCxnSpPr/>
        </xdr:nvCxnSpPr>
        <xdr:spPr>
          <a:xfrm>
            <a:off x="1004887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Conector reto 456">
            <a:extLst>
              <a:ext uri="{FF2B5EF4-FFF2-40B4-BE49-F238E27FC236}">
                <a16:creationId xmlns:a16="http://schemas.microsoft.com/office/drawing/2014/main" id="{C78CF89A-86DF-4A8F-98C9-9D1ED0F9779A}"/>
              </a:ext>
            </a:extLst>
          </xdr:cNvPr>
          <xdr:cNvCxnSpPr/>
        </xdr:nvCxnSpPr>
        <xdr:spPr>
          <a:xfrm>
            <a:off x="12058650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Conector reto 457">
            <a:extLst>
              <a:ext uri="{FF2B5EF4-FFF2-40B4-BE49-F238E27FC236}">
                <a16:creationId xmlns:a16="http://schemas.microsoft.com/office/drawing/2014/main" id="{383DFB2E-91F6-40DC-BC42-9D88DC3530F1}"/>
              </a:ext>
            </a:extLst>
          </xdr:cNvPr>
          <xdr:cNvCxnSpPr/>
        </xdr:nvCxnSpPr>
        <xdr:spPr>
          <a:xfrm>
            <a:off x="14068425" y="3824288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Conector reto 458">
            <a:extLst>
              <a:ext uri="{FF2B5EF4-FFF2-40B4-BE49-F238E27FC236}">
                <a16:creationId xmlns:a16="http://schemas.microsoft.com/office/drawing/2014/main" id="{7AE57947-7489-4F7B-9389-A69AE3FC1137}"/>
              </a:ext>
            </a:extLst>
          </xdr:cNvPr>
          <xdr:cNvCxnSpPr/>
        </xdr:nvCxnSpPr>
        <xdr:spPr>
          <a:xfrm>
            <a:off x="803910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Conector reto 459">
            <a:extLst>
              <a:ext uri="{FF2B5EF4-FFF2-40B4-BE49-F238E27FC236}">
                <a16:creationId xmlns:a16="http://schemas.microsoft.com/office/drawing/2014/main" id="{A5E8B77F-426F-4CB0-8C0B-A8FF719492B0}"/>
              </a:ext>
            </a:extLst>
          </xdr:cNvPr>
          <xdr:cNvCxnSpPr/>
        </xdr:nvCxnSpPr>
        <xdr:spPr>
          <a:xfrm>
            <a:off x="1004887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1" name="Conector reto 460">
            <a:extLst>
              <a:ext uri="{FF2B5EF4-FFF2-40B4-BE49-F238E27FC236}">
                <a16:creationId xmlns:a16="http://schemas.microsoft.com/office/drawing/2014/main" id="{BE82E573-B7C4-4936-BB16-3ED96115180E}"/>
              </a:ext>
            </a:extLst>
          </xdr:cNvPr>
          <xdr:cNvCxnSpPr/>
        </xdr:nvCxnSpPr>
        <xdr:spPr>
          <a:xfrm>
            <a:off x="12058650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2" name="Conector reto 461">
            <a:extLst>
              <a:ext uri="{FF2B5EF4-FFF2-40B4-BE49-F238E27FC236}">
                <a16:creationId xmlns:a16="http://schemas.microsoft.com/office/drawing/2014/main" id="{7A1FD463-0DB6-45B5-9341-5A3BF14653E8}"/>
              </a:ext>
            </a:extLst>
          </xdr:cNvPr>
          <xdr:cNvCxnSpPr/>
        </xdr:nvCxnSpPr>
        <xdr:spPr>
          <a:xfrm>
            <a:off x="14068425" y="1814513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3" name="Conector reto 462">
            <a:extLst>
              <a:ext uri="{FF2B5EF4-FFF2-40B4-BE49-F238E27FC236}">
                <a16:creationId xmlns:a16="http://schemas.microsoft.com/office/drawing/2014/main" id="{8DECB4C6-C088-4785-8069-C2ADBC7B513E}"/>
              </a:ext>
            </a:extLst>
          </xdr:cNvPr>
          <xdr:cNvCxnSpPr/>
        </xdr:nvCxnSpPr>
        <xdr:spPr>
          <a:xfrm flipV="1">
            <a:off x="80391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4" name="Conector reto 463">
            <a:extLst>
              <a:ext uri="{FF2B5EF4-FFF2-40B4-BE49-F238E27FC236}">
                <a16:creationId xmlns:a16="http://schemas.microsoft.com/office/drawing/2014/main" id="{ABA32AD3-4CA7-454C-A184-7A5EC4FD1B12}"/>
              </a:ext>
            </a:extLst>
          </xdr:cNvPr>
          <xdr:cNvCxnSpPr/>
        </xdr:nvCxnSpPr>
        <xdr:spPr>
          <a:xfrm flipV="1">
            <a:off x="1004887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5" name="Conector reto 464">
            <a:extLst>
              <a:ext uri="{FF2B5EF4-FFF2-40B4-BE49-F238E27FC236}">
                <a16:creationId xmlns:a16="http://schemas.microsoft.com/office/drawing/2014/main" id="{ED1DE0BA-04E6-4034-811A-8BB814CD318C}"/>
              </a:ext>
            </a:extLst>
          </xdr:cNvPr>
          <xdr:cNvCxnSpPr/>
        </xdr:nvCxnSpPr>
        <xdr:spPr>
          <a:xfrm flipV="1">
            <a:off x="1205865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6" name="Conector reto 465">
            <a:extLst>
              <a:ext uri="{FF2B5EF4-FFF2-40B4-BE49-F238E27FC236}">
                <a16:creationId xmlns:a16="http://schemas.microsoft.com/office/drawing/2014/main" id="{3036CBEF-BA59-48D0-B133-D8A557CC4445}"/>
              </a:ext>
            </a:extLst>
          </xdr:cNvPr>
          <xdr:cNvCxnSpPr/>
        </xdr:nvCxnSpPr>
        <xdr:spPr>
          <a:xfrm flipV="1">
            <a:off x="14068425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7" name="Conector reto 466">
            <a:extLst>
              <a:ext uri="{FF2B5EF4-FFF2-40B4-BE49-F238E27FC236}">
                <a16:creationId xmlns:a16="http://schemas.microsoft.com/office/drawing/2014/main" id="{3CBC7026-271F-44D9-8A41-5B11A68716DA}"/>
              </a:ext>
            </a:extLst>
          </xdr:cNvPr>
          <xdr:cNvCxnSpPr/>
        </xdr:nvCxnSpPr>
        <xdr:spPr>
          <a:xfrm flipV="1">
            <a:off x="16078200" y="1814513"/>
            <a:ext cx="0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8" name="Conector reto 467">
            <a:extLst>
              <a:ext uri="{FF2B5EF4-FFF2-40B4-BE49-F238E27FC236}">
                <a16:creationId xmlns:a16="http://schemas.microsoft.com/office/drawing/2014/main" id="{A880B942-B46F-4A45-A125-C8775D1863CE}"/>
              </a:ext>
            </a:extLst>
          </xdr:cNvPr>
          <xdr:cNvCxnSpPr/>
        </xdr:nvCxnSpPr>
        <xdr:spPr>
          <a:xfrm>
            <a:off x="803910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9" name="Conector reto 468">
            <a:extLst>
              <a:ext uri="{FF2B5EF4-FFF2-40B4-BE49-F238E27FC236}">
                <a16:creationId xmlns:a16="http://schemas.microsoft.com/office/drawing/2014/main" id="{AA1764AB-7C0A-455B-88A2-F8641E4F2046}"/>
              </a:ext>
            </a:extLst>
          </xdr:cNvPr>
          <xdr:cNvCxnSpPr/>
        </xdr:nvCxnSpPr>
        <xdr:spPr>
          <a:xfrm>
            <a:off x="1004887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0" name="Conector reto 469">
            <a:extLst>
              <a:ext uri="{FF2B5EF4-FFF2-40B4-BE49-F238E27FC236}">
                <a16:creationId xmlns:a16="http://schemas.microsoft.com/office/drawing/2014/main" id="{26C43727-47A8-4600-BECF-5513152229FE}"/>
              </a:ext>
            </a:extLst>
          </xdr:cNvPr>
          <xdr:cNvCxnSpPr/>
        </xdr:nvCxnSpPr>
        <xdr:spPr>
          <a:xfrm flipV="1">
            <a:off x="12058650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1" name="Conector reto 470">
            <a:extLst>
              <a:ext uri="{FF2B5EF4-FFF2-40B4-BE49-F238E27FC236}">
                <a16:creationId xmlns:a16="http://schemas.microsoft.com/office/drawing/2014/main" id="{04BBE0E4-B697-419A-B5CF-848577824DD2}"/>
              </a:ext>
            </a:extLst>
          </xdr:cNvPr>
          <xdr:cNvCxnSpPr/>
        </xdr:nvCxnSpPr>
        <xdr:spPr>
          <a:xfrm flipV="1">
            <a:off x="14068425" y="1814513"/>
            <a:ext cx="2009775" cy="20097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2" name="Forma Livre: Forma 471">
            <a:extLst>
              <a:ext uri="{FF2B5EF4-FFF2-40B4-BE49-F238E27FC236}">
                <a16:creationId xmlns:a16="http://schemas.microsoft.com/office/drawing/2014/main" id="{A3F55D57-2494-4021-A3E6-171FDD2A5B89}"/>
              </a:ext>
            </a:extLst>
          </xdr:cNvPr>
          <xdr:cNvSpPr/>
        </xdr:nvSpPr>
        <xdr:spPr>
          <a:xfrm>
            <a:off x="80391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3" name="Forma Livre: Forma 472">
            <a:extLst>
              <a:ext uri="{FF2B5EF4-FFF2-40B4-BE49-F238E27FC236}">
                <a16:creationId xmlns:a16="http://schemas.microsoft.com/office/drawing/2014/main" id="{C9F034C7-B42A-4834-9EC9-DA1F75550215}"/>
              </a:ext>
            </a:extLst>
          </xdr:cNvPr>
          <xdr:cNvSpPr/>
        </xdr:nvSpPr>
        <xdr:spPr>
          <a:xfrm>
            <a:off x="80150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4" name="Forma Livre: Forma 473">
            <a:extLst>
              <a:ext uri="{FF2B5EF4-FFF2-40B4-BE49-F238E27FC236}">
                <a16:creationId xmlns:a16="http://schemas.microsoft.com/office/drawing/2014/main" id="{1B2B6658-297C-447C-991F-5BBE0AAA6D08}"/>
              </a:ext>
            </a:extLst>
          </xdr:cNvPr>
          <xdr:cNvSpPr/>
        </xdr:nvSpPr>
        <xdr:spPr>
          <a:xfrm>
            <a:off x="79361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5" name="Forma Livre: Forma 474">
            <a:extLst>
              <a:ext uri="{FF2B5EF4-FFF2-40B4-BE49-F238E27FC236}">
                <a16:creationId xmlns:a16="http://schemas.microsoft.com/office/drawing/2014/main" id="{3D439CA3-D622-4CF9-B2D7-72A52CC16DC7}"/>
              </a:ext>
            </a:extLst>
          </xdr:cNvPr>
          <xdr:cNvSpPr/>
        </xdr:nvSpPr>
        <xdr:spPr>
          <a:xfrm>
            <a:off x="16078200" y="380021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6" name="Forma Livre: Forma 475">
            <a:extLst>
              <a:ext uri="{FF2B5EF4-FFF2-40B4-BE49-F238E27FC236}">
                <a16:creationId xmlns:a16="http://schemas.microsoft.com/office/drawing/2014/main" id="{3641AA4B-6CBE-4846-8D8A-BDD7B300DB11}"/>
              </a:ext>
            </a:extLst>
          </xdr:cNvPr>
          <xdr:cNvSpPr/>
        </xdr:nvSpPr>
        <xdr:spPr>
          <a:xfrm>
            <a:off x="16054124" y="382428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7" name="Forma Livre: Forma 476">
            <a:extLst>
              <a:ext uri="{FF2B5EF4-FFF2-40B4-BE49-F238E27FC236}">
                <a16:creationId xmlns:a16="http://schemas.microsoft.com/office/drawing/2014/main" id="{6D0CEDA8-CDBE-4349-8074-20B9A1F5C951}"/>
              </a:ext>
            </a:extLst>
          </xdr:cNvPr>
          <xdr:cNvSpPr/>
        </xdr:nvSpPr>
        <xdr:spPr>
          <a:xfrm>
            <a:off x="15975276" y="380291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8" name="Elipse 477">
            <a:extLst>
              <a:ext uri="{FF2B5EF4-FFF2-40B4-BE49-F238E27FC236}">
                <a16:creationId xmlns:a16="http://schemas.microsoft.com/office/drawing/2014/main" id="{C471B695-4B7B-49F9-893E-D8ACD618BC69}"/>
              </a:ext>
            </a:extLst>
          </xdr:cNvPr>
          <xdr:cNvSpPr/>
        </xdr:nvSpPr>
        <xdr:spPr>
          <a:xfrm>
            <a:off x="80073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9" name="Elipse 478">
            <a:extLst>
              <a:ext uri="{FF2B5EF4-FFF2-40B4-BE49-F238E27FC236}">
                <a16:creationId xmlns:a16="http://schemas.microsoft.com/office/drawing/2014/main" id="{BA1DE480-838F-4BCD-8AD3-03A954AD284C}"/>
              </a:ext>
            </a:extLst>
          </xdr:cNvPr>
          <xdr:cNvSpPr/>
        </xdr:nvSpPr>
        <xdr:spPr>
          <a:xfrm>
            <a:off x="80073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0" name="Elipse 479">
            <a:extLst>
              <a:ext uri="{FF2B5EF4-FFF2-40B4-BE49-F238E27FC236}">
                <a16:creationId xmlns:a16="http://schemas.microsoft.com/office/drawing/2014/main" id="{65046459-4D7A-47CE-A710-B0747B4EB4F8}"/>
              </a:ext>
            </a:extLst>
          </xdr:cNvPr>
          <xdr:cNvSpPr/>
        </xdr:nvSpPr>
        <xdr:spPr>
          <a:xfrm>
            <a:off x="1001712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1" name="Elipse 480">
            <a:extLst>
              <a:ext uri="{FF2B5EF4-FFF2-40B4-BE49-F238E27FC236}">
                <a16:creationId xmlns:a16="http://schemas.microsoft.com/office/drawing/2014/main" id="{464930CE-288E-44E4-BD68-5B81F45EE6A5}"/>
              </a:ext>
            </a:extLst>
          </xdr:cNvPr>
          <xdr:cNvSpPr/>
        </xdr:nvSpPr>
        <xdr:spPr>
          <a:xfrm>
            <a:off x="1001712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2" name="Elipse 481">
            <a:extLst>
              <a:ext uri="{FF2B5EF4-FFF2-40B4-BE49-F238E27FC236}">
                <a16:creationId xmlns:a16="http://schemas.microsoft.com/office/drawing/2014/main" id="{C5D15AE8-7C91-478D-804C-0A2D27E4B065}"/>
              </a:ext>
            </a:extLst>
          </xdr:cNvPr>
          <xdr:cNvSpPr/>
        </xdr:nvSpPr>
        <xdr:spPr>
          <a:xfrm>
            <a:off x="1202690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3" name="Elipse 482">
            <a:extLst>
              <a:ext uri="{FF2B5EF4-FFF2-40B4-BE49-F238E27FC236}">
                <a16:creationId xmlns:a16="http://schemas.microsoft.com/office/drawing/2014/main" id="{0E7DAD2F-3FE3-4C6C-BBF8-938857756F54}"/>
              </a:ext>
            </a:extLst>
          </xdr:cNvPr>
          <xdr:cNvSpPr/>
        </xdr:nvSpPr>
        <xdr:spPr>
          <a:xfrm>
            <a:off x="120269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4" name="Elipse 483">
            <a:extLst>
              <a:ext uri="{FF2B5EF4-FFF2-40B4-BE49-F238E27FC236}">
                <a16:creationId xmlns:a16="http://schemas.microsoft.com/office/drawing/2014/main" id="{BB34A91B-E206-4FD5-A9C0-DBAB9071FA05}"/>
              </a:ext>
            </a:extLst>
          </xdr:cNvPr>
          <xdr:cNvSpPr/>
        </xdr:nvSpPr>
        <xdr:spPr>
          <a:xfrm>
            <a:off x="14036675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5" name="Elipse 484">
            <a:extLst>
              <a:ext uri="{FF2B5EF4-FFF2-40B4-BE49-F238E27FC236}">
                <a16:creationId xmlns:a16="http://schemas.microsoft.com/office/drawing/2014/main" id="{EDAC03FE-17B9-4E62-99AF-BB05B3D7FBEA}"/>
              </a:ext>
            </a:extLst>
          </xdr:cNvPr>
          <xdr:cNvSpPr/>
        </xdr:nvSpPr>
        <xdr:spPr>
          <a:xfrm>
            <a:off x="14036675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6" name="Elipse 485">
            <a:extLst>
              <a:ext uri="{FF2B5EF4-FFF2-40B4-BE49-F238E27FC236}">
                <a16:creationId xmlns:a16="http://schemas.microsoft.com/office/drawing/2014/main" id="{EFEDAE92-13FF-467C-94F8-7CD55EE38EC3}"/>
              </a:ext>
            </a:extLst>
          </xdr:cNvPr>
          <xdr:cNvSpPr/>
        </xdr:nvSpPr>
        <xdr:spPr>
          <a:xfrm>
            <a:off x="16046450" y="37290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7" name="Elipse 486">
            <a:extLst>
              <a:ext uri="{FF2B5EF4-FFF2-40B4-BE49-F238E27FC236}">
                <a16:creationId xmlns:a16="http://schemas.microsoft.com/office/drawing/2014/main" id="{0BB170B1-C24D-4C85-9694-597111B5273B}"/>
              </a:ext>
            </a:extLst>
          </xdr:cNvPr>
          <xdr:cNvSpPr/>
        </xdr:nvSpPr>
        <xdr:spPr>
          <a:xfrm>
            <a:off x="1604645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8" name="Elipse 487">
            <a:extLst>
              <a:ext uri="{FF2B5EF4-FFF2-40B4-BE49-F238E27FC236}">
                <a16:creationId xmlns:a16="http://schemas.microsoft.com/office/drawing/2014/main" id="{D03BDCE3-E9AD-4D13-B864-C60A8CBE10C8}"/>
              </a:ext>
            </a:extLst>
          </xdr:cNvPr>
          <xdr:cNvSpPr/>
        </xdr:nvSpPr>
        <xdr:spPr>
          <a:xfrm>
            <a:off x="8052251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9" name="Elipse 488">
            <a:extLst>
              <a:ext uri="{FF2B5EF4-FFF2-40B4-BE49-F238E27FC236}">
                <a16:creationId xmlns:a16="http://schemas.microsoft.com/office/drawing/2014/main" id="{1B893FFF-4DAA-4F2C-81DA-F3061B1C09E2}"/>
              </a:ext>
            </a:extLst>
          </xdr:cNvPr>
          <xdr:cNvSpPr/>
        </xdr:nvSpPr>
        <xdr:spPr>
          <a:xfrm>
            <a:off x="9972224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0" name="Elipse 489">
            <a:extLst>
              <a:ext uri="{FF2B5EF4-FFF2-40B4-BE49-F238E27FC236}">
                <a16:creationId xmlns:a16="http://schemas.microsoft.com/office/drawing/2014/main" id="{CBE06F74-1AA8-48F9-84CC-132D7E5CB8C4}"/>
              </a:ext>
            </a:extLst>
          </xdr:cNvPr>
          <xdr:cNvSpPr/>
        </xdr:nvSpPr>
        <xdr:spPr>
          <a:xfrm>
            <a:off x="10062026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1" name="Elipse 490">
            <a:extLst>
              <a:ext uri="{FF2B5EF4-FFF2-40B4-BE49-F238E27FC236}">
                <a16:creationId xmlns:a16="http://schemas.microsoft.com/office/drawing/2014/main" id="{2AF25A75-1E6E-4A8B-B78F-D025EEEC47D1}"/>
              </a:ext>
            </a:extLst>
          </xdr:cNvPr>
          <xdr:cNvSpPr/>
        </xdr:nvSpPr>
        <xdr:spPr>
          <a:xfrm>
            <a:off x="11981999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2" name="Elipse 491">
            <a:extLst>
              <a:ext uri="{FF2B5EF4-FFF2-40B4-BE49-F238E27FC236}">
                <a16:creationId xmlns:a16="http://schemas.microsoft.com/office/drawing/2014/main" id="{0BA889C9-CBB8-4628-892E-C27F0ABAF6D3}"/>
              </a:ext>
            </a:extLst>
          </xdr:cNvPr>
          <xdr:cNvSpPr/>
        </xdr:nvSpPr>
        <xdr:spPr>
          <a:xfrm>
            <a:off x="12071801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3" name="Elipse 492">
            <a:extLst>
              <a:ext uri="{FF2B5EF4-FFF2-40B4-BE49-F238E27FC236}">
                <a16:creationId xmlns:a16="http://schemas.microsoft.com/office/drawing/2014/main" id="{175BB2B0-B2AC-41EC-BE0D-EFA11D74E088}"/>
              </a:ext>
            </a:extLst>
          </xdr:cNvPr>
          <xdr:cNvSpPr/>
        </xdr:nvSpPr>
        <xdr:spPr>
          <a:xfrm>
            <a:off x="13991774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4" name="Elipse 493">
            <a:extLst>
              <a:ext uri="{FF2B5EF4-FFF2-40B4-BE49-F238E27FC236}">
                <a16:creationId xmlns:a16="http://schemas.microsoft.com/office/drawing/2014/main" id="{B6BE24DC-1E48-4DA7-AF2A-B34FDC776FCC}"/>
              </a:ext>
            </a:extLst>
          </xdr:cNvPr>
          <xdr:cNvSpPr/>
        </xdr:nvSpPr>
        <xdr:spPr>
          <a:xfrm>
            <a:off x="14081576" y="374763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5" name="Elipse 494">
            <a:extLst>
              <a:ext uri="{FF2B5EF4-FFF2-40B4-BE49-F238E27FC236}">
                <a16:creationId xmlns:a16="http://schemas.microsoft.com/office/drawing/2014/main" id="{EF23403A-93E6-41D9-8C3E-7645992C5727}"/>
              </a:ext>
            </a:extLst>
          </xdr:cNvPr>
          <xdr:cNvSpPr/>
        </xdr:nvSpPr>
        <xdr:spPr>
          <a:xfrm>
            <a:off x="16001549" y="182766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640585</xdr:colOff>
      <xdr:row>1</xdr:row>
      <xdr:rowOff>109538</xdr:rowOff>
    </xdr:from>
    <xdr:to>
      <xdr:col>16</xdr:col>
      <xdr:colOff>387667</xdr:colOff>
      <xdr:row>3</xdr:row>
      <xdr:rowOff>88538</xdr:rowOff>
    </xdr:to>
    <xdr:grpSp>
      <xdr:nvGrpSpPr>
        <xdr:cNvPr id="1482" name="Agrupar 1481">
          <a:extLst>
            <a:ext uri="{FF2B5EF4-FFF2-40B4-BE49-F238E27FC236}">
              <a16:creationId xmlns:a16="http://schemas.microsoft.com/office/drawing/2014/main" id="{4F8059A3-290A-4D72-AC34-1BD76A9EDFA1}"/>
            </a:ext>
          </a:extLst>
        </xdr:cNvPr>
        <xdr:cNvGrpSpPr/>
      </xdr:nvGrpSpPr>
      <xdr:grpSpPr>
        <a:xfrm>
          <a:off x="12356335" y="286431"/>
          <a:ext cx="1788153" cy="360000"/>
          <a:chOff x="7936176" y="442913"/>
          <a:chExt cx="8293101" cy="4775396"/>
        </a:xfrm>
      </xdr:grpSpPr>
      <xdr:sp macro="" textlink="">
        <xdr:nvSpPr>
          <xdr:cNvPr id="1411" name="Elipse 1410">
            <a:extLst>
              <a:ext uri="{FF2B5EF4-FFF2-40B4-BE49-F238E27FC236}">
                <a16:creationId xmlns:a16="http://schemas.microsoft.com/office/drawing/2014/main" id="{F24E1D28-A6A6-4F4B-A42E-B85A6A893F75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2" name="Elipse 1411">
            <a:extLst>
              <a:ext uri="{FF2B5EF4-FFF2-40B4-BE49-F238E27FC236}">
                <a16:creationId xmlns:a16="http://schemas.microsoft.com/office/drawing/2014/main" id="{563D1F06-2AB6-443C-BD38-3ED0BD391F98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3" name="Elipse 1412">
            <a:extLst>
              <a:ext uri="{FF2B5EF4-FFF2-40B4-BE49-F238E27FC236}">
                <a16:creationId xmlns:a16="http://schemas.microsoft.com/office/drawing/2014/main" id="{745D2702-4C29-4BF2-BA95-951887157E62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4" name="Elipse 1413">
            <a:extLst>
              <a:ext uri="{FF2B5EF4-FFF2-40B4-BE49-F238E27FC236}">
                <a16:creationId xmlns:a16="http://schemas.microsoft.com/office/drawing/2014/main" id="{A288FA95-3872-444A-BAA4-F3456121BDED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5" name="Elipse 1414">
            <a:extLst>
              <a:ext uri="{FF2B5EF4-FFF2-40B4-BE49-F238E27FC236}">
                <a16:creationId xmlns:a16="http://schemas.microsoft.com/office/drawing/2014/main" id="{CB8EE68B-38D9-4F43-846E-22C6742A45DB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6" name="Elipse 1415">
            <a:extLst>
              <a:ext uri="{FF2B5EF4-FFF2-40B4-BE49-F238E27FC236}">
                <a16:creationId xmlns:a16="http://schemas.microsoft.com/office/drawing/2014/main" id="{38E269C9-9830-4261-88FF-C7FC564D958A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7" name="Elipse 1416">
            <a:extLst>
              <a:ext uri="{FF2B5EF4-FFF2-40B4-BE49-F238E27FC236}">
                <a16:creationId xmlns:a16="http://schemas.microsoft.com/office/drawing/2014/main" id="{B95932D4-63D3-4879-B659-F0B46281E10F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8" name="Elipse 1417">
            <a:extLst>
              <a:ext uri="{FF2B5EF4-FFF2-40B4-BE49-F238E27FC236}">
                <a16:creationId xmlns:a16="http://schemas.microsoft.com/office/drawing/2014/main" id="{4ADCD07B-B2AC-4F89-98EB-D148E27D6318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9" name="Elipse 1418">
            <a:extLst>
              <a:ext uri="{FF2B5EF4-FFF2-40B4-BE49-F238E27FC236}">
                <a16:creationId xmlns:a16="http://schemas.microsoft.com/office/drawing/2014/main" id="{0A787D37-D4CF-4550-825E-1FE51946ABB3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0" name="Elipse 1419">
            <a:extLst>
              <a:ext uri="{FF2B5EF4-FFF2-40B4-BE49-F238E27FC236}">
                <a16:creationId xmlns:a16="http://schemas.microsoft.com/office/drawing/2014/main" id="{A4871897-B078-4BC2-8929-1976C88766CF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1" name="Elipse 1420">
            <a:extLst>
              <a:ext uri="{FF2B5EF4-FFF2-40B4-BE49-F238E27FC236}">
                <a16:creationId xmlns:a16="http://schemas.microsoft.com/office/drawing/2014/main" id="{30A76511-DD0A-48E0-9E2B-0B77EBE24AFD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2" name="Elipse 1421">
            <a:extLst>
              <a:ext uri="{FF2B5EF4-FFF2-40B4-BE49-F238E27FC236}">
                <a16:creationId xmlns:a16="http://schemas.microsoft.com/office/drawing/2014/main" id="{4F566931-C181-48DA-B732-7AE0570C0F20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3" name="Elipse 1422">
            <a:extLst>
              <a:ext uri="{FF2B5EF4-FFF2-40B4-BE49-F238E27FC236}">
                <a16:creationId xmlns:a16="http://schemas.microsoft.com/office/drawing/2014/main" id="{4251108B-EB02-438A-94AB-C8B994874F0C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24" name="Elipse 1423">
            <a:extLst>
              <a:ext uri="{FF2B5EF4-FFF2-40B4-BE49-F238E27FC236}">
                <a16:creationId xmlns:a16="http://schemas.microsoft.com/office/drawing/2014/main" id="{790C6D36-3E3D-4CB2-8AA2-E220AE37D8C2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425" name="Conector reto 1424">
            <a:extLst>
              <a:ext uri="{FF2B5EF4-FFF2-40B4-BE49-F238E27FC236}">
                <a16:creationId xmlns:a16="http://schemas.microsoft.com/office/drawing/2014/main" id="{1FA5335D-0C14-44B1-AAA2-D4CB956ED35E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6" name="Conector reto 1425">
            <a:extLst>
              <a:ext uri="{FF2B5EF4-FFF2-40B4-BE49-F238E27FC236}">
                <a16:creationId xmlns:a16="http://schemas.microsoft.com/office/drawing/2014/main" id="{5CC55CC5-C643-455E-9B16-9FD8F2B327E1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7" name="Conector reto 1426">
            <a:extLst>
              <a:ext uri="{FF2B5EF4-FFF2-40B4-BE49-F238E27FC236}">
                <a16:creationId xmlns:a16="http://schemas.microsoft.com/office/drawing/2014/main" id="{77B9F973-A8D5-47BC-8AB0-2A22DA0B1264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8" name="Conector reto 1427">
            <a:extLst>
              <a:ext uri="{FF2B5EF4-FFF2-40B4-BE49-F238E27FC236}">
                <a16:creationId xmlns:a16="http://schemas.microsoft.com/office/drawing/2014/main" id="{8F6F6DDF-DCD4-4C37-9D78-8642BF76B48A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9" name="Conector reto 1428">
            <a:extLst>
              <a:ext uri="{FF2B5EF4-FFF2-40B4-BE49-F238E27FC236}">
                <a16:creationId xmlns:a16="http://schemas.microsoft.com/office/drawing/2014/main" id="{788EE387-B824-4EB2-B133-6BE751A179A8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0" name="Conector reto 1429">
            <a:extLst>
              <a:ext uri="{FF2B5EF4-FFF2-40B4-BE49-F238E27FC236}">
                <a16:creationId xmlns:a16="http://schemas.microsoft.com/office/drawing/2014/main" id="{E82EDB29-18CC-45D4-B9AA-02EF7981420F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1" name="Conector reto 1430">
            <a:extLst>
              <a:ext uri="{FF2B5EF4-FFF2-40B4-BE49-F238E27FC236}">
                <a16:creationId xmlns:a16="http://schemas.microsoft.com/office/drawing/2014/main" id="{CAAEB1BA-8FE3-4A58-B08D-1F6044B17106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2" name="Conector reto 1431">
            <a:extLst>
              <a:ext uri="{FF2B5EF4-FFF2-40B4-BE49-F238E27FC236}">
                <a16:creationId xmlns:a16="http://schemas.microsoft.com/office/drawing/2014/main" id="{1F59C7E5-992A-4C58-B1B0-B6752AE232D3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3" name="Conector reto 1432">
            <a:extLst>
              <a:ext uri="{FF2B5EF4-FFF2-40B4-BE49-F238E27FC236}">
                <a16:creationId xmlns:a16="http://schemas.microsoft.com/office/drawing/2014/main" id="{C57AACE7-11C8-4DBD-99EC-24B769642D1E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4" name="Conector reto 1433">
            <a:extLst>
              <a:ext uri="{FF2B5EF4-FFF2-40B4-BE49-F238E27FC236}">
                <a16:creationId xmlns:a16="http://schemas.microsoft.com/office/drawing/2014/main" id="{B59D016A-EBAA-4BC2-BB35-F98B8C52258C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5" name="Conector reto 1434">
            <a:extLst>
              <a:ext uri="{FF2B5EF4-FFF2-40B4-BE49-F238E27FC236}">
                <a16:creationId xmlns:a16="http://schemas.microsoft.com/office/drawing/2014/main" id="{6BDE4E19-F3ED-4886-926B-3697470E25EB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6" name="Conector reto 1435">
            <a:extLst>
              <a:ext uri="{FF2B5EF4-FFF2-40B4-BE49-F238E27FC236}">
                <a16:creationId xmlns:a16="http://schemas.microsoft.com/office/drawing/2014/main" id="{CD14F987-3504-41F0-A428-7D07A32579A8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7" name="Conector reto 1436">
            <a:extLst>
              <a:ext uri="{FF2B5EF4-FFF2-40B4-BE49-F238E27FC236}">
                <a16:creationId xmlns:a16="http://schemas.microsoft.com/office/drawing/2014/main" id="{9EDD3692-D8D7-4349-8DA7-DE67D284D267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8" name="Conector reto 1437">
            <a:extLst>
              <a:ext uri="{FF2B5EF4-FFF2-40B4-BE49-F238E27FC236}">
                <a16:creationId xmlns:a16="http://schemas.microsoft.com/office/drawing/2014/main" id="{1EF0D31C-FE32-42AD-97F3-C861351A6FFB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9" name="Conector reto 1438">
            <a:extLst>
              <a:ext uri="{FF2B5EF4-FFF2-40B4-BE49-F238E27FC236}">
                <a16:creationId xmlns:a16="http://schemas.microsoft.com/office/drawing/2014/main" id="{3E009846-CF41-4FAA-A9E6-E75E73FF6FF3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0" name="Conector reto 1439">
            <a:extLst>
              <a:ext uri="{FF2B5EF4-FFF2-40B4-BE49-F238E27FC236}">
                <a16:creationId xmlns:a16="http://schemas.microsoft.com/office/drawing/2014/main" id="{6B2DF147-4EF7-47D5-846E-55EF65010988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1" name="Conector reto 1440">
            <a:extLst>
              <a:ext uri="{FF2B5EF4-FFF2-40B4-BE49-F238E27FC236}">
                <a16:creationId xmlns:a16="http://schemas.microsoft.com/office/drawing/2014/main" id="{168EF06B-D1A1-4F5E-9A2C-F9C103C63103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2" name="Conector reto 1441">
            <a:extLst>
              <a:ext uri="{FF2B5EF4-FFF2-40B4-BE49-F238E27FC236}">
                <a16:creationId xmlns:a16="http://schemas.microsoft.com/office/drawing/2014/main" id="{FD52AFBB-FCB4-4065-AF26-0FE2B21786B2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3" name="Conector reto 1442">
            <a:extLst>
              <a:ext uri="{FF2B5EF4-FFF2-40B4-BE49-F238E27FC236}">
                <a16:creationId xmlns:a16="http://schemas.microsoft.com/office/drawing/2014/main" id="{6702FF9D-B680-4464-9CBB-962A2B2AD76A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4" name="Conector reto 1443">
            <a:extLst>
              <a:ext uri="{FF2B5EF4-FFF2-40B4-BE49-F238E27FC236}">
                <a16:creationId xmlns:a16="http://schemas.microsoft.com/office/drawing/2014/main" id="{D211B4BD-9A5F-4CDD-842E-F6E545A017A8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5" name="Conector reto 1444">
            <a:extLst>
              <a:ext uri="{FF2B5EF4-FFF2-40B4-BE49-F238E27FC236}">
                <a16:creationId xmlns:a16="http://schemas.microsoft.com/office/drawing/2014/main" id="{739681DC-58F4-495F-8843-B204566ACEAA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6" name="Conector reto 1445">
            <a:extLst>
              <a:ext uri="{FF2B5EF4-FFF2-40B4-BE49-F238E27FC236}">
                <a16:creationId xmlns:a16="http://schemas.microsoft.com/office/drawing/2014/main" id="{89F144E2-D051-40F7-9CF4-19FC0119F386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7" name="Conector reto 1446">
            <a:extLst>
              <a:ext uri="{FF2B5EF4-FFF2-40B4-BE49-F238E27FC236}">
                <a16:creationId xmlns:a16="http://schemas.microsoft.com/office/drawing/2014/main" id="{8BE69C46-4314-4205-90EA-73DEE118BD01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8" name="Conector reto 1447">
            <a:extLst>
              <a:ext uri="{FF2B5EF4-FFF2-40B4-BE49-F238E27FC236}">
                <a16:creationId xmlns:a16="http://schemas.microsoft.com/office/drawing/2014/main" id="{E9B4D1D8-402D-4AA5-8FA9-4E369134D5FB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9" name="Conector reto 1448">
            <a:extLst>
              <a:ext uri="{FF2B5EF4-FFF2-40B4-BE49-F238E27FC236}">
                <a16:creationId xmlns:a16="http://schemas.microsoft.com/office/drawing/2014/main" id="{656B98B5-958E-4A5D-A7B1-A7CDAD8FF841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0" name="Forma Livre: Forma 1449">
            <a:extLst>
              <a:ext uri="{FF2B5EF4-FFF2-40B4-BE49-F238E27FC236}">
                <a16:creationId xmlns:a16="http://schemas.microsoft.com/office/drawing/2014/main" id="{C0DD1154-0776-42C9-8AF2-6DA6FD3C8089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1" name="Forma Livre: Forma 1450">
            <a:extLst>
              <a:ext uri="{FF2B5EF4-FFF2-40B4-BE49-F238E27FC236}">
                <a16:creationId xmlns:a16="http://schemas.microsoft.com/office/drawing/2014/main" id="{4E261044-72A8-408D-8189-290796E51A28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2" name="Forma Livre: Forma 1451">
            <a:extLst>
              <a:ext uri="{FF2B5EF4-FFF2-40B4-BE49-F238E27FC236}">
                <a16:creationId xmlns:a16="http://schemas.microsoft.com/office/drawing/2014/main" id="{256A6DB3-9583-4576-93C6-768A43D61977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3" name="Forma Livre: Forma 1452">
            <a:extLst>
              <a:ext uri="{FF2B5EF4-FFF2-40B4-BE49-F238E27FC236}">
                <a16:creationId xmlns:a16="http://schemas.microsoft.com/office/drawing/2014/main" id="{AC9D007B-6793-4801-96AB-5131031A7666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4" name="Forma Livre: Forma 1453">
            <a:extLst>
              <a:ext uri="{FF2B5EF4-FFF2-40B4-BE49-F238E27FC236}">
                <a16:creationId xmlns:a16="http://schemas.microsoft.com/office/drawing/2014/main" id="{43DCB680-315A-46AE-A220-9E06A9421366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5" name="Forma Livre: Forma 1454">
            <a:extLst>
              <a:ext uri="{FF2B5EF4-FFF2-40B4-BE49-F238E27FC236}">
                <a16:creationId xmlns:a16="http://schemas.microsoft.com/office/drawing/2014/main" id="{548A662C-FB20-443F-A35A-D188812D2689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6" name="Elipse 1455">
            <a:extLst>
              <a:ext uri="{FF2B5EF4-FFF2-40B4-BE49-F238E27FC236}">
                <a16:creationId xmlns:a16="http://schemas.microsoft.com/office/drawing/2014/main" id="{24DCBA2B-B2AD-4C6B-8A0B-3999268C7E87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7" name="Elipse 1456">
            <a:extLst>
              <a:ext uri="{FF2B5EF4-FFF2-40B4-BE49-F238E27FC236}">
                <a16:creationId xmlns:a16="http://schemas.microsoft.com/office/drawing/2014/main" id="{E1E62AED-6E79-45A1-92A2-EA9922F1E3AD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8" name="Elipse 1457">
            <a:extLst>
              <a:ext uri="{FF2B5EF4-FFF2-40B4-BE49-F238E27FC236}">
                <a16:creationId xmlns:a16="http://schemas.microsoft.com/office/drawing/2014/main" id="{80240E6F-12D8-42B2-866D-E5B479E65E4E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9" name="Elipse 1458">
            <a:extLst>
              <a:ext uri="{FF2B5EF4-FFF2-40B4-BE49-F238E27FC236}">
                <a16:creationId xmlns:a16="http://schemas.microsoft.com/office/drawing/2014/main" id="{47E8803D-8B8D-49E1-93AC-4026523BC2F8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0" name="Elipse 1459">
            <a:extLst>
              <a:ext uri="{FF2B5EF4-FFF2-40B4-BE49-F238E27FC236}">
                <a16:creationId xmlns:a16="http://schemas.microsoft.com/office/drawing/2014/main" id="{47B99BE5-C056-401A-BCD9-ED20374007DA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1" name="Elipse 1460">
            <a:extLst>
              <a:ext uri="{FF2B5EF4-FFF2-40B4-BE49-F238E27FC236}">
                <a16:creationId xmlns:a16="http://schemas.microsoft.com/office/drawing/2014/main" id="{A225E5F9-8E3B-48F3-9503-75DF9D8CBA0E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2" name="Elipse 1461">
            <a:extLst>
              <a:ext uri="{FF2B5EF4-FFF2-40B4-BE49-F238E27FC236}">
                <a16:creationId xmlns:a16="http://schemas.microsoft.com/office/drawing/2014/main" id="{453E5D90-9B41-4E19-951D-7D5B7936A131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3" name="Elipse 1462">
            <a:extLst>
              <a:ext uri="{FF2B5EF4-FFF2-40B4-BE49-F238E27FC236}">
                <a16:creationId xmlns:a16="http://schemas.microsoft.com/office/drawing/2014/main" id="{09D36219-3BEC-4966-85A1-19E141D291F0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4" name="Elipse 1463">
            <a:extLst>
              <a:ext uri="{FF2B5EF4-FFF2-40B4-BE49-F238E27FC236}">
                <a16:creationId xmlns:a16="http://schemas.microsoft.com/office/drawing/2014/main" id="{5C67FE1E-CB37-4173-B40A-F81854485002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5" name="Elipse 1464">
            <a:extLst>
              <a:ext uri="{FF2B5EF4-FFF2-40B4-BE49-F238E27FC236}">
                <a16:creationId xmlns:a16="http://schemas.microsoft.com/office/drawing/2014/main" id="{13741199-9A56-457B-ABF6-02AD87253F8E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6" name="Elipse 1465">
            <a:extLst>
              <a:ext uri="{FF2B5EF4-FFF2-40B4-BE49-F238E27FC236}">
                <a16:creationId xmlns:a16="http://schemas.microsoft.com/office/drawing/2014/main" id="{06CF7F77-88AA-443E-85B7-2BCE7C0A5A7D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7" name="Elipse 1466">
            <a:extLst>
              <a:ext uri="{FF2B5EF4-FFF2-40B4-BE49-F238E27FC236}">
                <a16:creationId xmlns:a16="http://schemas.microsoft.com/office/drawing/2014/main" id="{EEC2F5D2-8F9F-4664-B039-261A4B49FFF9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8" name="Elipse 1467">
            <a:extLst>
              <a:ext uri="{FF2B5EF4-FFF2-40B4-BE49-F238E27FC236}">
                <a16:creationId xmlns:a16="http://schemas.microsoft.com/office/drawing/2014/main" id="{8ED314C6-2339-4246-BB0F-F5240F3F94AB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9" name="Elipse 1468">
            <a:extLst>
              <a:ext uri="{FF2B5EF4-FFF2-40B4-BE49-F238E27FC236}">
                <a16:creationId xmlns:a16="http://schemas.microsoft.com/office/drawing/2014/main" id="{98E68347-0B8E-4329-B9C0-FC8E8BD2CA75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0" name="Elipse 1469">
            <a:extLst>
              <a:ext uri="{FF2B5EF4-FFF2-40B4-BE49-F238E27FC236}">
                <a16:creationId xmlns:a16="http://schemas.microsoft.com/office/drawing/2014/main" id="{00CFBC8C-53EE-45FD-81C8-A019ACA311C9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1" name="Elipse 1470">
            <a:extLst>
              <a:ext uri="{FF2B5EF4-FFF2-40B4-BE49-F238E27FC236}">
                <a16:creationId xmlns:a16="http://schemas.microsoft.com/office/drawing/2014/main" id="{44D597A0-5EEE-4E3D-A973-78D2F30E083A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2" name="Elipse 1471">
            <a:extLst>
              <a:ext uri="{FF2B5EF4-FFF2-40B4-BE49-F238E27FC236}">
                <a16:creationId xmlns:a16="http://schemas.microsoft.com/office/drawing/2014/main" id="{711E5C44-53A0-4B54-AF9B-9A242C3E3503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3" name="Elipse 1472">
            <a:extLst>
              <a:ext uri="{FF2B5EF4-FFF2-40B4-BE49-F238E27FC236}">
                <a16:creationId xmlns:a16="http://schemas.microsoft.com/office/drawing/2014/main" id="{9CB59E0E-79D5-4873-802A-4B0DC8A57C74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4" name="Elipse 1473">
            <a:extLst>
              <a:ext uri="{FF2B5EF4-FFF2-40B4-BE49-F238E27FC236}">
                <a16:creationId xmlns:a16="http://schemas.microsoft.com/office/drawing/2014/main" id="{E81030BF-2C5C-41B8-93E5-1940D50A3941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5" name="Elipse 1474">
            <a:extLst>
              <a:ext uri="{FF2B5EF4-FFF2-40B4-BE49-F238E27FC236}">
                <a16:creationId xmlns:a16="http://schemas.microsoft.com/office/drawing/2014/main" id="{07FE6DA7-7669-4D16-B638-AE2DA45EEC11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6" name="Elipse 1475">
            <a:extLst>
              <a:ext uri="{FF2B5EF4-FFF2-40B4-BE49-F238E27FC236}">
                <a16:creationId xmlns:a16="http://schemas.microsoft.com/office/drawing/2014/main" id="{DD45847E-AC4F-4626-AEFF-8CD25FD6A092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7" name="Elipse 1476">
            <a:extLst>
              <a:ext uri="{FF2B5EF4-FFF2-40B4-BE49-F238E27FC236}">
                <a16:creationId xmlns:a16="http://schemas.microsoft.com/office/drawing/2014/main" id="{703803F6-5AAB-4D08-930F-5F63E93D404F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8" name="Elipse 1477">
            <a:extLst>
              <a:ext uri="{FF2B5EF4-FFF2-40B4-BE49-F238E27FC236}">
                <a16:creationId xmlns:a16="http://schemas.microsoft.com/office/drawing/2014/main" id="{8A004CB4-C092-4CD6-A355-B46DA5212349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9" name="Elipse 1478">
            <a:extLst>
              <a:ext uri="{FF2B5EF4-FFF2-40B4-BE49-F238E27FC236}">
                <a16:creationId xmlns:a16="http://schemas.microsoft.com/office/drawing/2014/main" id="{47837990-A830-4B1B-8B2A-28E07309FAD0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0" name="Elipse 1479">
            <a:extLst>
              <a:ext uri="{FF2B5EF4-FFF2-40B4-BE49-F238E27FC236}">
                <a16:creationId xmlns:a16="http://schemas.microsoft.com/office/drawing/2014/main" id="{B8A1B227-B5F6-4F84-9E10-B13D14E57F81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1" name="Elipse 1480">
            <a:extLst>
              <a:ext uri="{FF2B5EF4-FFF2-40B4-BE49-F238E27FC236}">
                <a16:creationId xmlns:a16="http://schemas.microsoft.com/office/drawing/2014/main" id="{E2B886E7-A615-496D-9870-76B010037C4C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640026</xdr:colOff>
      <xdr:row>4</xdr:row>
      <xdr:rowOff>100013</xdr:rowOff>
    </xdr:from>
    <xdr:to>
      <xdr:col>16</xdr:col>
      <xdr:colOff>382626</xdr:colOff>
      <xdr:row>6</xdr:row>
      <xdr:rowOff>98063</xdr:rowOff>
    </xdr:to>
    <xdr:grpSp>
      <xdr:nvGrpSpPr>
        <xdr:cNvPr id="1554" name="Agrupar 1553">
          <a:extLst>
            <a:ext uri="{FF2B5EF4-FFF2-40B4-BE49-F238E27FC236}">
              <a16:creationId xmlns:a16="http://schemas.microsoft.com/office/drawing/2014/main" id="{BDA93B30-0B1E-41F4-9866-495F30075A2B}"/>
            </a:ext>
          </a:extLst>
        </xdr:cNvPr>
        <xdr:cNvGrpSpPr/>
      </xdr:nvGrpSpPr>
      <xdr:grpSpPr>
        <a:xfrm>
          <a:off x="12355776" y="834799"/>
          <a:ext cx="1783671" cy="351835"/>
          <a:chOff x="7936176" y="442913"/>
          <a:chExt cx="8293101" cy="4775396"/>
        </a:xfrm>
      </xdr:grpSpPr>
      <xdr:sp macro="" textlink="">
        <xdr:nvSpPr>
          <xdr:cNvPr id="1483" name="Elipse 1482">
            <a:extLst>
              <a:ext uri="{FF2B5EF4-FFF2-40B4-BE49-F238E27FC236}">
                <a16:creationId xmlns:a16="http://schemas.microsoft.com/office/drawing/2014/main" id="{F52EDBB1-E6D7-4C50-A64E-074C87E49B51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4" name="Elipse 1483">
            <a:extLst>
              <a:ext uri="{FF2B5EF4-FFF2-40B4-BE49-F238E27FC236}">
                <a16:creationId xmlns:a16="http://schemas.microsoft.com/office/drawing/2014/main" id="{817E0E85-4C3F-4EE6-A3EA-2D1E4FDD8D47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5" name="Elipse 1484">
            <a:extLst>
              <a:ext uri="{FF2B5EF4-FFF2-40B4-BE49-F238E27FC236}">
                <a16:creationId xmlns:a16="http://schemas.microsoft.com/office/drawing/2014/main" id="{6E7C0ADE-D01A-4532-AC9B-36D802AE930C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6" name="Elipse 1485">
            <a:extLst>
              <a:ext uri="{FF2B5EF4-FFF2-40B4-BE49-F238E27FC236}">
                <a16:creationId xmlns:a16="http://schemas.microsoft.com/office/drawing/2014/main" id="{62C0C3EA-6EAD-4929-B55E-FAC1444D07AF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7" name="Elipse 1486">
            <a:extLst>
              <a:ext uri="{FF2B5EF4-FFF2-40B4-BE49-F238E27FC236}">
                <a16:creationId xmlns:a16="http://schemas.microsoft.com/office/drawing/2014/main" id="{BF63D64E-4C6E-4A7B-A2F2-65BB45E43BFC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8" name="Elipse 1487">
            <a:extLst>
              <a:ext uri="{FF2B5EF4-FFF2-40B4-BE49-F238E27FC236}">
                <a16:creationId xmlns:a16="http://schemas.microsoft.com/office/drawing/2014/main" id="{1EF034E6-E32D-4B5D-A8A3-5125E4E65B03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89" name="Elipse 1488">
            <a:extLst>
              <a:ext uri="{FF2B5EF4-FFF2-40B4-BE49-F238E27FC236}">
                <a16:creationId xmlns:a16="http://schemas.microsoft.com/office/drawing/2014/main" id="{549F715E-38B3-4A13-A8B9-19DE1924EAFC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0" name="Elipse 1489">
            <a:extLst>
              <a:ext uri="{FF2B5EF4-FFF2-40B4-BE49-F238E27FC236}">
                <a16:creationId xmlns:a16="http://schemas.microsoft.com/office/drawing/2014/main" id="{6F2A7EDF-07D8-4C31-87B4-F7912AC61E22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1" name="Elipse 1490">
            <a:extLst>
              <a:ext uri="{FF2B5EF4-FFF2-40B4-BE49-F238E27FC236}">
                <a16:creationId xmlns:a16="http://schemas.microsoft.com/office/drawing/2014/main" id="{0036CFA9-FB0B-4F78-8CBE-F5244834AD75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2" name="Elipse 1491">
            <a:extLst>
              <a:ext uri="{FF2B5EF4-FFF2-40B4-BE49-F238E27FC236}">
                <a16:creationId xmlns:a16="http://schemas.microsoft.com/office/drawing/2014/main" id="{F73E71C0-8A91-4CE9-B709-464183570090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3" name="Elipse 1492">
            <a:extLst>
              <a:ext uri="{FF2B5EF4-FFF2-40B4-BE49-F238E27FC236}">
                <a16:creationId xmlns:a16="http://schemas.microsoft.com/office/drawing/2014/main" id="{609F3AF4-3794-48C3-8877-31288EF92AA0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4" name="Elipse 1493">
            <a:extLst>
              <a:ext uri="{FF2B5EF4-FFF2-40B4-BE49-F238E27FC236}">
                <a16:creationId xmlns:a16="http://schemas.microsoft.com/office/drawing/2014/main" id="{7FCFEDBF-2344-44CA-9467-BB368AD9EE94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5" name="Elipse 1494">
            <a:extLst>
              <a:ext uri="{FF2B5EF4-FFF2-40B4-BE49-F238E27FC236}">
                <a16:creationId xmlns:a16="http://schemas.microsoft.com/office/drawing/2014/main" id="{2265F3E6-CDD9-4FA2-B178-B1D7AEE309D8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96" name="Elipse 1495">
            <a:extLst>
              <a:ext uri="{FF2B5EF4-FFF2-40B4-BE49-F238E27FC236}">
                <a16:creationId xmlns:a16="http://schemas.microsoft.com/office/drawing/2014/main" id="{317A8EED-ACBE-466E-87F6-C092D9A48BE1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497" name="Conector reto 1496">
            <a:extLst>
              <a:ext uri="{FF2B5EF4-FFF2-40B4-BE49-F238E27FC236}">
                <a16:creationId xmlns:a16="http://schemas.microsoft.com/office/drawing/2014/main" id="{65C0F71C-DE01-489D-97EC-ED749445AB2F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8" name="Conector reto 1497">
            <a:extLst>
              <a:ext uri="{FF2B5EF4-FFF2-40B4-BE49-F238E27FC236}">
                <a16:creationId xmlns:a16="http://schemas.microsoft.com/office/drawing/2014/main" id="{BB1B39BA-827C-4ED9-B68E-B49DDEE71CE4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9" name="Conector reto 1498">
            <a:extLst>
              <a:ext uri="{FF2B5EF4-FFF2-40B4-BE49-F238E27FC236}">
                <a16:creationId xmlns:a16="http://schemas.microsoft.com/office/drawing/2014/main" id="{8CA1A3C8-89BC-4516-BC9F-155F165EB08A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0" name="Conector reto 1499">
            <a:extLst>
              <a:ext uri="{FF2B5EF4-FFF2-40B4-BE49-F238E27FC236}">
                <a16:creationId xmlns:a16="http://schemas.microsoft.com/office/drawing/2014/main" id="{578B6898-61BC-4DD2-8875-DAB9A978723E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1" name="Conector reto 1500">
            <a:extLst>
              <a:ext uri="{FF2B5EF4-FFF2-40B4-BE49-F238E27FC236}">
                <a16:creationId xmlns:a16="http://schemas.microsoft.com/office/drawing/2014/main" id="{6424D7C2-1D2B-458F-B079-6E4CEE59429E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2" name="Conector reto 1501">
            <a:extLst>
              <a:ext uri="{FF2B5EF4-FFF2-40B4-BE49-F238E27FC236}">
                <a16:creationId xmlns:a16="http://schemas.microsoft.com/office/drawing/2014/main" id="{8772938F-8D27-4F1A-9965-EFB85A54A791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3" name="Conector reto 1502">
            <a:extLst>
              <a:ext uri="{FF2B5EF4-FFF2-40B4-BE49-F238E27FC236}">
                <a16:creationId xmlns:a16="http://schemas.microsoft.com/office/drawing/2014/main" id="{7DAABE8E-E45A-4999-8BBD-231670BDED32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4" name="Conector reto 1503">
            <a:extLst>
              <a:ext uri="{FF2B5EF4-FFF2-40B4-BE49-F238E27FC236}">
                <a16:creationId xmlns:a16="http://schemas.microsoft.com/office/drawing/2014/main" id="{553D29A8-C42B-4800-880E-D38DE0975A3E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5" name="Conector reto 1504">
            <a:extLst>
              <a:ext uri="{FF2B5EF4-FFF2-40B4-BE49-F238E27FC236}">
                <a16:creationId xmlns:a16="http://schemas.microsoft.com/office/drawing/2014/main" id="{7303FB69-5E28-4270-AFEE-10051F457159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6" name="Conector reto 1505">
            <a:extLst>
              <a:ext uri="{FF2B5EF4-FFF2-40B4-BE49-F238E27FC236}">
                <a16:creationId xmlns:a16="http://schemas.microsoft.com/office/drawing/2014/main" id="{91830EF6-F53D-41FB-9C1C-24F85D8040F8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7" name="Conector reto 1506">
            <a:extLst>
              <a:ext uri="{FF2B5EF4-FFF2-40B4-BE49-F238E27FC236}">
                <a16:creationId xmlns:a16="http://schemas.microsoft.com/office/drawing/2014/main" id="{66B40A64-1C0E-4758-9EA3-C3C5D299494A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8" name="Conector reto 1507">
            <a:extLst>
              <a:ext uri="{FF2B5EF4-FFF2-40B4-BE49-F238E27FC236}">
                <a16:creationId xmlns:a16="http://schemas.microsoft.com/office/drawing/2014/main" id="{79AA7DCB-50CB-4B26-8C55-00ABDEF06BF9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9" name="Conector reto 1508">
            <a:extLst>
              <a:ext uri="{FF2B5EF4-FFF2-40B4-BE49-F238E27FC236}">
                <a16:creationId xmlns:a16="http://schemas.microsoft.com/office/drawing/2014/main" id="{5EC2603B-D657-4F16-8E0C-2D0B30221029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0" name="Conector reto 1509">
            <a:extLst>
              <a:ext uri="{FF2B5EF4-FFF2-40B4-BE49-F238E27FC236}">
                <a16:creationId xmlns:a16="http://schemas.microsoft.com/office/drawing/2014/main" id="{989BD5A5-BDA5-4EDC-931C-D4EAC2F2E74A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1" name="Conector reto 1510">
            <a:extLst>
              <a:ext uri="{FF2B5EF4-FFF2-40B4-BE49-F238E27FC236}">
                <a16:creationId xmlns:a16="http://schemas.microsoft.com/office/drawing/2014/main" id="{D47043D6-B8CB-4204-B2ED-51AA6EC8A2EF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2" name="Conector reto 1511">
            <a:extLst>
              <a:ext uri="{FF2B5EF4-FFF2-40B4-BE49-F238E27FC236}">
                <a16:creationId xmlns:a16="http://schemas.microsoft.com/office/drawing/2014/main" id="{4DFD6B50-CACC-48F2-B8EA-78406343ABDE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3" name="Conector reto 1512">
            <a:extLst>
              <a:ext uri="{FF2B5EF4-FFF2-40B4-BE49-F238E27FC236}">
                <a16:creationId xmlns:a16="http://schemas.microsoft.com/office/drawing/2014/main" id="{E6A886B6-850B-482A-9145-91AE71B2FE06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4" name="Conector reto 1513">
            <a:extLst>
              <a:ext uri="{FF2B5EF4-FFF2-40B4-BE49-F238E27FC236}">
                <a16:creationId xmlns:a16="http://schemas.microsoft.com/office/drawing/2014/main" id="{42D6DC23-EA3E-4A87-9EFA-9F34D769477B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5" name="Conector reto 1514">
            <a:extLst>
              <a:ext uri="{FF2B5EF4-FFF2-40B4-BE49-F238E27FC236}">
                <a16:creationId xmlns:a16="http://schemas.microsoft.com/office/drawing/2014/main" id="{F4033019-DFC6-44BE-AB96-09B4CFD321F7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6" name="Conector reto 1515">
            <a:extLst>
              <a:ext uri="{FF2B5EF4-FFF2-40B4-BE49-F238E27FC236}">
                <a16:creationId xmlns:a16="http://schemas.microsoft.com/office/drawing/2014/main" id="{D297B35D-66CB-4CB1-983A-58C41FDB3D9E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7" name="Conector reto 1516">
            <a:extLst>
              <a:ext uri="{FF2B5EF4-FFF2-40B4-BE49-F238E27FC236}">
                <a16:creationId xmlns:a16="http://schemas.microsoft.com/office/drawing/2014/main" id="{7C4150BD-66B4-4167-A4BB-1EEE17B249D9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8" name="Conector reto 1517">
            <a:extLst>
              <a:ext uri="{FF2B5EF4-FFF2-40B4-BE49-F238E27FC236}">
                <a16:creationId xmlns:a16="http://schemas.microsoft.com/office/drawing/2014/main" id="{56991436-45A1-4881-9689-EB16E678AEEE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9" name="Conector reto 1518">
            <a:extLst>
              <a:ext uri="{FF2B5EF4-FFF2-40B4-BE49-F238E27FC236}">
                <a16:creationId xmlns:a16="http://schemas.microsoft.com/office/drawing/2014/main" id="{D1EE9D17-5EB4-41DE-9F2F-294950C00702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20" name="Conector reto 1519">
            <a:extLst>
              <a:ext uri="{FF2B5EF4-FFF2-40B4-BE49-F238E27FC236}">
                <a16:creationId xmlns:a16="http://schemas.microsoft.com/office/drawing/2014/main" id="{B3557B52-C1A5-4C2F-A7E4-38741912928A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21" name="Conector reto 1520">
            <a:extLst>
              <a:ext uri="{FF2B5EF4-FFF2-40B4-BE49-F238E27FC236}">
                <a16:creationId xmlns:a16="http://schemas.microsoft.com/office/drawing/2014/main" id="{A43A8B7C-96CD-4B6A-8711-A48C8768CC59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2" name="Forma Livre: Forma 1521">
            <a:extLst>
              <a:ext uri="{FF2B5EF4-FFF2-40B4-BE49-F238E27FC236}">
                <a16:creationId xmlns:a16="http://schemas.microsoft.com/office/drawing/2014/main" id="{9ADB46EB-C82E-47EB-BDAA-5877698BAE3E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3" name="Forma Livre: Forma 1522">
            <a:extLst>
              <a:ext uri="{FF2B5EF4-FFF2-40B4-BE49-F238E27FC236}">
                <a16:creationId xmlns:a16="http://schemas.microsoft.com/office/drawing/2014/main" id="{A1EE7FFB-4DBA-466C-986C-DCAD90BFB145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4" name="Forma Livre: Forma 1523">
            <a:extLst>
              <a:ext uri="{FF2B5EF4-FFF2-40B4-BE49-F238E27FC236}">
                <a16:creationId xmlns:a16="http://schemas.microsoft.com/office/drawing/2014/main" id="{B608DCFC-4FD1-44F6-B465-9875168E4138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5" name="Forma Livre: Forma 1524">
            <a:extLst>
              <a:ext uri="{FF2B5EF4-FFF2-40B4-BE49-F238E27FC236}">
                <a16:creationId xmlns:a16="http://schemas.microsoft.com/office/drawing/2014/main" id="{D7AB4DF6-9CF1-41CB-8C63-7A6374149AE6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6" name="Forma Livre: Forma 1525">
            <a:extLst>
              <a:ext uri="{FF2B5EF4-FFF2-40B4-BE49-F238E27FC236}">
                <a16:creationId xmlns:a16="http://schemas.microsoft.com/office/drawing/2014/main" id="{79728D49-AF8D-4AD3-987E-BCFB43D626E4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7" name="Forma Livre: Forma 1526">
            <a:extLst>
              <a:ext uri="{FF2B5EF4-FFF2-40B4-BE49-F238E27FC236}">
                <a16:creationId xmlns:a16="http://schemas.microsoft.com/office/drawing/2014/main" id="{2B05EEAD-6A3F-4632-A027-B3BA7016A086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8" name="Elipse 1527">
            <a:extLst>
              <a:ext uri="{FF2B5EF4-FFF2-40B4-BE49-F238E27FC236}">
                <a16:creationId xmlns:a16="http://schemas.microsoft.com/office/drawing/2014/main" id="{388922D8-14DA-4F01-90D3-E0357EED87D5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29" name="Elipse 1528">
            <a:extLst>
              <a:ext uri="{FF2B5EF4-FFF2-40B4-BE49-F238E27FC236}">
                <a16:creationId xmlns:a16="http://schemas.microsoft.com/office/drawing/2014/main" id="{24F89F8A-BDA6-4F28-B76F-7C6AD02783D1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0" name="Elipse 1529">
            <a:extLst>
              <a:ext uri="{FF2B5EF4-FFF2-40B4-BE49-F238E27FC236}">
                <a16:creationId xmlns:a16="http://schemas.microsoft.com/office/drawing/2014/main" id="{72A5782E-7E50-4B3B-A9AC-980551F34413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1" name="Elipse 1530">
            <a:extLst>
              <a:ext uri="{FF2B5EF4-FFF2-40B4-BE49-F238E27FC236}">
                <a16:creationId xmlns:a16="http://schemas.microsoft.com/office/drawing/2014/main" id="{8F8CC8CC-FBBA-4E5A-A580-2B2079D045FE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2" name="Elipse 1531">
            <a:extLst>
              <a:ext uri="{FF2B5EF4-FFF2-40B4-BE49-F238E27FC236}">
                <a16:creationId xmlns:a16="http://schemas.microsoft.com/office/drawing/2014/main" id="{32D50DE0-0229-4715-AE11-0B34FFBA85C5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3" name="Elipse 1532">
            <a:extLst>
              <a:ext uri="{FF2B5EF4-FFF2-40B4-BE49-F238E27FC236}">
                <a16:creationId xmlns:a16="http://schemas.microsoft.com/office/drawing/2014/main" id="{E3A36859-80DF-4142-A433-789DF3404A26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4" name="Elipse 1533">
            <a:extLst>
              <a:ext uri="{FF2B5EF4-FFF2-40B4-BE49-F238E27FC236}">
                <a16:creationId xmlns:a16="http://schemas.microsoft.com/office/drawing/2014/main" id="{7A6E34C5-A246-438C-B235-F110C661F24F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5" name="Elipse 1534">
            <a:extLst>
              <a:ext uri="{FF2B5EF4-FFF2-40B4-BE49-F238E27FC236}">
                <a16:creationId xmlns:a16="http://schemas.microsoft.com/office/drawing/2014/main" id="{3E278709-1D7D-4C9F-AAFD-76C57B9DCD7C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6" name="Elipse 1535">
            <a:extLst>
              <a:ext uri="{FF2B5EF4-FFF2-40B4-BE49-F238E27FC236}">
                <a16:creationId xmlns:a16="http://schemas.microsoft.com/office/drawing/2014/main" id="{5C238FC6-54BE-4AEC-8EA6-BAF87170595C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7" name="Elipse 1536">
            <a:extLst>
              <a:ext uri="{FF2B5EF4-FFF2-40B4-BE49-F238E27FC236}">
                <a16:creationId xmlns:a16="http://schemas.microsoft.com/office/drawing/2014/main" id="{91FC8736-0524-48EC-9D3A-A79070A9D40D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8" name="Elipse 1537">
            <a:extLst>
              <a:ext uri="{FF2B5EF4-FFF2-40B4-BE49-F238E27FC236}">
                <a16:creationId xmlns:a16="http://schemas.microsoft.com/office/drawing/2014/main" id="{A6DD3C16-B4F1-4533-8A92-032157C798FE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39" name="Elipse 1538">
            <a:extLst>
              <a:ext uri="{FF2B5EF4-FFF2-40B4-BE49-F238E27FC236}">
                <a16:creationId xmlns:a16="http://schemas.microsoft.com/office/drawing/2014/main" id="{D9D0C6DC-86E8-4767-A66A-63E2F058F626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0" name="Elipse 1539">
            <a:extLst>
              <a:ext uri="{FF2B5EF4-FFF2-40B4-BE49-F238E27FC236}">
                <a16:creationId xmlns:a16="http://schemas.microsoft.com/office/drawing/2014/main" id="{0EC2C254-3FF9-4F60-B7F6-43065D375C64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1" name="Elipse 1540">
            <a:extLst>
              <a:ext uri="{FF2B5EF4-FFF2-40B4-BE49-F238E27FC236}">
                <a16:creationId xmlns:a16="http://schemas.microsoft.com/office/drawing/2014/main" id="{F021D8D7-3448-4732-9C2F-BAFE17B30CEE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2" name="Elipse 1541">
            <a:extLst>
              <a:ext uri="{FF2B5EF4-FFF2-40B4-BE49-F238E27FC236}">
                <a16:creationId xmlns:a16="http://schemas.microsoft.com/office/drawing/2014/main" id="{DAE27C16-AE4F-4297-9594-F6C5919DE2F8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3" name="Elipse 1542">
            <a:extLst>
              <a:ext uri="{FF2B5EF4-FFF2-40B4-BE49-F238E27FC236}">
                <a16:creationId xmlns:a16="http://schemas.microsoft.com/office/drawing/2014/main" id="{D533A19F-6EC0-4FE2-A548-4E8A3CAADAC3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4" name="Elipse 1543">
            <a:extLst>
              <a:ext uri="{FF2B5EF4-FFF2-40B4-BE49-F238E27FC236}">
                <a16:creationId xmlns:a16="http://schemas.microsoft.com/office/drawing/2014/main" id="{2A527B44-A65E-465D-96EB-7555F92E8CD3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5" name="Elipse 1544">
            <a:extLst>
              <a:ext uri="{FF2B5EF4-FFF2-40B4-BE49-F238E27FC236}">
                <a16:creationId xmlns:a16="http://schemas.microsoft.com/office/drawing/2014/main" id="{586486E9-F77B-458C-B5CD-616BC2B42269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6" name="Elipse 1545">
            <a:extLst>
              <a:ext uri="{FF2B5EF4-FFF2-40B4-BE49-F238E27FC236}">
                <a16:creationId xmlns:a16="http://schemas.microsoft.com/office/drawing/2014/main" id="{FFFA4A20-9B05-40E6-83B6-9972FE154A37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7" name="Elipse 1546">
            <a:extLst>
              <a:ext uri="{FF2B5EF4-FFF2-40B4-BE49-F238E27FC236}">
                <a16:creationId xmlns:a16="http://schemas.microsoft.com/office/drawing/2014/main" id="{B1A0D952-2C3B-4C8B-A3E5-EAE08109DA9D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8" name="Elipse 1547">
            <a:extLst>
              <a:ext uri="{FF2B5EF4-FFF2-40B4-BE49-F238E27FC236}">
                <a16:creationId xmlns:a16="http://schemas.microsoft.com/office/drawing/2014/main" id="{56BCD62F-2827-4485-A3DE-235F65F677FE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49" name="Elipse 1548">
            <a:extLst>
              <a:ext uri="{FF2B5EF4-FFF2-40B4-BE49-F238E27FC236}">
                <a16:creationId xmlns:a16="http://schemas.microsoft.com/office/drawing/2014/main" id="{1BCA6334-C6F8-47A4-9F8C-422896FE884C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0" name="Elipse 1549">
            <a:extLst>
              <a:ext uri="{FF2B5EF4-FFF2-40B4-BE49-F238E27FC236}">
                <a16:creationId xmlns:a16="http://schemas.microsoft.com/office/drawing/2014/main" id="{0CE76A8D-1358-43F9-AB0E-33E672DB1D4D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1" name="Elipse 1550">
            <a:extLst>
              <a:ext uri="{FF2B5EF4-FFF2-40B4-BE49-F238E27FC236}">
                <a16:creationId xmlns:a16="http://schemas.microsoft.com/office/drawing/2014/main" id="{7DCEF5A1-2CBC-4E73-B720-841BF47E16C2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2" name="Elipse 1551">
            <a:extLst>
              <a:ext uri="{FF2B5EF4-FFF2-40B4-BE49-F238E27FC236}">
                <a16:creationId xmlns:a16="http://schemas.microsoft.com/office/drawing/2014/main" id="{9A076A41-059A-44E9-8F66-F8F842F33826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53" name="Elipse 1552">
            <a:extLst>
              <a:ext uri="{FF2B5EF4-FFF2-40B4-BE49-F238E27FC236}">
                <a16:creationId xmlns:a16="http://schemas.microsoft.com/office/drawing/2014/main" id="{52DC2F65-6B72-4AD0-8BDF-F73F0B103032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640026</xdr:colOff>
      <xdr:row>7</xdr:row>
      <xdr:rowOff>119063</xdr:rowOff>
    </xdr:from>
    <xdr:to>
      <xdr:col>16</xdr:col>
      <xdr:colOff>382626</xdr:colOff>
      <xdr:row>10</xdr:row>
      <xdr:rowOff>107588</xdr:rowOff>
    </xdr:to>
    <xdr:grpSp>
      <xdr:nvGrpSpPr>
        <xdr:cNvPr id="1698" name="Agrupar 1697">
          <a:extLst>
            <a:ext uri="{FF2B5EF4-FFF2-40B4-BE49-F238E27FC236}">
              <a16:creationId xmlns:a16="http://schemas.microsoft.com/office/drawing/2014/main" id="{375F4C7E-BE8F-4B3E-ABC2-98879650CB13}"/>
            </a:ext>
          </a:extLst>
        </xdr:cNvPr>
        <xdr:cNvGrpSpPr/>
      </xdr:nvGrpSpPr>
      <xdr:grpSpPr>
        <a:xfrm>
          <a:off x="12355776" y="1384527"/>
          <a:ext cx="1783671" cy="519204"/>
          <a:chOff x="7936176" y="442913"/>
          <a:chExt cx="8293101" cy="4775396"/>
        </a:xfrm>
      </xdr:grpSpPr>
      <xdr:sp macro="" textlink="">
        <xdr:nvSpPr>
          <xdr:cNvPr id="1627" name="Elipse 1626">
            <a:extLst>
              <a:ext uri="{FF2B5EF4-FFF2-40B4-BE49-F238E27FC236}">
                <a16:creationId xmlns:a16="http://schemas.microsoft.com/office/drawing/2014/main" id="{31372D72-BC9C-4D20-8C8A-5A49C6E7EC4F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8" name="Elipse 1627">
            <a:extLst>
              <a:ext uri="{FF2B5EF4-FFF2-40B4-BE49-F238E27FC236}">
                <a16:creationId xmlns:a16="http://schemas.microsoft.com/office/drawing/2014/main" id="{3FED1C35-5478-4C69-A8F0-0E49E903D770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9" name="Elipse 1628">
            <a:extLst>
              <a:ext uri="{FF2B5EF4-FFF2-40B4-BE49-F238E27FC236}">
                <a16:creationId xmlns:a16="http://schemas.microsoft.com/office/drawing/2014/main" id="{E3081F94-8077-4766-995B-C9038D803CFE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0" name="Elipse 1629">
            <a:extLst>
              <a:ext uri="{FF2B5EF4-FFF2-40B4-BE49-F238E27FC236}">
                <a16:creationId xmlns:a16="http://schemas.microsoft.com/office/drawing/2014/main" id="{E5EC1CC0-F9D5-43AD-B5CC-FD315B0FA0EE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1" name="Elipse 1630">
            <a:extLst>
              <a:ext uri="{FF2B5EF4-FFF2-40B4-BE49-F238E27FC236}">
                <a16:creationId xmlns:a16="http://schemas.microsoft.com/office/drawing/2014/main" id="{49AF64B7-1E02-4453-90AA-8C5897C0AF9F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2" name="Elipse 1631">
            <a:extLst>
              <a:ext uri="{FF2B5EF4-FFF2-40B4-BE49-F238E27FC236}">
                <a16:creationId xmlns:a16="http://schemas.microsoft.com/office/drawing/2014/main" id="{C801A671-600A-4BE5-8D9E-1F69940FB600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3" name="Elipse 1632">
            <a:extLst>
              <a:ext uri="{FF2B5EF4-FFF2-40B4-BE49-F238E27FC236}">
                <a16:creationId xmlns:a16="http://schemas.microsoft.com/office/drawing/2014/main" id="{3035058B-80B4-4F1D-9814-1BAD6EC76BA8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4" name="Elipse 1633">
            <a:extLst>
              <a:ext uri="{FF2B5EF4-FFF2-40B4-BE49-F238E27FC236}">
                <a16:creationId xmlns:a16="http://schemas.microsoft.com/office/drawing/2014/main" id="{E8D8BAB4-0788-4C9C-B7E7-0A9F744E2009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5" name="Elipse 1634">
            <a:extLst>
              <a:ext uri="{FF2B5EF4-FFF2-40B4-BE49-F238E27FC236}">
                <a16:creationId xmlns:a16="http://schemas.microsoft.com/office/drawing/2014/main" id="{42488417-FBB8-49F3-A353-36D6C39022BD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6" name="Elipse 1635">
            <a:extLst>
              <a:ext uri="{FF2B5EF4-FFF2-40B4-BE49-F238E27FC236}">
                <a16:creationId xmlns:a16="http://schemas.microsoft.com/office/drawing/2014/main" id="{78ADCCC1-6C74-4955-AA49-867CC9494589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7" name="Elipse 1636">
            <a:extLst>
              <a:ext uri="{FF2B5EF4-FFF2-40B4-BE49-F238E27FC236}">
                <a16:creationId xmlns:a16="http://schemas.microsoft.com/office/drawing/2014/main" id="{07891B83-0FA8-439A-B2BA-D427F7D65535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8" name="Elipse 1637">
            <a:extLst>
              <a:ext uri="{FF2B5EF4-FFF2-40B4-BE49-F238E27FC236}">
                <a16:creationId xmlns:a16="http://schemas.microsoft.com/office/drawing/2014/main" id="{9F0E6A85-1440-46B4-B7A1-3AB0FA3B8093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9" name="Elipse 1638">
            <a:extLst>
              <a:ext uri="{FF2B5EF4-FFF2-40B4-BE49-F238E27FC236}">
                <a16:creationId xmlns:a16="http://schemas.microsoft.com/office/drawing/2014/main" id="{6322070B-B596-49EA-A30F-F65D1005BD52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40" name="Elipse 1639">
            <a:extLst>
              <a:ext uri="{FF2B5EF4-FFF2-40B4-BE49-F238E27FC236}">
                <a16:creationId xmlns:a16="http://schemas.microsoft.com/office/drawing/2014/main" id="{4315F26B-672C-412D-9FC9-1B8EAF8B4472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641" name="Conector reto 1640">
            <a:extLst>
              <a:ext uri="{FF2B5EF4-FFF2-40B4-BE49-F238E27FC236}">
                <a16:creationId xmlns:a16="http://schemas.microsoft.com/office/drawing/2014/main" id="{50934708-BE33-40D5-A334-1687DC014054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2" name="Conector reto 1641">
            <a:extLst>
              <a:ext uri="{FF2B5EF4-FFF2-40B4-BE49-F238E27FC236}">
                <a16:creationId xmlns:a16="http://schemas.microsoft.com/office/drawing/2014/main" id="{9DEF95B6-1A14-41B4-85C4-88D93FE0FE0D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3" name="Conector reto 1642">
            <a:extLst>
              <a:ext uri="{FF2B5EF4-FFF2-40B4-BE49-F238E27FC236}">
                <a16:creationId xmlns:a16="http://schemas.microsoft.com/office/drawing/2014/main" id="{5F16B95D-94DF-4342-9FF1-5896C0DDEC3C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4" name="Conector reto 1643">
            <a:extLst>
              <a:ext uri="{FF2B5EF4-FFF2-40B4-BE49-F238E27FC236}">
                <a16:creationId xmlns:a16="http://schemas.microsoft.com/office/drawing/2014/main" id="{7EF1AED0-4595-455D-9965-EAC934F6ECE7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5" name="Conector reto 1644">
            <a:extLst>
              <a:ext uri="{FF2B5EF4-FFF2-40B4-BE49-F238E27FC236}">
                <a16:creationId xmlns:a16="http://schemas.microsoft.com/office/drawing/2014/main" id="{F9A36A88-C53F-4E46-B49A-A3EEC750E112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6" name="Conector reto 1645">
            <a:extLst>
              <a:ext uri="{FF2B5EF4-FFF2-40B4-BE49-F238E27FC236}">
                <a16:creationId xmlns:a16="http://schemas.microsoft.com/office/drawing/2014/main" id="{93050B07-15E3-459B-A197-861069B567F8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7" name="Conector reto 1646">
            <a:extLst>
              <a:ext uri="{FF2B5EF4-FFF2-40B4-BE49-F238E27FC236}">
                <a16:creationId xmlns:a16="http://schemas.microsoft.com/office/drawing/2014/main" id="{4C0AD5D8-5BA7-4958-BE25-5C9A2AB1168B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8" name="Conector reto 1647">
            <a:extLst>
              <a:ext uri="{FF2B5EF4-FFF2-40B4-BE49-F238E27FC236}">
                <a16:creationId xmlns:a16="http://schemas.microsoft.com/office/drawing/2014/main" id="{1103F585-BE6A-4918-811A-631257C51C68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9" name="Conector reto 1648">
            <a:extLst>
              <a:ext uri="{FF2B5EF4-FFF2-40B4-BE49-F238E27FC236}">
                <a16:creationId xmlns:a16="http://schemas.microsoft.com/office/drawing/2014/main" id="{C8DC89DD-197F-47D4-9A50-6573305BE4B2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0" name="Conector reto 1649">
            <a:extLst>
              <a:ext uri="{FF2B5EF4-FFF2-40B4-BE49-F238E27FC236}">
                <a16:creationId xmlns:a16="http://schemas.microsoft.com/office/drawing/2014/main" id="{86C2CD71-F1B1-4E73-ABEE-F16D7B8E59EF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1" name="Conector reto 1650">
            <a:extLst>
              <a:ext uri="{FF2B5EF4-FFF2-40B4-BE49-F238E27FC236}">
                <a16:creationId xmlns:a16="http://schemas.microsoft.com/office/drawing/2014/main" id="{AF8C6485-FA37-4AC7-97BD-A976E71D4652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2" name="Conector reto 1651">
            <a:extLst>
              <a:ext uri="{FF2B5EF4-FFF2-40B4-BE49-F238E27FC236}">
                <a16:creationId xmlns:a16="http://schemas.microsoft.com/office/drawing/2014/main" id="{0A219377-C83B-4E73-9042-4C7FFFC525E6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3" name="Conector reto 1652">
            <a:extLst>
              <a:ext uri="{FF2B5EF4-FFF2-40B4-BE49-F238E27FC236}">
                <a16:creationId xmlns:a16="http://schemas.microsoft.com/office/drawing/2014/main" id="{6F86CBEB-D5B8-4349-A4B3-063CF867B400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4" name="Conector reto 1653">
            <a:extLst>
              <a:ext uri="{FF2B5EF4-FFF2-40B4-BE49-F238E27FC236}">
                <a16:creationId xmlns:a16="http://schemas.microsoft.com/office/drawing/2014/main" id="{8C14A977-FC11-4D90-B707-A9A8CD877C8E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5" name="Conector reto 1654">
            <a:extLst>
              <a:ext uri="{FF2B5EF4-FFF2-40B4-BE49-F238E27FC236}">
                <a16:creationId xmlns:a16="http://schemas.microsoft.com/office/drawing/2014/main" id="{89CBB6F0-8870-4E0C-B389-47B28E593572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6" name="Conector reto 1655">
            <a:extLst>
              <a:ext uri="{FF2B5EF4-FFF2-40B4-BE49-F238E27FC236}">
                <a16:creationId xmlns:a16="http://schemas.microsoft.com/office/drawing/2014/main" id="{1C8337E8-1A68-45EE-BE1E-2EF356E25D73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7" name="Conector reto 1656">
            <a:extLst>
              <a:ext uri="{FF2B5EF4-FFF2-40B4-BE49-F238E27FC236}">
                <a16:creationId xmlns:a16="http://schemas.microsoft.com/office/drawing/2014/main" id="{246EF936-0E52-4EDF-9331-3F3EC18F29C9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8" name="Conector reto 1657">
            <a:extLst>
              <a:ext uri="{FF2B5EF4-FFF2-40B4-BE49-F238E27FC236}">
                <a16:creationId xmlns:a16="http://schemas.microsoft.com/office/drawing/2014/main" id="{BAD96101-812C-4C8D-9EBB-E2F72604C8DE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9" name="Conector reto 1658">
            <a:extLst>
              <a:ext uri="{FF2B5EF4-FFF2-40B4-BE49-F238E27FC236}">
                <a16:creationId xmlns:a16="http://schemas.microsoft.com/office/drawing/2014/main" id="{B19FD6B1-6E31-425F-A614-62AB28238F15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0" name="Conector reto 1659">
            <a:extLst>
              <a:ext uri="{FF2B5EF4-FFF2-40B4-BE49-F238E27FC236}">
                <a16:creationId xmlns:a16="http://schemas.microsoft.com/office/drawing/2014/main" id="{895385B2-264A-46AB-8ED0-BC08480AA8D8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1" name="Conector reto 1660">
            <a:extLst>
              <a:ext uri="{FF2B5EF4-FFF2-40B4-BE49-F238E27FC236}">
                <a16:creationId xmlns:a16="http://schemas.microsoft.com/office/drawing/2014/main" id="{85F28545-1D02-41D5-8C48-4AABD3A5BFF9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2" name="Conector reto 1661">
            <a:extLst>
              <a:ext uri="{FF2B5EF4-FFF2-40B4-BE49-F238E27FC236}">
                <a16:creationId xmlns:a16="http://schemas.microsoft.com/office/drawing/2014/main" id="{67C1532B-1AFA-4F0D-8F75-1896A994D850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3" name="Conector reto 1662">
            <a:extLst>
              <a:ext uri="{FF2B5EF4-FFF2-40B4-BE49-F238E27FC236}">
                <a16:creationId xmlns:a16="http://schemas.microsoft.com/office/drawing/2014/main" id="{0E23156C-0B7A-4716-BAFB-239E566E3895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4" name="Conector reto 1663">
            <a:extLst>
              <a:ext uri="{FF2B5EF4-FFF2-40B4-BE49-F238E27FC236}">
                <a16:creationId xmlns:a16="http://schemas.microsoft.com/office/drawing/2014/main" id="{C3F8143B-FC92-41BD-BFA4-3EA821FAD23C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5" name="Conector reto 1664">
            <a:extLst>
              <a:ext uri="{FF2B5EF4-FFF2-40B4-BE49-F238E27FC236}">
                <a16:creationId xmlns:a16="http://schemas.microsoft.com/office/drawing/2014/main" id="{52CE34BA-4B74-4898-BE57-9326BFA732FB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6" name="Forma Livre: Forma 1665">
            <a:extLst>
              <a:ext uri="{FF2B5EF4-FFF2-40B4-BE49-F238E27FC236}">
                <a16:creationId xmlns:a16="http://schemas.microsoft.com/office/drawing/2014/main" id="{41CE5C03-28D3-4D1A-9E6B-8B4DA3AE0336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67" name="Forma Livre: Forma 1666">
            <a:extLst>
              <a:ext uri="{FF2B5EF4-FFF2-40B4-BE49-F238E27FC236}">
                <a16:creationId xmlns:a16="http://schemas.microsoft.com/office/drawing/2014/main" id="{6B777626-447D-4F82-9EE3-15D73802BE21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68" name="Forma Livre: Forma 1667">
            <a:extLst>
              <a:ext uri="{FF2B5EF4-FFF2-40B4-BE49-F238E27FC236}">
                <a16:creationId xmlns:a16="http://schemas.microsoft.com/office/drawing/2014/main" id="{675EB8FB-3698-4E12-8F94-82B77FF9CC76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69" name="Forma Livre: Forma 1668">
            <a:extLst>
              <a:ext uri="{FF2B5EF4-FFF2-40B4-BE49-F238E27FC236}">
                <a16:creationId xmlns:a16="http://schemas.microsoft.com/office/drawing/2014/main" id="{7F8B6C09-EB6E-40AC-A81D-101CB85FF203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0" name="Forma Livre: Forma 1669">
            <a:extLst>
              <a:ext uri="{FF2B5EF4-FFF2-40B4-BE49-F238E27FC236}">
                <a16:creationId xmlns:a16="http://schemas.microsoft.com/office/drawing/2014/main" id="{3F79C823-7F98-4896-A6E5-1B4BE8D6AE4B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1" name="Forma Livre: Forma 1670">
            <a:extLst>
              <a:ext uri="{FF2B5EF4-FFF2-40B4-BE49-F238E27FC236}">
                <a16:creationId xmlns:a16="http://schemas.microsoft.com/office/drawing/2014/main" id="{C988F5E7-E2B0-4066-A39B-8C5F017ECFC8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2" name="Elipse 1671">
            <a:extLst>
              <a:ext uri="{FF2B5EF4-FFF2-40B4-BE49-F238E27FC236}">
                <a16:creationId xmlns:a16="http://schemas.microsoft.com/office/drawing/2014/main" id="{0DD23B25-736A-4FE6-8192-90E5E72D676D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3" name="Elipse 1672">
            <a:extLst>
              <a:ext uri="{FF2B5EF4-FFF2-40B4-BE49-F238E27FC236}">
                <a16:creationId xmlns:a16="http://schemas.microsoft.com/office/drawing/2014/main" id="{32EB3DE8-177F-451F-8C25-F0C167FE42C4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4" name="Elipse 1673">
            <a:extLst>
              <a:ext uri="{FF2B5EF4-FFF2-40B4-BE49-F238E27FC236}">
                <a16:creationId xmlns:a16="http://schemas.microsoft.com/office/drawing/2014/main" id="{3629512A-04F1-4384-85CB-5C50295B2CB5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5" name="Elipse 1674">
            <a:extLst>
              <a:ext uri="{FF2B5EF4-FFF2-40B4-BE49-F238E27FC236}">
                <a16:creationId xmlns:a16="http://schemas.microsoft.com/office/drawing/2014/main" id="{5034EB03-4134-43A0-9B6C-ABCBFFB12A85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6" name="Elipse 1675">
            <a:extLst>
              <a:ext uri="{FF2B5EF4-FFF2-40B4-BE49-F238E27FC236}">
                <a16:creationId xmlns:a16="http://schemas.microsoft.com/office/drawing/2014/main" id="{1BC21E13-A575-4701-8A3B-700A7736558D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7" name="Elipse 1676">
            <a:extLst>
              <a:ext uri="{FF2B5EF4-FFF2-40B4-BE49-F238E27FC236}">
                <a16:creationId xmlns:a16="http://schemas.microsoft.com/office/drawing/2014/main" id="{FBB86BFA-3BC8-45F4-BEFD-265ED2A08248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8" name="Elipse 1677">
            <a:extLst>
              <a:ext uri="{FF2B5EF4-FFF2-40B4-BE49-F238E27FC236}">
                <a16:creationId xmlns:a16="http://schemas.microsoft.com/office/drawing/2014/main" id="{31984415-ABC5-49D9-AF6E-F08088505564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79" name="Elipse 1678">
            <a:extLst>
              <a:ext uri="{FF2B5EF4-FFF2-40B4-BE49-F238E27FC236}">
                <a16:creationId xmlns:a16="http://schemas.microsoft.com/office/drawing/2014/main" id="{064DC682-645B-448D-8B56-66ABC46143A2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0" name="Elipse 1679">
            <a:extLst>
              <a:ext uri="{FF2B5EF4-FFF2-40B4-BE49-F238E27FC236}">
                <a16:creationId xmlns:a16="http://schemas.microsoft.com/office/drawing/2014/main" id="{9C1BA4C5-424B-4581-B5E5-3ACF89F6ED27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1" name="Elipse 1680">
            <a:extLst>
              <a:ext uri="{FF2B5EF4-FFF2-40B4-BE49-F238E27FC236}">
                <a16:creationId xmlns:a16="http://schemas.microsoft.com/office/drawing/2014/main" id="{F2E4032B-01BC-4306-BC8C-25A9C2AB3806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2" name="Elipse 1681">
            <a:extLst>
              <a:ext uri="{FF2B5EF4-FFF2-40B4-BE49-F238E27FC236}">
                <a16:creationId xmlns:a16="http://schemas.microsoft.com/office/drawing/2014/main" id="{9488AD20-663B-4D8B-988F-F8D8B4E2C31A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3" name="Elipse 1682">
            <a:extLst>
              <a:ext uri="{FF2B5EF4-FFF2-40B4-BE49-F238E27FC236}">
                <a16:creationId xmlns:a16="http://schemas.microsoft.com/office/drawing/2014/main" id="{46A079D4-52FF-4D0E-AE7E-DB67ED526237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4" name="Elipse 1683">
            <a:extLst>
              <a:ext uri="{FF2B5EF4-FFF2-40B4-BE49-F238E27FC236}">
                <a16:creationId xmlns:a16="http://schemas.microsoft.com/office/drawing/2014/main" id="{BC8055AB-45C3-4FC8-AB7B-E4C80C5AA05B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5" name="Elipse 1684">
            <a:extLst>
              <a:ext uri="{FF2B5EF4-FFF2-40B4-BE49-F238E27FC236}">
                <a16:creationId xmlns:a16="http://schemas.microsoft.com/office/drawing/2014/main" id="{0674A6C1-4619-4CFA-9347-2F23FF34455C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6" name="Elipse 1685">
            <a:extLst>
              <a:ext uri="{FF2B5EF4-FFF2-40B4-BE49-F238E27FC236}">
                <a16:creationId xmlns:a16="http://schemas.microsoft.com/office/drawing/2014/main" id="{DF6E0EBF-1520-4F61-98C2-A71CFC35FF67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7" name="Elipse 1686">
            <a:extLst>
              <a:ext uri="{FF2B5EF4-FFF2-40B4-BE49-F238E27FC236}">
                <a16:creationId xmlns:a16="http://schemas.microsoft.com/office/drawing/2014/main" id="{EA23869F-13BD-48CB-A3DF-C4462AD7AB26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8" name="Elipse 1687">
            <a:extLst>
              <a:ext uri="{FF2B5EF4-FFF2-40B4-BE49-F238E27FC236}">
                <a16:creationId xmlns:a16="http://schemas.microsoft.com/office/drawing/2014/main" id="{3B8CA535-F2F9-4600-95B2-F552B57BB335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9" name="Elipse 1688">
            <a:extLst>
              <a:ext uri="{FF2B5EF4-FFF2-40B4-BE49-F238E27FC236}">
                <a16:creationId xmlns:a16="http://schemas.microsoft.com/office/drawing/2014/main" id="{184E5AD8-516A-40CD-8B63-0D4C734864E7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0" name="Elipse 1689">
            <a:extLst>
              <a:ext uri="{FF2B5EF4-FFF2-40B4-BE49-F238E27FC236}">
                <a16:creationId xmlns:a16="http://schemas.microsoft.com/office/drawing/2014/main" id="{F4EA4F73-3FA6-41DA-8571-F404EA9DADE1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1" name="Elipse 1690">
            <a:extLst>
              <a:ext uri="{FF2B5EF4-FFF2-40B4-BE49-F238E27FC236}">
                <a16:creationId xmlns:a16="http://schemas.microsoft.com/office/drawing/2014/main" id="{976662C4-81E5-4702-90E4-9004FF8968BB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2" name="Elipse 1691">
            <a:extLst>
              <a:ext uri="{FF2B5EF4-FFF2-40B4-BE49-F238E27FC236}">
                <a16:creationId xmlns:a16="http://schemas.microsoft.com/office/drawing/2014/main" id="{97282C5C-CF7A-4DF3-AC9B-91FAC72DC5A1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3" name="Elipse 1692">
            <a:extLst>
              <a:ext uri="{FF2B5EF4-FFF2-40B4-BE49-F238E27FC236}">
                <a16:creationId xmlns:a16="http://schemas.microsoft.com/office/drawing/2014/main" id="{CF9F26A5-7857-49F1-B147-B8E5CAA8DEA5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4" name="Elipse 1693">
            <a:extLst>
              <a:ext uri="{FF2B5EF4-FFF2-40B4-BE49-F238E27FC236}">
                <a16:creationId xmlns:a16="http://schemas.microsoft.com/office/drawing/2014/main" id="{A3573B61-49C1-453C-9ADE-6A050D35B877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5" name="Elipse 1694">
            <a:extLst>
              <a:ext uri="{FF2B5EF4-FFF2-40B4-BE49-F238E27FC236}">
                <a16:creationId xmlns:a16="http://schemas.microsoft.com/office/drawing/2014/main" id="{D56550C9-BCE7-4BCE-B9D4-A033B0DA8005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6" name="Elipse 1695">
            <a:extLst>
              <a:ext uri="{FF2B5EF4-FFF2-40B4-BE49-F238E27FC236}">
                <a16:creationId xmlns:a16="http://schemas.microsoft.com/office/drawing/2014/main" id="{59C54F9D-4C46-49F8-A324-0AE299D43F9E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7" name="Elipse 1696">
            <a:extLst>
              <a:ext uri="{FF2B5EF4-FFF2-40B4-BE49-F238E27FC236}">
                <a16:creationId xmlns:a16="http://schemas.microsoft.com/office/drawing/2014/main" id="{D4623806-EA71-4638-B7CD-2B23770E1A0A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668601</xdr:colOff>
      <xdr:row>11</xdr:row>
      <xdr:rowOff>90488</xdr:rowOff>
    </xdr:from>
    <xdr:to>
      <xdr:col>16</xdr:col>
      <xdr:colOff>411201</xdr:colOff>
      <xdr:row>13</xdr:row>
      <xdr:rowOff>88538</xdr:rowOff>
    </xdr:to>
    <xdr:grpSp>
      <xdr:nvGrpSpPr>
        <xdr:cNvPr id="1770" name="Agrupar 1769">
          <a:extLst>
            <a:ext uri="{FF2B5EF4-FFF2-40B4-BE49-F238E27FC236}">
              <a16:creationId xmlns:a16="http://schemas.microsoft.com/office/drawing/2014/main" id="{1B46F281-42FF-4649-BA80-0830A7F27C5F}"/>
            </a:ext>
          </a:extLst>
        </xdr:cNvPr>
        <xdr:cNvGrpSpPr/>
      </xdr:nvGrpSpPr>
      <xdr:grpSpPr>
        <a:xfrm>
          <a:off x="12384351" y="2063524"/>
          <a:ext cx="1783671" cy="365443"/>
          <a:chOff x="7936176" y="442913"/>
          <a:chExt cx="8293101" cy="4775396"/>
        </a:xfrm>
      </xdr:grpSpPr>
      <xdr:sp macro="" textlink="">
        <xdr:nvSpPr>
          <xdr:cNvPr id="1699" name="Elipse 1698">
            <a:extLst>
              <a:ext uri="{FF2B5EF4-FFF2-40B4-BE49-F238E27FC236}">
                <a16:creationId xmlns:a16="http://schemas.microsoft.com/office/drawing/2014/main" id="{5A7E24FC-949A-4379-90C2-A1F426C2FFE8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0" name="Elipse 1699">
            <a:extLst>
              <a:ext uri="{FF2B5EF4-FFF2-40B4-BE49-F238E27FC236}">
                <a16:creationId xmlns:a16="http://schemas.microsoft.com/office/drawing/2014/main" id="{AFF5D05C-23C6-48AE-B040-52339D9519B2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1" name="Elipse 1700">
            <a:extLst>
              <a:ext uri="{FF2B5EF4-FFF2-40B4-BE49-F238E27FC236}">
                <a16:creationId xmlns:a16="http://schemas.microsoft.com/office/drawing/2014/main" id="{FA686147-1349-4C51-89FE-ADA2768DCCA5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2" name="Elipse 1701">
            <a:extLst>
              <a:ext uri="{FF2B5EF4-FFF2-40B4-BE49-F238E27FC236}">
                <a16:creationId xmlns:a16="http://schemas.microsoft.com/office/drawing/2014/main" id="{4C43FDB3-58EB-46B4-ABF5-C21FC2C927B9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3" name="Elipse 1702">
            <a:extLst>
              <a:ext uri="{FF2B5EF4-FFF2-40B4-BE49-F238E27FC236}">
                <a16:creationId xmlns:a16="http://schemas.microsoft.com/office/drawing/2014/main" id="{9AA6DCEB-91EC-4351-A2EC-6C00DE75A3F3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4" name="Elipse 1703">
            <a:extLst>
              <a:ext uri="{FF2B5EF4-FFF2-40B4-BE49-F238E27FC236}">
                <a16:creationId xmlns:a16="http://schemas.microsoft.com/office/drawing/2014/main" id="{7EE77C75-D238-4C09-8B5A-15F26BA96A9B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5" name="Elipse 1704">
            <a:extLst>
              <a:ext uri="{FF2B5EF4-FFF2-40B4-BE49-F238E27FC236}">
                <a16:creationId xmlns:a16="http://schemas.microsoft.com/office/drawing/2014/main" id="{8E31242C-B232-467E-BF2C-E7363B0D84F7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6" name="Elipse 1705">
            <a:extLst>
              <a:ext uri="{FF2B5EF4-FFF2-40B4-BE49-F238E27FC236}">
                <a16:creationId xmlns:a16="http://schemas.microsoft.com/office/drawing/2014/main" id="{6697C1CA-8207-4A7A-87D5-222631B8A8E3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7" name="Elipse 1706">
            <a:extLst>
              <a:ext uri="{FF2B5EF4-FFF2-40B4-BE49-F238E27FC236}">
                <a16:creationId xmlns:a16="http://schemas.microsoft.com/office/drawing/2014/main" id="{1ED91FE6-2225-4B38-89CA-80498D49CA6B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8" name="Elipse 1707">
            <a:extLst>
              <a:ext uri="{FF2B5EF4-FFF2-40B4-BE49-F238E27FC236}">
                <a16:creationId xmlns:a16="http://schemas.microsoft.com/office/drawing/2014/main" id="{D4E8A104-C11F-46BB-88D0-5065A125ED13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09" name="Elipse 1708">
            <a:extLst>
              <a:ext uri="{FF2B5EF4-FFF2-40B4-BE49-F238E27FC236}">
                <a16:creationId xmlns:a16="http://schemas.microsoft.com/office/drawing/2014/main" id="{D4A1C7F3-C33E-4F01-BFE6-827B235EE517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10" name="Elipse 1709">
            <a:extLst>
              <a:ext uri="{FF2B5EF4-FFF2-40B4-BE49-F238E27FC236}">
                <a16:creationId xmlns:a16="http://schemas.microsoft.com/office/drawing/2014/main" id="{2436EC1F-EFBF-4AEF-B800-A57E8F6DB002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11" name="Elipse 1710">
            <a:extLst>
              <a:ext uri="{FF2B5EF4-FFF2-40B4-BE49-F238E27FC236}">
                <a16:creationId xmlns:a16="http://schemas.microsoft.com/office/drawing/2014/main" id="{62D31BC3-5AA5-4B65-AD75-C2469879AFAC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12" name="Elipse 1711">
            <a:extLst>
              <a:ext uri="{FF2B5EF4-FFF2-40B4-BE49-F238E27FC236}">
                <a16:creationId xmlns:a16="http://schemas.microsoft.com/office/drawing/2014/main" id="{94240D9E-425F-44CC-9F60-F9ED13ECB644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713" name="Conector reto 1712">
            <a:extLst>
              <a:ext uri="{FF2B5EF4-FFF2-40B4-BE49-F238E27FC236}">
                <a16:creationId xmlns:a16="http://schemas.microsoft.com/office/drawing/2014/main" id="{796D958E-343C-4CC1-9F7A-51A67EDCF7E4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4" name="Conector reto 1713">
            <a:extLst>
              <a:ext uri="{FF2B5EF4-FFF2-40B4-BE49-F238E27FC236}">
                <a16:creationId xmlns:a16="http://schemas.microsoft.com/office/drawing/2014/main" id="{AC154467-F21E-4EE7-9567-0D42FEE427A9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5" name="Conector reto 1714">
            <a:extLst>
              <a:ext uri="{FF2B5EF4-FFF2-40B4-BE49-F238E27FC236}">
                <a16:creationId xmlns:a16="http://schemas.microsoft.com/office/drawing/2014/main" id="{31D68383-FD07-4DD0-95FD-1E9F54799171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6" name="Conector reto 1715">
            <a:extLst>
              <a:ext uri="{FF2B5EF4-FFF2-40B4-BE49-F238E27FC236}">
                <a16:creationId xmlns:a16="http://schemas.microsoft.com/office/drawing/2014/main" id="{73FFC7C0-4D37-4FE2-92D2-D7452C780CA8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7" name="Conector reto 1716">
            <a:extLst>
              <a:ext uri="{FF2B5EF4-FFF2-40B4-BE49-F238E27FC236}">
                <a16:creationId xmlns:a16="http://schemas.microsoft.com/office/drawing/2014/main" id="{8A773DC0-D03F-4E6B-A616-A96659F8B8FC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8" name="Conector reto 1717">
            <a:extLst>
              <a:ext uri="{FF2B5EF4-FFF2-40B4-BE49-F238E27FC236}">
                <a16:creationId xmlns:a16="http://schemas.microsoft.com/office/drawing/2014/main" id="{9036177B-9B41-4714-A231-051365E4EDCB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9" name="Conector reto 1718">
            <a:extLst>
              <a:ext uri="{FF2B5EF4-FFF2-40B4-BE49-F238E27FC236}">
                <a16:creationId xmlns:a16="http://schemas.microsoft.com/office/drawing/2014/main" id="{3FA45EF3-1CB1-42A9-A71D-79CAF79FE169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0" name="Conector reto 1719">
            <a:extLst>
              <a:ext uri="{FF2B5EF4-FFF2-40B4-BE49-F238E27FC236}">
                <a16:creationId xmlns:a16="http://schemas.microsoft.com/office/drawing/2014/main" id="{1026B7F8-2951-4AAC-A5B1-B388C99A36EC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1" name="Conector reto 1720">
            <a:extLst>
              <a:ext uri="{FF2B5EF4-FFF2-40B4-BE49-F238E27FC236}">
                <a16:creationId xmlns:a16="http://schemas.microsoft.com/office/drawing/2014/main" id="{10946A37-D85F-4758-966B-2BF81660EE47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2" name="Conector reto 1721">
            <a:extLst>
              <a:ext uri="{FF2B5EF4-FFF2-40B4-BE49-F238E27FC236}">
                <a16:creationId xmlns:a16="http://schemas.microsoft.com/office/drawing/2014/main" id="{C3AD09A3-4135-4D92-B5CF-24EB73FB8EBB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3" name="Conector reto 1722">
            <a:extLst>
              <a:ext uri="{FF2B5EF4-FFF2-40B4-BE49-F238E27FC236}">
                <a16:creationId xmlns:a16="http://schemas.microsoft.com/office/drawing/2014/main" id="{6BDAAE19-571D-4BFB-A827-18FAE547CCFA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4" name="Conector reto 1723">
            <a:extLst>
              <a:ext uri="{FF2B5EF4-FFF2-40B4-BE49-F238E27FC236}">
                <a16:creationId xmlns:a16="http://schemas.microsoft.com/office/drawing/2014/main" id="{4290194A-E715-416E-9D7E-9A776221AED3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Conector reto 1724">
            <a:extLst>
              <a:ext uri="{FF2B5EF4-FFF2-40B4-BE49-F238E27FC236}">
                <a16:creationId xmlns:a16="http://schemas.microsoft.com/office/drawing/2014/main" id="{0BBEA7CE-D5E1-4968-916F-8717AE1A15BC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Conector reto 1725">
            <a:extLst>
              <a:ext uri="{FF2B5EF4-FFF2-40B4-BE49-F238E27FC236}">
                <a16:creationId xmlns:a16="http://schemas.microsoft.com/office/drawing/2014/main" id="{8BDC570A-FFAB-491C-8DE5-53F442C8215B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Conector reto 1726">
            <a:extLst>
              <a:ext uri="{FF2B5EF4-FFF2-40B4-BE49-F238E27FC236}">
                <a16:creationId xmlns:a16="http://schemas.microsoft.com/office/drawing/2014/main" id="{FA5F0333-7C78-4F1E-A397-7E8AC0EA34AB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Conector reto 1727">
            <a:extLst>
              <a:ext uri="{FF2B5EF4-FFF2-40B4-BE49-F238E27FC236}">
                <a16:creationId xmlns:a16="http://schemas.microsoft.com/office/drawing/2014/main" id="{59B2B569-013C-407B-857A-B541A9F1A658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9" name="Conector reto 1728">
            <a:extLst>
              <a:ext uri="{FF2B5EF4-FFF2-40B4-BE49-F238E27FC236}">
                <a16:creationId xmlns:a16="http://schemas.microsoft.com/office/drawing/2014/main" id="{7E2AB1CD-CD67-4417-AE4B-93C78E0EEA3A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0" name="Conector reto 1729">
            <a:extLst>
              <a:ext uri="{FF2B5EF4-FFF2-40B4-BE49-F238E27FC236}">
                <a16:creationId xmlns:a16="http://schemas.microsoft.com/office/drawing/2014/main" id="{13A90374-FF4B-411B-8B18-1C4E426A4685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1" name="Conector reto 1730">
            <a:extLst>
              <a:ext uri="{FF2B5EF4-FFF2-40B4-BE49-F238E27FC236}">
                <a16:creationId xmlns:a16="http://schemas.microsoft.com/office/drawing/2014/main" id="{F908C480-8D1A-4288-A094-E7D2F52F96D5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2" name="Conector reto 1731">
            <a:extLst>
              <a:ext uri="{FF2B5EF4-FFF2-40B4-BE49-F238E27FC236}">
                <a16:creationId xmlns:a16="http://schemas.microsoft.com/office/drawing/2014/main" id="{35E6A81C-C375-4185-A1A8-6A0A6520D91F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3" name="Conector reto 1732">
            <a:extLst>
              <a:ext uri="{FF2B5EF4-FFF2-40B4-BE49-F238E27FC236}">
                <a16:creationId xmlns:a16="http://schemas.microsoft.com/office/drawing/2014/main" id="{E12CFC24-BD26-40B3-8963-F78C0CA2CEA4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4" name="Conector reto 1733">
            <a:extLst>
              <a:ext uri="{FF2B5EF4-FFF2-40B4-BE49-F238E27FC236}">
                <a16:creationId xmlns:a16="http://schemas.microsoft.com/office/drawing/2014/main" id="{9F414D88-5E9E-4E3F-A45A-8CBDED1A7617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5" name="Conector reto 1734">
            <a:extLst>
              <a:ext uri="{FF2B5EF4-FFF2-40B4-BE49-F238E27FC236}">
                <a16:creationId xmlns:a16="http://schemas.microsoft.com/office/drawing/2014/main" id="{8F3BDA8A-7E7A-467F-8D5B-43C90506BED4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6" name="Conector reto 1735">
            <a:extLst>
              <a:ext uri="{FF2B5EF4-FFF2-40B4-BE49-F238E27FC236}">
                <a16:creationId xmlns:a16="http://schemas.microsoft.com/office/drawing/2014/main" id="{9161819B-C47B-4955-A0F3-669D3AF8FC4C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37" name="Conector reto 1736">
            <a:extLst>
              <a:ext uri="{FF2B5EF4-FFF2-40B4-BE49-F238E27FC236}">
                <a16:creationId xmlns:a16="http://schemas.microsoft.com/office/drawing/2014/main" id="{897F15D8-1DBB-4D98-A331-5F7DA5D51781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38" name="Forma Livre: Forma 1737">
            <a:extLst>
              <a:ext uri="{FF2B5EF4-FFF2-40B4-BE49-F238E27FC236}">
                <a16:creationId xmlns:a16="http://schemas.microsoft.com/office/drawing/2014/main" id="{95D7C27A-9E09-42C5-B9B3-E9E9B9B156CC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39" name="Forma Livre: Forma 1738">
            <a:extLst>
              <a:ext uri="{FF2B5EF4-FFF2-40B4-BE49-F238E27FC236}">
                <a16:creationId xmlns:a16="http://schemas.microsoft.com/office/drawing/2014/main" id="{2239BB84-8CF3-4F76-868A-2DF77766699D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0" name="Forma Livre: Forma 1739">
            <a:extLst>
              <a:ext uri="{FF2B5EF4-FFF2-40B4-BE49-F238E27FC236}">
                <a16:creationId xmlns:a16="http://schemas.microsoft.com/office/drawing/2014/main" id="{43F653E5-2BC1-4CE6-A2C3-B130C2BD6508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1" name="Forma Livre: Forma 1740">
            <a:extLst>
              <a:ext uri="{FF2B5EF4-FFF2-40B4-BE49-F238E27FC236}">
                <a16:creationId xmlns:a16="http://schemas.microsoft.com/office/drawing/2014/main" id="{D88E45AD-7BBD-436D-9033-F7EF6E00203C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2" name="Forma Livre: Forma 1741">
            <a:extLst>
              <a:ext uri="{FF2B5EF4-FFF2-40B4-BE49-F238E27FC236}">
                <a16:creationId xmlns:a16="http://schemas.microsoft.com/office/drawing/2014/main" id="{5991E735-7C81-4A28-BA0E-0237F1B206DA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3" name="Forma Livre: Forma 1742">
            <a:extLst>
              <a:ext uri="{FF2B5EF4-FFF2-40B4-BE49-F238E27FC236}">
                <a16:creationId xmlns:a16="http://schemas.microsoft.com/office/drawing/2014/main" id="{47A963FB-E248-4C25-AC95-D959E2F0C1BE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4" name="Elipse 1743">
            <a:extLst>
              <a:ext uri="{FF2B5EF4-FFF2-40B4-BE49-F238E27FC236}">
                <a16:creationId xmlns:a16="http://schemas.microsoft.com/office/drawing/2014/main" id="{490D9F50-C9B7-4FD9-8189-E7B3934474B5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5" name="Elipse 1744">
            <a:extLst>
              <a:ext uri="{FF2B5EF4-FFF2-40B4-BE49-F238E27FC236}">
                <a16:creationId xmlns:a16="http://schemas.microsoft.com/office/drawing/2014/main" id="{BD9EAC7E-1CA1-40DD-A284-3FC546169266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6" name="Elipse 1745">
            <a:extLst>
              <a:ext uri="{FF2B5EF4-FFF2-40B4-BE49-F238E27FC236}">
                <a16:creationId xmlns:a16="http://schemas.microsoft.com/office/drawing/2014/main" id="{AFE789A8-FC7B-4420-91EF-A7B03C9FE06F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7" name="Elipse 1746">
            <a:extLst>
              <a:ext uri="{FF2B5EF4-FFF2-40B4-BE49-F238E27FC236}">
                <a16:creationId xmlns:a16="http://schemas.microsoft.com/office/drawing/2014/main" id="{51282989-6637-4D51-B700-A00F3C4066D4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8" name="Elipse 1747">
            <a:extLst>
              <a:ext uri="{FF2B5EF4-FFF2-40B4-BE49-F238E27FC236}">
                <a16:creationId xmlns:a16="http://schemas.microsoft.com/office/drawing/2014/main" id="{4FA141DF-0346-43F2-951B-E34B2E5CF162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49" name="Elipse 1748">
            <a:extLst>
              <a:ext uri="{FF2B5EF4-FFF2-40B4-BE49-F238E27FC236}">
                <a16:creationId xmlns:a16="http://schemas.microsoft.com/office/drawing/2014/main" id="{213A1805-2985-4056-B637-3D1E342A73FB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0" name="Elipse 1749">
            <a:extLst>
              <a:ext uri="{FF2B5EF4-FFF2-40B4-BE49-F238E27FC236}">
                <a16:creationId xmlns:a16="http://schemas.microsoft.com/office/drawing/2014/main" id="{04794871-CE53-4AC3-A1BC-D2F8549F3D6A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1" name="Elipse 1750">
            <a:extLst>
              <a:ext uri="{FF2B5EF4-FFF2-40B4-BE49-F238E27FC236}">
                <a16:creationId xmlns:a16="http://schemas.microsoft.com/office/drawing/2014/main" id="{53C6E87F-6F40-4D74-834B-50E2040CC36D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2" name="Elipse 1751">
            <a:extLst>
              <a:ext uri="{FF2B5EF4-FFF2-40B4-BE49-F238E27FC236}">
                <a16:creationId xmlns:a16="http://schemas.microsoft.com/office/drawing/2014/main" id="{9A7A18ED-CE09-4437-838E-CF4E4C6D7B68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3" name="Elipse 1752">
            <a:extLst>
              <a:ext uri="{FF2B5EF4-FFF2-40B4-BE49-F238E27FC236}">
                <a16:creationId xmlns:a16="http://schemas.microsoft.com/office/drawing/2014/main" id="{A5BD61B0-1418-425F-9945-64496FE79AFD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4" name="Elipse 1753">
            <a:extLst>
              <a:ext uri="{FF2B5EF4-FFF2-40B4-BE49-F238E27FC236}">
                <a16:creationId xmlns:a16="http://schemas.microsoft.com/office/drawing/2014/main" id="{240CC89B-6B6F-4A00-A8B0-1E6BEB25DF5B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5" name="Elipse 1754">
            <a:extLst>
              <a:ext uri="{FF2B5EF4-FFF2-40B4-BE49-F238E27FC236}">
                <a16:creationId xmlns:a16="http://schemas.microsoft.com/office/drawing/2014/main" id="{EACF4F00-EB6D-477C-BEF4-42CE3CC076B5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6" name="Elipse 1755">
            <a:extLst>
              <a:ext uri="{FF2B5EF4-FFF2-40B4-BE49-F238E27FC236}">
                <a16:creationId xmlns:a16="http://schemas.microsoft.com/office/drawing/2014/main" id="{177FDA8A-0AFD-48C2-A9A2-1A796532FB65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7" name="Elipse 1756">
            <a:extLst>
              <a:ext uri="{FF2B5EF4-FFF2-40B4-BE49-F238E27FC236}">
                <a16:creationId xmlns:a16="http://schemas.microsoft.com/office/drawing/2014/main" id="{105104EC-7C1E-4993-BAFD-AA7C4884C9BD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8" name="Elipse 1757">
            <a:extLst>
              <a:ext uri="{FF2B5EF4-FFF2-40B4-BE49-F238E27FC236}">
                <a16:creationId xmlns:a16="http://schemas.microsoft.com/office/drawing/2014/main" id="{99205E72-CCCE-40D7-84E4-8C8C80693A91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9" name="Elipse 1758">
            <a:extLst>
              <a:ext uri="{FF2B5EF4-FFF2-40B4-BE49-F238E27FC236}">
                <a16:creationId xmlns:a16="http://schemas.microsoft.com/office/drawing/2014/main" id="{0D0482CD-D4CC-46E7-B657-A301DE870730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0" name="Elipse 1759">
            <a:extLst>
              <a:ext uri="{FF2B5EF4-FFF2-40B4-BE49-F238E27FC236}">
                <a16:creationId xmlns:a16="http://schemas.microsoft.com/office/drawing/2014/main" id="{5B351926-F123-4CA3-B1E7-081797F0F17C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1" name="Elipse 1760">
            <a:extLst>
              <a:ext uri="{FF2B5EF4-FFF2-40B4-BE49-F238E27FC236}">
                <a16:creationId xmlns:a16="http://schemas.microsoft.com/office/drawing/2014/main" id="{6721ECCF-4B69-4F72-831C-847F074670B3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2" name="Elipse 1761">
            <a:extLst>
              <a:ext uri="{FF2B5EF4-FFF2-40B4-BE49-F238E27FC236}">
                <a16:creationId xmlns:a16="http://schemas.microsoft.com/office/drawing/2014/main" id="{A0302165-8D21-492D-8A4C-AFF2D5AFADF8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3" name="Elipse 1762">
            <a:extLst>
              <a:ext uri="{FF2B5EF4-FFF2-40B4-BE49-F238E27FC236}">
                <a16:creationId xmlns:a16="http://schemas.microsoft.com/office/drawing/2014/main" id="{C98F7A8E-80AC-4F5D-BDBD-9300F2D183C3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4" name="Elipse 1763">
            <a:extLst>
              <a:ext uri="{FF2B5EF4-FFF2-40B4-BE49-F238E27FC236}">
                <a16:creationId xmlns:a16="http://schemas.microsoft.com/office/drawing/2014/main" id="{ABA02338-AA4B-44CD-BDA2-B6C79C9AFC80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5" name="Elipse 1764">
            <a:extLst>
              <a:ext uri="{FF2B5EF4-FFF2-40B4-BE49-F238E27FC236}">
                <a16:creationId xmlns:a16="http://schemas.microsoft.com/office/drawing/2014/main" id="{8D598402-1A13-4576-96F9-361F08D94F72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6" name="Elipse 1765">
            <a:extLst>
              <a:ext uri="{FF2B5EF4-FFF2-40B4-BE49-F238E27FC236}">
                <a16:creationId xmlns:a16="http://schemas.microsoft.com/office/drawing/2014/main" id="{64279D36-0597-4AB3-A2EA-5AEB8CEA117C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7" name="Elipse 1766">
            <a:extLst>
              <a:ext uri="{FF2B5EF4-FFF2-40B4-BE49-F238E27FC236}">
                <a16:creationId xmlns:a16="http://schemas.microsoft.com/office/drawing/2014/main" id="{7EF99ED4-CD60-4220-8067-08BBB9DB767F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8" name="Elipse 1767">
            <a:extLst>
              <a:ext uri="{FF2B5EF4-FFF2-40B4-BE49-F238E27FC236}">
                <a16:creationId xmlns:a16="http://schemas.microsoft.com/office/drawing/2014/main" id="{020E6F2A-D4E4-49D6-9056-EF8B86A6F1A3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69" name="Elipse 1768">
            <a:extLst>
              <a:ext uri="{FF2B5EF4-FFF2-40B4-BE49-F238E27FC236}">
                <a16:creationId xmlns:a16="http://schemas.microsoft.com/office/drawing/2014/main" id="{64F277BB-BF1E-4245-B92B-3DA1299696BC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659076</xdr:colOff>
      <xdr:row>14</xdr:row>
      <xdr:rowOff>147638</xdr:rowOff>
    </xdr:from>
    <xdr:to>
      <xdr:col>16</xdr:col>
      <xdr:colOff>401676</xdr:colOff>
      <xdr:row>16</xdr:row>
      <xdr:rowOff>145688</xdr:rowOff>
    </xdr:to>
    <xdr:grpSp>
      <xdr:nvGrpSpPr>
        <xdr:cNvPr id="1860" name="Agrupar 1859">
          <a:extLst>
            <a:ext uri="{FF2B5EF4-FFF2-40B4-BE49-F238E27FC236}">
              <a16:creationId xmlns:a16="http://schemas.microsoft.com/office/drawing/2014/main" id="{932164D7-0487-4613-8187-7995CE86E4AA}"/>
            </a:ext>
          </a:extLst>
        </xdr:cNvPr>
        <xdr:cNvGrpSpPr/>
      </xdr:nvGrpSpPr>
      <xdr:grpSpPr>
        <a:xfrm>
          <a:off x="12374826" y="2664959"/>
          <a:ext cx="1783671" cy="351836"/>
          <a:chOff x="7936176" y="442913"/>
          <a:chExt cx="8293101" cy="4775396"/>
        </a:xfrm>
      </xdr:grpSpPr>
      <xdr:sp macro="" textlink="">
        <xdr:nvSpPr>
          <xdr:cNvPr id="1771" name="Elipse 1770">
            <a:extLst>
              <a:ext uri="{FF2B5EF4-FFF2-40B4-BE49-F238E27FC236}">
                <a16:creationId xmlns:a16="http://schemas.microsoft.com/office/drawing/2014/main" id="{0385FEAE-1BF6-481C-A84A-817320ECBBEE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2" name="Elipse 1771">
            <a:extLst>
              <a:ext uri="{FF2B5EF4-FFF2-40B4-BE49-F238E27FC236}">
                <a16:creationId xmlns:a16="http://schemas.microsoft.com/office/drawing/2014/main" id="{BCC97BB8-FE4C-4349-B006-0DBBEFE9A078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3" name="Elipse 1772">
            <a:extLst>
              <a:ext uri="{FF2B5EF4-FFF2-40B4-BE49-F238E27FC236}">
                <a16:creationId xmlns:a16="http://schemas.microsoft.com/office/drawing/2014/main" id="{8C21CAC5-B482-4B17-BA45-6CD5091F539B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4" name="Elipse 1773">
            <a:extLst>
              <a:ext uri="{FF2B5EF4-FFF2-40B4-BE49-F238E27FC236}">
                <a16:creationId xmlns:a16="http://schemas.microsoft.com/office/drawing/2014/main" id="{DC25ACD7-9F52-44B3-B768-4EFEEC7EE166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5" name="Elipse 1774">
            <a:extLst>
              <a:ext uri="{FF2B5EF4-FFF2-40B4-BE49-F238E27FC236}">
                <a16:creationId xmlns:a16="http://schemas.microsoft.com/office/drawing/2014/main" id="{F10BDA28-7F3D-46B5-B738-F6EA5022E7A7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6" name="Elipse 1775">
            <a:extLst>
              <a:ext uri="{FF2B5EF4-FFF2-40B4-BE49-F238E27FC236}">
                <a16:creationId xmlns:a16="http://schemas.microsoft.com/office/drawing/2014/main" id="{E5C7DEA9-6B7B-49AB-9F47-D8262E893D59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7" name="Elipse 1776">
            <a:extLst>
              <a:ext uri="{FF2B5EF4-FFF2-40B4-BE49-F238E27FC236}">
                <a16:creationId xmlns:a16="http://schemas.microsoft.com/office/drawing/2014/main" id="{DC004919-5BF5-46E5-94F5-289C7ECFC62F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8" name="Elipse 1777">
            <a:extLst>
              <a:ext uri="{FF2B5EF4-FFF2-40B4-BE49-F238E27FC236}">
                <a16:creationId xmlns:a16="http://schemas.microsoft.com/office/drawing/2014/main" id="{8DD6AD19-CAD2-4B65-9B9B-281AF9D5E295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9" name="Elipse 1778">
            <a:extLst>
              <a:ext uri="{FF2B5EF4-FFF2-40B4-BE49-F238E27FC236}">
                <a16:creationId xmlns:a16="http://schemas.microsoft.com/office/drawing/2014/main" id="{E03587DD-FD00-44D8-9652-85FF712BE716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0" name="Elipse 1779">
            <a:extLst>
              <a:ext uri="{FF2B5EF4-FFF2-40B4-BE49-F238E27FC236}">
                <a16:creationId xmlns:a16="http://schemas.microsoft.com/office/drawing/2014/main" id="{85C9080A-51FE-482C-8B26-62AD3C13446D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1" name="Elipse 1780">
            <a:extLst>
              <a:ext uri="{FF2B5EF4-FFF2-40B4-BE49-F238E27FC236}">
                <a16:creationId xmlns:a16="http://schemas.microsoft.com/office/drawing/2014/main" id="{A8C13FF3-1D89-45B2-84E2-D90EA83D7D07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2" name="Elipse 1781">
            <a:extLst>
              <a:ext uri="{FF2B5EF4-FFF2-40B4-BE49-F238E27FC236}">
                <a16:creationId xmlns:a16="http://schemas.microsoft.com/office/drawing/2014/main" id="{E8E383DC-23E5-44DD-B9E3-D8999CC1DCF4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3" name="Elipse 1782">
            <a:extLst>
              <a:ext uri="{FF2B5EF4-FFF2-40B4-BE49-F238E27FC236}">
                <a16:creationId xmlns:a16="http://schemas.microsoft.com/office/drawing/2014/main" id="{64707DFC-7BA0-404F-B827-6F7091AE7C8E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84" name="Elipse 1783">
            <a:extLst>
              <a:ext uri="{FF2B5EF4-FFF2-40B4-BE49-F238E27FC236}">
                <a16:creationId xmlns:a16="http://schemas.microsoft.com/office/drawing/2014/main" id="{521FB07A-B6BB-4C54-A38B-282651EA755C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785" name="Conector reto 1784">
            <a:extLst>
              <a:ext uri="{FF2B5EF4-FFF2-40B4-BE49-F238E27FC236}">
                <a16:creationId xmlns:a16="http://schemas.microsoft.com/office/drawing/2014/main" id="{F2D59F90-0909-493A-A9F3-189C3A770117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6" name="Conector reto 1785">
            <a:extLst>
              <a:ext uri="{FF2B5EF4-FFF2-40B4-BE49-F238E27FC236}">
                <a16:creationId xmlns:a16="http://schemas.microsoft.com/office/drawing/2014/main" id="{0559DE86-EBB9-4CE3-BEF7-F4D6EB9FEAC4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7" name="Conector reto 1786">
            <a:extLst>
              <a:ext uri="{FF2B5EF4-FFF2-40B4-BE49-F238E27FC236}">
                <a16:creationId xmlns:a16="http://schemas.microsoft.com/office/drawing/2014/main" id="{A3BA2C8F-1913-4929-8431-41026F47FBC8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8" name="Conector reto 1787">
            <a:extLst>
              <a:ext uri="{FF2B5EF4-FFF2-40B4-BE49-F238E27FC236}">
                <a16:creationId xmlns:a16="http://schemas.microsoft.com/office/drawing/2014/main" id="{1386C5E0-15AE-4119-BEDE-809696B8BEA8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9" name="Conector reto 1788">
            <a:extLst>
              <a:ext uri="{FF2B5EF4-FFF2-40B4-BE49-F238E27FC236}">
                <a16:creationId xmlns:a16="http://schemas.microsoft.com/office/drawing/2014/main" id="{C3828E34-DEF6-4C86-BD24-11FBBC56C010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0" name="Conector reto 1789">
            <a:extLst>
              <a:ext uri="{FF2B5EF4-FFF2-40B4-BE49-F238E27FC236}">
                <a16:creationId xmlns:a16="http://schemas.microsoft.com/office/drawing/2014/main" id="{FCAB2B86-4133-4398-8899-E0979861D2B9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1" name="Conector reto 1790">
            <a:extLst>
              <a:ext uri="{FF2B5EF4-FFF2-40B4-BE49-F238E27FC236}">
                <a16:creationId xmlns:a16="http://schemas.microsoft.com/office/drawing/2014/main" id="{FD567DF7-722A-4A14-9682-5CCC888EB3BB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2" name="Conector reto 1791">
            <a:extLst>
              <a:ext uri="{FF2B5EF4-FFF2-40B4-BE49-F238E27FC236}">
                <a16:creationId xmlns:a16="http://schemas.microsoft.com/office/drawing/2014/main" id="{5C38EC63-723E-4F29-AAC1-3F84479B35B4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3" name="Conector reto 1792">
            <a:extLst>
              <a:ext uri="{FF2B5EF4-FFF2-40B4-BE49-F238E27FC236}">
                <a16:creationId xmlns:a16="http://schemas.microsoft.com/office/drawing/2014/main" id="{5BD6586E-8643-4A15-824E-7BCE7A0119DF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4" name="Conector reto 1793">
            <a:extLst>
              <a:ext uri="{FF2B5EF4-FFF2-40B4-BE49-F238E27FC236}">
                <a16:creationId xmlns:a16="http://schemas.microsoft.com/office/drawing/2014/main" id="{16F918D1-8CB1-4CC3-BE29-0D1B694DDB64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5" name="Conector reto 1794">
            <a:extLst>
              <a:ext uri="{FF2B5EF4-FFF2-40B4-BE49-F238E27FC236}">
                <a16:creationId xmlns:a16="http://schemas.microsoft.com/office/drawing/2014/main" id="{1BE97CC8-1ABD-4314-94F2-5626BB2278C2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6" name="Conector reto 1795">
            <a:extLst>
              <a:ext uri="{FF2B5EF4-FFF2-40B4-BE49-F238E27FC236}">
                <a16:creationId xmlns:a16="http://schemas.microsoft.com/office/drawing/2014/main" id="{9C56A3E7-23DF-4428-9827-CAE2C8FB9DEC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7" name="Conector reto 1796">
            <a:extLst>
              <a:ext uri="{FF2B5EF4-FFF2-40B4-BE49-F238E27FC236}">
                <a16:creationId xmlns:a16="http://schemas.microsoft.com/office/drawing/2014/main" id="{93EC7A3A-BF59-49C6-97C8-51955976D040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8" name="Conector reto 1797">
            <a:extLst>
              <a:ext uri="{FF2B5EF4-FFF2-40B4-BE49-F238E27FC236}">
                <a16:creationId xmlns:a16="http://schemas.microsoft.com/office/drawing/2014/main" id="{97A90252-27E3-4221-A4DF-A72B7B27585D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9" name="Conector reto 1798">
            <a:extLst>
              <a:ext uri="{FF2B5EF4-FFF2-40B4-BE49-F238E27FC236}">
                <a16:creationId xmlns:a16="http://schemas.microsoft.com/office/drawing/2014/main" id="{4AA285B1-D7B8-4062-A7DA-823C5673C45F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0" name="Conector reto 1799">
            <a:extLst>
              <a:ext uri="{FF2B5EF4-FFF2-40B4-BE49-F238E27FC236}">
                <a16:creationId xmlns:a16="http://schemas.microsoft.com/office/drawing/2014/main" id="{587F253D-FA44-4E2C-A4A9-6804167EE751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1" name="Conector reto 1800">
            <a:extLst>
              <a:ext uri="{FF2B5EF4-FFF2-40B4-BE49-F238E27FC236}">
                <a16:creationId xmlns:a16="http://schemas.microsoft.com/office/drawing/2014/main" id="{21689AA2-2BC9-4B61-BA26-F8CA5B934245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2" name="Conector reto 1801">
            <a:extLst>
              <a:ext uri="{FF2B5EF4-FFF2-40B4-BE49-F238E27FC236}">
                <a16:creationId xmlns:a16="http://schemas.microsoft.com/office/drawing/2014/main" id="{AE6DF454-8522-4ADF-B7E7-9F912E3B4918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3" name="Conector reto 1802">
            <a:extLst>
              <a:ext uri="{FF2B5EF4-FFF2-40B4-BE49-F238E27FC236}">
                <a16:creationId xmlns:a16="http://schemas.microsoft.com/office/drawing/2014/main" id="{EA818183-A682-4ACD-B30F-683DA0E6570E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4" name="Conector reto 1803">
            <a:extLst>
              <a:ext uri="{FF2B5EF4-FFF2-40B4-BE49-F238E27FC236}">
                <a16:creationId xmlns:a16="http://schemas.microsoft.com/office/drawing/2014/main" id="{AF86552D-4FF0-4AFB-9668-6E643E028789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5" name="Conector reto 1804">
            <a:extLst>
              <a:ext uri="{FF2B5EF4-FFF2-40B4-BE49-F238E27FC236}">
                <a16:creationId xmlns:a16="http://schemas.microsoft.com/office/drawing/2014/main" id="{7331ECD1-8D0F-4D4C-905A-8490AD8147D6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6" name="Conector reto 1805">
            <a:extLst>
              <a:ext uri="{FF2B5EF4-FFF2-40B4-BE49-F238E27FC236}">
                <a16:creationId xmlns:a16="http://schemas.microsoft.com/office/drawing/2014/main" id="{295DAADB-B99A-428C-B17B-7B1C72FEF922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7" name="Conector reto 1806">
            <a:extLst>
              <a:ext uri="{FF2B5EF4-FFF2-40B4-BE49-F238E27FC236}">
                <a16:creationId xmlns:a16="http://schemas.microsoft.com/office/drawing/2014/main" id="{A746B204-845B-489B-B6F2-746C6AB0A376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8" name="Conector reto 1807">
            <a:extLst>
              <a:ext uri="{FF2B5EF4-FFF2-40B4-BE49-F238E27FC236}">
                <a16:creationId xmlns:a16="http://schemas.microsoft.com/office/drawing/2014/main" id="{1C18C365-7A3F-47BE-9B55-F194612FD107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9" name="Conector reto 1808">
            <a:extLst>
              <a:ext uri="{FF2B5EF4-FFF2-40B4-BE49-F238E27FC236}">
                <a16:creationId xmlns:a16="http://schemas.microsoft.com/office/drawing/2014/main" id="{70E5C1BC-72A3-4483-AA07-29AD13AC926A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0" name="Conector reto 1809">
            <a:extLst>
              <a:ext uri="{FF2B5EF4-FFF2-40B4-BE49-F238E27FC236}">
                <a16:creationId xmlns:a16="http://schemas.microsoft.com/office/drawing/2014/main" id="{E9D6252D-3AC9-40AB-A2C6-C9EFB892C5EB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1" name="Conector reto 1810">
            <a:extLst>
              <a:ext uri="{FF2B5EF4-FFF2-40B4-BE49-F238E27FC236}">
                <a16:creationId xmlns:a16="http://schemas.microsoft.com/office/drawing/2014/main" id="{3402C796-15A4-4287-A5D8-3440A2FDCDF9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2" name="Conector reto 1811">
            <a:extLst>
              <a:ext uri="{FF2B5EF4-FFF2-40B4-BE49-F238E27FC236}">
                <a16:creationId xmlns:a16="http://schemas.microsoft.com/office/drawing/2014/main" id="{CAB13AEC-00E7-4611-9FF3-10F6F40067CF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3" name="Conector reto 1812">
            <a:extLst>
              <a:ext uri="{FF2B5EF4-FFF2-40B4-BE49-F238E27FC236}">
                <a16:creationId xmlns:a16="http://schemas.microsoft.com/office/drawing/2014/main" id="{CA71E317-79D1-4DE7-91DF-BA7679B60242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4" name="Conector reto 1813">
            <a:extLst>
              <a:ext uri="{FF2B5EF4-FFF2-40B4-BE49-F238E27FC236}">
                <a16:creationId xmlns:a16="http://schemas.microsoft.com/office/drawing/2014/main" id="{8CFD02A9-8A26-4C2D-97F4-983625DE03E5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5" name="Conector reto 1814">
            <a:extLst>
              <a:ext uri="{FF2B5EF4-FFF2-40B4-BE49-F238E27FC236}">
                <a16:creationId xmlns:a16="http://schemas.microsoft.com/office/drawing/2014/main" id="{5ECDAB59-AD93-4DC9-BAF2-883309BEA259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16" name="Forma Livre: Forma 1815">
            <a:extLst>
              <a:ext uri="{FF2B5EF4-FFF2-40B4-BE49-F238E27FC236}">
                <a16:creationId xmlns:a16="http://schemas.microsoft.com/office/drawing/2014/main" id="{585D19C8-9AA3-4BC7-AFC2-8007789C6267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7" name="Forma Livre: Forma 1816">
            <a:extLst>
              <a:ext uri="{FF2B5EF4-FFF2-40B4-BE49-F238E27FC236}">
                <a16:creationId xmlns:a16="http://schemas.microsoft.com/office/drawing/2014/main" id="{4850FF1D-62A5-4D6D-9849-EEAD852219E0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8" name="Forma Livre: Forma 1817">
            <a:extLst>
              <a:ext uri="{FF2B5EF4-FFF2-40B4-BE49-F238E27FC236}">
                <a16:creationId xmlns:a16="http://schemas.microsoft.com/office/drawing/2014/main" id="{0B80F337-0B5E-47C4-ACDA-CB2A60A93DCF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19" name="Forma Livre: Forma 1818">
            <a:extLst>
              <a:ext uri="{FF2B5EF4-FFF2-40B4-BE49-F238E27FC236}">
                <a16:creationId xmlns:a16="http://schemas.microsoft.com/office/drawing/2014/main" id="{0FC02FDA-070A-41B9-A239-002C0F89471E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0" name="Forma Livre: Forma 1819">
            <a:extLst>
              <a:ext uri="{FF2B5EF4-FFF2-40B4-BE49-F238E27FC236}">
                <a16:creationId xmlns:a16="http://schemas.microsoft.com/office/drawing/2014/main" id="{FDF6510A-64F8-4A89-A8C0-06D5E37F4C09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1" name="Forma Livre: Forma 1820">
            <a:extLst>
              <a:ext uri="{FF2B5EF4-FFF2-40B4-BE49-F238E27FC236}">
                <a16:creationId xmlns:a16="http://schemas.microsoft.com/office/drawing/2014/main" id="{48152E7E-5908-411F-9A78-1D72828F1102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2" name="Elipse 1821">
            <a:extLst>
              <a:ext uri="{FF2B5EF4-FFF2-40B4-BE49-F238E27FC236}">
                <a16:creationId xmlns:a16="http://schemas.microsoft.com/office/drawing/2014/main" id="{5B11FE30-27F8-48BB-B109-69AFDF68EC49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3" name="Elipse 1822">
            <a:extLst>
              <a:ext uri="{FF2B5EF4-FFF2-40B4-BE49-F238E27FC236}">
                <a16:creationId xmlns:a16="http://schemas.microsoft.com/office/drawing/2014/main" id="{09E77799-7EC9-4FC2-8900-4C350261A71B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4" name="Elipse 1823">
            <a:extLst>
              <a:ext uri="{FF2B5EF4-FFF2-40B4-BE49-F238E27FC236}">
                <a16:creationId xmlns:a16="http://schemas.microsoft.com/office/drawing/2014/main" id="{2B1E6559-5CA3-4EA9-B595-D39BEBA5AD50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5" name="Elipse 1824">
            <a:extLst>
              <a:ext uri="{FF2B5EF4-FFF2-40B4-BE49-F238E27FC236}">
                <a16:creationId xmlns:a16="http://schemas.microsoft.com/office/drawing/2014/main" id="{5F75E49F-9450-4D07-BC27-B458F668945D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6" name="Elipse 1825">
            <a:extLst>
              <a:ext uri="{FF2B5EF4-FFF2-40B4-BE49-F238E27FC236}">
                <a16:creationId xmlns:a16="http://schemas.microsoft.com/office/drawing/2014/main" id="{56EB2CAE-C8DD-4A8B-8743-8701D12A2D65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7" name="Elipse 1826">
            <a:extLst>
              <a:ext uri="{FF2B5EF4-FFF2-40B4-BE49-F238E27FC236}">
                <a16:creationId xmlns:a16="http://schemas.microsoft.com/office/drawing/2014/main" id="{E889AD84-60C6-4742-A91C-D406056F7801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8" name="Elipse 1827">
            <a:extLst>
              <a:ext uri="{FF2B5EF4-FFF2-40B4-BE49-F238E27FC236}">
                <a16:creationId xmlns:a16="http://schemas.microsoft.com/office/drawing/2014/main" id="{5F6AE0DD-578D-427C-A32C-3201C3472A0A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29" name="Elipse 1828">
            <a:extLst>
              <a:ext uri="{FF2B5EF4-FFF2-40B4-BE49-F238E27FC236}">
                <a16:creationId xmlns:a16="http://schemas.microsoft.com/office/drawing/2014/main" id="{73A28CF7-037A-4752-A54D-E6B005404690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0" name="Elipse 1829">
            <a:extLst>
              <a:ext uri="{FF2B5EF4-FFF2-40B4-BE49-F238E27FC236}">
                <a16:creationId xmlns:a16="http://schemas.microsoft.com/office/drawing/2014/main" id="{1030FC44-1EC1-460E-BD10-ECAE436D564B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1" name="Elipse 1830">
            <a:extLst>
              <a:ext uri="{FF2B5EF4-FFF2-40B4-BE49-F238E27FC236}">
                <a16:creationId xmlns:a16="http://schemas.microsoft.com/office/drawing/2014/main" id="{40E0F024-C3F5-4DD9-9E82-84794D763C59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2" name="Elipse 1831">
            <a:extLst>
              <a:ext uri="{FF2B5EF4-FFF2-40B4-BE49-F238E27FC236}">
                <a16:creationId xmlns:a16="http://schemas.microsoft.com/office/drawing/2014/main" id="{6DEDE0E5-6678-4FFD-A148-D699F034E82A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3" name="Elipse 1832">
            <a:extLst>
              <a:ext uri="{FF2B5EF4-FFF2-40B4-BE49-F238E27FC236}">
                <a16:creationId xmlns:a16="http://schemas.microsoft.com/office/drawing/2014/main" id="{DB205DA3-FCB7-4FEE-9873-2A27169EB085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4" name="Elipse 1833">
            <a:extLst>
              <a:ext uri="{FF2B5EF4-FFF2-40B4-BE49-F238E27FC236}">
                <a16:creationId xmlns:a16="http://schemas.microsoft.com/office/drawing/2014/main" id="{96700F56-7469-4C7E-8477-DF2960A9C655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5" name="Elipse 1834">
            <a:extLst>
              <a:ext uri="{FF2B5EF4-FFF2-40B4-BE49-F238E27FC236}">
                <a16:creationId xmlns:a16="http://schemas.microsoft.com/office/drawing/2014/main" id="{7A8AC81B-B32C-427F-B204-5399777DEBD6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6" name="Elipse 1835">
            <a:extLst>
              <a:ext uri="{FF2B5EF4-FFF2-40B4-BE49-F238E27FC236}">
                <a16:creationId xmlns:a16="http://schemas.microsoft.com/office/drawing/2014/main" id="{D869126B-24B6-459F-8087-7C41F6476FFE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7" name="Elipse 1836">
            <a:extLst>
              <a:ext uri="{FF2B5EF4-FFF2-40B4-BE49-F238E27FC236}">
                <a16:creationId xmlns:a16="http://schemas.microsoft.com/office/drawing/2014/main" id="{E62D387F-C386-4D70-AFE7-563BDE68A920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8" name="Elipse 1837">
            <a:extLst>
              <a:ext uri="{FF2B5EF4-FFF2-40B4-BE49-F238E27FC236}">
                <a16:creationId xmlns:a16="http://schemas.microsoft.com/office/drawing/2014/main" id="{2C8AC143-C3A6-4601-AB7F-781180E422D0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39" name="Elipse 1838">
            <a:extLst>
              <a:ext uri="{FF2B5EF4-FFF2-40B4-BE49-F238E27FC236}">
                <a16:creationId xmlns:a16="http://schemas.microsoft.com/office/drawing/2014/main" id="{4B53DBC0-C141-48F3-BCDE-8048E832CBCA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0" name="Elipse 1839">
            <a:extLst>
              <a:ext uri="{FF2B5EF4-FFF2-40B4-BE49-F238E27FC236}">
                <a16:creationId xmlns:a16="http://schemas.microsoft.com/office/drawing/2014/main" id="{187834E2-9E9C-4AB4-A454-FBD987B2D3B1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1" name="Elipse 1840">
            <a:extLst>
              <a:ext uri="{FF2B5EF4-FFF2-40B4-BE49-F238E27FC236}">
                <a16:creationId xmlns:a16="http://schemas.microsoft.com/office/drawing/2014/main" id="{981EF302-20A9-4D24-A00A-3912A310C72F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2" name="Elipse 1841">
            <a:extLst>
              <a:ext uri="{FF2B5EF4-FFF2-40B4-BE49-F238E27FC236}">
                <a16:creationId xmlns:a16="http://schemas.microsoft.com/office/drawing/2014/main" id="{8CB35640-B46B-4CF1-A351-107AD370C5BF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3" name="Elipse 1842">
            <a:extLst>
              <a:ext uri="{FF2B5EF4-FFF2-40B4-BE49-F238E27FC236}">
                <a16:creationId xmlns:a16="http://schemas.microsoft.com/office/drawing/2014/main" id="{F29D13BF-F51D-4D26-AE05-4D83BC1FB508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4" name="Elipse 1843">
            <a:extLst>
              <a:ext uri="{FF2B5EF4-FFF2-40B4-BE49-F238E27FC236}">
                <a16:creationId xmlns:a16="http://schemas.microsoft.com/office/drawing/2014/main" id="{D6632AA6-308E-4FB5-9BC1-F23A9DBCF905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5" name="Elipse 1844">
            <a:extLst>
              <a:ext uri="{FF2B5EF4-FFF2-40B4-BE49-F238E27FC236}">
                <a16:creationId xmlns:a16="http://schemas.microsoft.com/office/drawing/2014/main" id="{2A72C537-8E10-4FAA-B771-A5402C853F79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6" name="Elipse 1845">
            <a:extLst>
              <a:ext uri="{FF2B5EF4-FFF2-40B4-BE49-F238E27FC236}">
                <a16:creationId xmlns:a16="http://schemas.microsoft.com/office/drawing/2014/main" id="{A86B122B-FC0F-44BD-B457-CE13DE00096B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7" name="Elipse 1846">
            <a:extLst>
              <a:ext uri="{FF2B5EF4-FFF2-40B4-BE49-F238E27FC236}">
                <a16:creationId xmlns:a16="http://schemas.microsoft.com/office/drawing/2014/main" id="{0EB4DECF-01BF-483B-83DC-A572EE277D38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8" name="Elipse 1847">
            <a:extLst>
              <a:ext uri="{FF2B5EF4-FFF2-40B4-BE49-F238E27FC236}">
                <a16:creationId xmlns:a16="http://schemas.microsoft.com/office/drawing/2014/main" id="{EF8B6580-4009-4294-BA76-F9011648C212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9" name="Elipse 1848">
            <a:extLst>
              <a:ext uri="{FF2B5EF4-FFF2-40B4-BE49-F238E27FC236}">
                <a16:creationId xmlns:a16="http://schemas.microsoft.com/office/drawing/2014/main" id="{EBFA0BC5-2356-45B2-B54F-494B2E0C00B1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0" name="Elipse 1849">
            <a:extLst>
              <a:ext uri="{FF2B5EF4-FFF2-40B4-BE49-F238E27FC236}">
                <a16:creationId xmlns:a16="http://schemas.microsoft.com/office/drawing/2014/main" id="{FCCF72DE-C5E0-4B93-A76A-C6B53B8C9B99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1" name="Elipse 1850">
            <a:extLst>
              <a:ext uri="{FF2B5EF4-FFF2-40B4-BE49-F238E27FC236}">
                <a16:creationId xmlns:a16="http://schemas.microsoft.com/office/drawing/2014/main" id="{57EFFAEC-9CCD-4E52-802D-481BEB87F151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2" name="Elipse 1851">
            <a:extLst>
              <a:ext uri="{FF2B5EF4-FFF2-40B4-BE49-F238E27FC236}">
                <a16:creationId xmlns:a16="http://schemas.microsoft.com/office/drawing/2014/main" id="{1AF9512B-F157-45BD-A6E1-DE3902D687FD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3" name="Elipse 1852">
            <a:extLst>
              <a:ext uri="{FF2B5EF4-FFF2-40B4-BE49-F238E27FC236}">
                <a16:creationId xmlns:a16="http://schemas.microsoft.com/office/drawing/2014/main" id="{EFCA4A61-694D-4406-AC75-48C807FFEBBF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4" name="Elipse 1853">
            <a:extLst>
              <a:ext uri="{FF2B5EF4-FFF2-40B4-BE49-F238E27FC236}">
                <a16:creationId xmlns:a16="http://schemas.microsoft.com/office/drawing/2014/main" id="{CCE405E8-FDB8-4441-9C95-6B1FC6ABAC5C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5" name="Elipse 1854">
            <a:extLst>
              <a:ext uri="{FF2B5EF4-FFF2-40B4-BE49-F238E27FC236}">
                <a16:creationId xmlns:a16="http://schemas.microsoft.com/office/drawing/2014/main" id="{01848D16-36BC-49D2-93CF-CCE590D9C9E2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6" name="Elipse 1855">
            <a:extLst>
              <a:ext uri="{FF2B5EF4-FFF2-40B4-BE49-F238E27FC236}">
                <a16:creationId xmlns:a16="http://schemas.microsoft.com/office/drawing/2014/main" id="{AB606176-2920-42C5-B8BF-90E317B7B8DC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7" name="Elipse 1856">
            <a:extLst>
              <a:ext uri="{FF2B5EF4-FFF2-40B4-BE49-F238E27FC236}">
                <a16:creationId xmlns:a16="http://schemas.microsoft.com/office/drawing/2014/main" id="{D8DEC049-BA1F-4FB6-B748-0F280401A74E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8" name="Elipse 1857">
            <a:extLst>
              <a:ext uri="{FF2B5EF4-FFF2-40B4-BE49-F238E27FC236}">
                <a16:creationId xmlns:a16="http://schemas.microsoft.com/office/drawing/2014/main" id="{2E02B1FD-43EE-4CC4-BF32-D8F45D004A9A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59" name="Elipse 1858">
            <a:extLst>
              <a:ext uri="{FF2B5EF4-FFF2-40B4-BE49-F238E27FC236}">
                <a16:creationId xmlns:a16="http://schemas.microsoft.com/office/drawing/2014/main" id="{751A4571-DD33-4166-83EC-0A5D5D5C6F72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678126</xdr:colOff>
      <xdr:row>17</xdr:row>
      <xdr:rowOff>119063</xdr:rowOff>
    </xdr:from>
    <xdr:to>
      <xdr:col>16</xdr:col>
      <xdr:colOff>420726</xdr:colOff>
      <xdr:row>19</xdr:row>
      <xdr:rowOff>117113</xdr:rowOff>
    </xdr:to>
    <xdr:grpSp>
      <xdr:nvGrpSpPr>
        <xdr:cNvPr id="2022" name="Agrupar 2021">
          <a:extLst>
            <a:ext uri="{FF2B5EF4-FFF2-40B4-BE49-F238E27FC236}">
              <a16:creationId xmlns:a16="http://schemas.microsoft.com/office/drawing/2014/main" id="{B5B37838-800F-4DD1-9B9D-1E1D25A7785D}"/>
            </a:ext>
          </a:extLst>
        </xdr:cNvPr>
        <xdr:cNvGrpSpPr/>
      </xdr:nvGrpSpPr>
      <xdr:grpSpPr>
        <a:xfrm>
          <a:off x="12393876" y="3167063"/>
          <a:ext cx="1783671" cy="351836"/>
          <a:chOff x="7936176" y="442913"/>
          <a:chExt cx="8293101" cy="4775396"/>
        </a:xfrm>
      </xdr:grpSpPr>
      <xdr:sp macro="" textlink="">
        <xdr:nvSpPr>
          <xdr:cNvPr id="1951" name="Elipse 1950">
            <a:extLst>
              <a:ext uri="{FF2B5EF4-FFF2-40B4-BE49-F238E27FC236}">
                <a16:creationId xmlns:a16="http://schemas.microsoft.com/office/drawing/2014/main" id="{86F91054-E48B-480C-BF97-AC35E5608FD5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2" name="Elipse 1951">
            <a:extLst>
              <a:ext uri="{FF2B5EF4-FFF2-40B4-BE49-F238E27FC236}">
                <a16:creationId xmlns:a16="http://schemas.microsoft.com/office/drawing/2014/main" id="{7E3F8035-BA2D-46D1-9E21-6E8ABA0EA849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3" name="Elipse 1952">
            <a:extLst>
              <a:ext uri="{FF2B5EF4-FFF2-40B4-BE49-F238E27FC236}">
                <a16:creationId xmlns:a16="http://schemas.microsoft.com/office/drawing/2014/main" id="{6207A6C6-518D-4BAC-B3FF-82EF5D1122E2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4" name="Elipse 1953">
            <a:extLst>
              <a:ext uri="{FF2B5EF4-FFF2-40B4-BE49-F238E27FC236}">
                <a16:creationId xmlns:a16="http://schemas.microsoft.com/office/drawing/2014/main" id="{A37A81F8-5E0B-4082-A25C-2BE5D3FCC0A7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5" name="Elipse 1954">
            <a:extLst>
              <a:ext uri="{FF2B5EF4-FFF2-40B4-BE49-F238E27FC236}">
                <a16:creationId xmlns:a16="http://schemas.microsoft.com/office/drawing/2014/main" id="{D47F9379-B6EC-4CC7-B855-6800B6642BE7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6" name="Elipse 1955">
            <a:extLst>
              <a:ext uri="{FF2B5EF4-FFF2-40B4-BE49-F238E27FC236}">
                <a16:creationId xmlns:a16="http://schemas.microsoft.com/office/drawing/2014/main" id="{9E2EC506-2F04-4E2B-9ABC-8849CBFC8437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7" name="Elipse 1956">
            <a:extLst>
              <a:ext uri="{FF2B5EF4-FFF2-40B4-BE49-F238E27FC236}">
                <a16:creationId xmlns:a16="http://schemas.microsoft.com/office/drawing/2014/main" id="{C7F4F607-7BBB-47F1-BAA9-9DDFCAEA9644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8" name="Elipse 1957">
            <a:extLst>
              <a:ext uri="{FF2B5EF4-FFF2-40B4-BE49-F238E27FC236}">
                <a16:creationId xmlns:a16="http://schemas.microsoft.com/office/drawing/2014/main" id="{F264D423-431A-405E-8463-04DD1CB4FE33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9" name="Elipse 1958">
            <a:extLst>
              <a:ext uri="{FF2B5EF4-FFF2-40B4-BE49-F238E27FC236}">
                <a16:creationId xmlns:a16="http://schemas.microsoft.com/office/drawing/2014/main" id="{91B4D5B3-DFF0-41B0-872A-B712A6D0968B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60" name="Elipse 1959">
            <a:extLst>
              <a:ext uri="{FF2B5EF4-FFF2-40B4-BE49-F238E27FC236}">
                <a16:creationId xmlns:a16="http://schemas.microsoft.com/office/drawing/2014/main" id="{AAB91E28-9AFB-4448-9450-15B75755720E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61" name="Elipse 1960">
            <a:extLst>
              <a:ext uri="{FF2B5EF4-FFF2-40B4-BE49-F238E27FC236}">
                <a16:creationId xmlns:a16="http://schemas.microsoft.com/office/drawing/2014/main" id="{29C15A5E-7532-480A-A153-AE9305F856EE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62" name="Elipse 1961">
            <a:extLst>
              <a:ext uri="{FF2B5EF4-FFF2-40B4-BE49-F238E27FC236}">
                <a16:creationId xmlns:a16="http://schemas.microsoft.com/office/drawing/2014/main" id="{794F2CAC-0F0D-43EC-A933-0B2DD788EEE6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63" name="Elipse 1962">
            <a:extLst>
              <a:ext uri="{FF2B5EF4-FFF2-40B4-BE49-F238E27FC236}">
                <a16:creationId xmlns:a16="http://schemas.microsoft.com/office/drawing/2014/main" id="{FFE4D3E0-5AF1-4D98-9986-E456F83BB219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64" name="Elipse 1963">
            <a:extLst>
              <a:ext uri="{FF2B5EF4-FFF2-40B4-BE49-F238E27FC236}">
                <a16:creationId xmlns:a16="http://schemas.microsoft.com/office/drawing/2014/main" id="{38AAAE6F-62E9-4EA3-BA78-D8B54203C0CF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965" name="Conector reto 1964">
            <a:extLst>
              <a:ext uri="{FF2B5EF4-FFF2-40B4-BE49-F238E27FC236}">
                <a16:creationId xmlns:a16="http://schemas.microsoft.com/office/drawing/2014/main" id="{83319EE1-01DA-445E-82AC-4407294FACBF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6" name="Conector reto 1965">
            <a:extLst>
              <a:ext uri="{FF2B5EF4-FFF2-40B4-BE49-F238E27FC236}">
                <a16:creationId xmlns:a16="http://schemas.microsoft.com/office/drawing/2014/main" id="{F9BDC120-06E9-4126-8E08-C799EB65F871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7" name="Conector reto 1966">
            <a:extLst>
              <a:ext uri="{FF2B5EF4-FFF2-40B4-BE49-F238E27FC236}">
                <a16:creationId xmlns:a16="http://schemas.microsoft.com/office/drawing/2014/main" id="{EBEEEA6E-57E3-45FE-B88A-E069B9F631DE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8" name="Conector reto 1967">
            <a:extLst>
              <a:ext uri="{FF2B5EF4-FFF2-40B4-BE49-F238E27FC236}">
                <a16:creationId xmlns:a16="http://schemas.microsoft.com/office/drawing/2014/main" id="{FAD2A4DE-291B-4D1A-9EEF-67F9BF8DF17F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9" name="Conector reto 1968">
            <a:extLst>
              <a:ext uri="{FF2B5EF4-FFF2-40B4-BE49-F238E27FC236}">
                <a16:creationId xmlns:a16="http://schemas.microsoft.com/office/drawing/2014/main" id="{43F0CB8C-3BD9-477F-8F87-C73AA1C4849F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0" name="Conector reto 1969">
            <a:extLst>
              <a:ext uri="{FF2B5EF4-FFF2-40B4-BE49-F238E27FC236}">
                <a16:creationId xmlns:a16="http://schemas.microsoft.com/office/drawing/2014/main" id="{2E1495F8-E776-4D45-BF06-60E8A5B304FC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1" name="Conector reto 1970">
            <a:extLst>
              <a:ext uri="{FF2B5EF4-FFF2-40B4-BE49-F238E27FC236}">
                <a16:creationId xmlns:a16="http://schemas.microsoft.com/office/drawing/2014/main" id="{31CF375B-6618-4392-9DCF-A7A5544811E4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2" name="Conector reto 1971">
            <a:extLst>
              <a:ext uri="{FF2B5EF4-FFF2-40B4-BE49-F238E27FC236}">
                <a16:creationId xmlns:a16="http://schemas.microsoft.com/office/drawing/2014/main" id="{067AE3E2-992C-46B8-994E-EEB10A72C2FF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3" name="Conector reto 1972">
            <a:extLst>
              <a:ext uri="{FF2B5EF4-FFF2-40B4-BE49-F238E27FC236}">
                <a16:creationId xmlns:a16="http://schemas.microsoft.com/office/drawing/2014/main" id="{3134BD37-51BD-4B51-82D2-CF53B0E0EA46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4" name="Conector reto 1973">
            <a:extLst>
              <a:ext uri="{FF2B5EF4-FFF2-40B4-BE49-F238E27FC236}">
                <a16:creationId xmlns:a16="http://schemas.microsoft.com/office/drawing/2014/main" id="{F638CFE1-8401-48DE-8E63-5E8A448702A2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5" name="Conector reto 1974">
            <a:extLst>
              <a:ext uri="{FF2B5EF4-FFF2-40B4-BE49-F238E27FC236}">
                <a16:creationId xmlns:a16="http://schemas.microsoft.com/office/drawing/2014/main" id="{5CE5B843-E44B-4D49-855E-BCB5D5D8D7A6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6" name="Conector reto 1975">
            <a:extLst>
              <a:ext uri="{FF2B5EF4-FFF2-40B4-BE49-F238E27FC236}">
                <a16:creationId xmlns:a16="http://schemas.microsoft.com/office/drawing/2014/main" id="{F8878050-8F6C-49F5-B37F-3CC1B082C4E2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7" name="Conector reto 1976">
            <a:extLst>
              <a:ext uri="{FF2B5EF4-FFF2-40B4-BE49-F238E27FC236}">
                <a16:creationId xmlns:a16="http://schemas.microsoft.com/office/drawing/2014/main" id="{AC3DC6AF-FF01-4F1D-84FC-9CA95A0732B4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8" name="Conector reto 1977">
            <a:extLst>
              <a:ext uri="{FF2B5EF4-FFF2-40B4-BE49-F238E27FC236}">
                <a16:creationId xmlns:a16="http://schemas.microsoft.com/office/drawing/2014/main" id="{22A3C2A2-87A5-43DB-8261-5F90B5D8C515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9" name="Conector reto 1978">
            <a:extLst>
              <a:ext uri="{FF2B5EF4-FFF2-40B4-BE49-F238E27FC236}">
                <a16:creationId xmlns:a16="http://schemas.microsoft.com/office/drawing/2014/main" id="{898290B3-F36E-4922-A093-28B83EFCBC5A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0" name="Conector reto 1979">
            <a:extLst>
              <a:ext uri="{FF2B5EF4-FFF2-40B4-BE49-F238E27FC236}">
                <a16:creationId xmlns:a16="http://schemas.microsoft.com/office/drawing/2014/main" id="{8C36EDEF-A026-4061-9740-03DAE3EAA0CA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1" name="Conector reto 1980">
            <a:extLst>
              <a:ext uri="{FF2B5EF4-FFF2-40B4-BE49-F238E27FC236}">
                <a16:creationId xmlns:a16="http://schemas.microsoft.com/office/drawing/2014/main" id="{872C0453-3BB5-4CEB-B6B1-BA10FDB80898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2" name="Conector reto 1981">
            <a:extLst>
              <a:ext uri="{FF2B5EF4-FFF2-40B4-BE49-F238E27FC236}">
                <a16:creationId xmlns:a16="http://schemas.microsoft.com/office/drawing/2014/main" id="{1A834DA6-A21B-40C2-88CC-B4869EA7C099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3" name="Conector reto 1982">
            <a:extLst>
              <a:ext uri="{FF2B5EF4-FFF2-40B4-BE49-F238E27FC236}">
                <a16:creationId xmlns:a16="http://schemas.microsoft.com/office/drawing/2014/main" id="{38DB6D51-D58F-418C-96A1-5572DE9CF1F5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4" name="Conector reto 1983">
            <a:extLst>
              <a:ext uri="{FF2B5EF4-FFF2-40B4-BE49-F238E27FC236}">
                <a16:creationId xmlns:a16="http://schemas.microsoft.com/office/drawing/2014/main" id="{1C4F3B06-23ED-4411-8A1E-DB4D4FD8CC16}"/>
              </a:ext>
            </a:extLst>
          </xdr:cNvPr>
          <xdr:cNvCxnSpPr/>
        </xdr:nvCxnSpPr>
        <xdr:spPr>
          <a:xfrm flipV="1">
            <a:off x="80391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5" name="Conector reto 1984">
            <a:extLst>
              <a:ext uri="{FF2B5EF4-FFF2-40B4-BE49-F238E27FC236}">
                <a16:creationId xmlns:a16="http://schemas.microsoft.com/office/drawing/2014/main" id="{FD4FEB2B-3BC6-4A70-BB50-FFC5A99C359D}"/>
              </a:ext>
            </a:extLst>
          </xdr:cNvPr>
          <xdr:cNvCxnSpPr/>
        </xdr:nvCxnSpPr>
        <xdr:spPr>
          <a:xfrm flipV="1">
            <a:off x="93789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6" name="Conector reto 1985">
            <a:extLst>
              <a:ext uri="{FF2B5EF4-FFF2-40B4-BE49-F238E27FC236}">
                <a16:creationId xmlns:a16="http://schemas.microsoft.com/office/drawing/2014/main" id="{E4952502-6C7E-4370-B222-8918DE235E7D}"/>
              </a:ext>
            </a:extLst>
          </xdr:cNvPr>
          <xdr:cNvCxnSpPr/>
        </xdr:nvCxnSpPr>
        <xdr:spPr>
          <a:xfrm flipV="1">
            <a:off x="1071880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7" name="Conector reto 1986">
            <a:extLst>
              <a:ext uri="{FF2B5EF4-FFF2-40B4-BE49-F238E27FC236}">
                <a16:creationId xmlns:a16="http://schemas.microsoft.com/office/drawing/2014/main" id="{D0F2119E-3FB9-4740-819A-45C23CAC15A7}"/>
              </a:ext>
            </a:extLst>
          </xdr:cNvPr>
          <xdr:cNvCxnSpPr/>
        </xdr:nvCxnSpPr>
        <xdr:spPr>
          <a:xfrm>
            <a:off x="12058650" y="474663"/>
            <a:ext cx="133985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8" name="Conector reto 1987">
            <a:extLst>
              <a:ext uri="{FF2B5EF4-FFF2-40B4-BE49-F238E27FC236}">
                <a16:creationId xmlns:a16="http://schemas.microsoft.com/office/drawing/2014/main" id="{81D73D19-1189-49C3-9D93-4F3BFED08038}"/>
              </a:ext>
            </a:extLst>
          </xdr:cNvPr>
          <xdr:cNvCxnSpPr/>
        </xdr:nvCxnSpPr>
        <xdr:spPr>
          <a:xfrm>
            <a:off x="133985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9" name="Conector reto 1988">
            <a:extLst>
              <a:ext uri="{FF2B5EF4-FFF2-40B4-BE49-F238E27FC236}">
                <a16:creationId xmlns:a16="http://schemas.microsoft.com/office/drawing/2014/main" id="{F016E008-6CD4-4E10-B474-5B524A203A56}"/>
              </a:ext>
            </a:extLst>
          </xdr:cNvPr>
          <xdr:cNvCxnSpPr/>
        </xdr:nvCxnSpPr>
        <xdr:spPr>
          <a:xfrm>
            <a:off x="147383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0" name="Forma Livre: Forma 1989">
            <a:extLst>
              <a:ext uri="{FF2B5EF4-FFF2-40B4-BE49-F238E27FC236}">
                <a16:creationId xmlns:a16="http://schemas.microsoft.com/office/drawing/2014/main" id="{FF1AAE1C-2F18-4E89-ADB9-AE4EFD1226E2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1" name="Forma Livre: Forma 1990">
            <a:extLst>
              <a:ext uri="{FF2B5EF4-FFF2-40B4-BE49-F238E27FC236}">
                <a16:creationId xmlns:a16="http://schemas.microsoft.com/office/drawing/2014/main" id="{C2C032AC-325E-4C17-A853-BA00E69A88A2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2" name="Forma Livre: Forma 1991">
            <a:extLst>
              <a:ext uri="{FF2B5EF4-FFF2-40B4-BE49-F238E27FC236}">
                <a16:creationId xmlns:a16="http://schemas.microsoft.com/office/drawing/2014/main" id="{EF1EEB31-13C0-41DD-B8D7-C98C2A9FD6B0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3" name="Forma Livre: Forma 1992">
            <a:extLst>
              <a:ext uri="{FF2B5EF4-FFF2-40B4-BE49-F238E27FC236}">
                <a16:creationId xmlns:a16="http://schemas.microsoft.com/office/drawing/2014/main" id="{694E09BA-9A1F-47C6-9617-7D60378DCAE7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4" name="Forma Livre: Forma 1993">
            <a:extLst>
              <a:ext uri="{FF2B5EF4-FFF2-40B4-BE49-F238E27FC236}">
                <a16:creationId xmlns:a16="http://schemas.microsoft.com/office/drawing/2014/main" id="{C6A37754-143A-4336-9ED2-7DB8B95516EE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5" name="Forma Livre: Forma 1994">
            <a:extLst>
              <a:ext uri="{FF2B5EF4-FFF2-40B4-BE49-F238E27FC236}">
                <a16:creationId xmlns:a16="http://schemas.microsoft.com/office/drawing/2014/main" id="{EE3EACDC-BC8F-4C98-82A6-4483367FAB1D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6" name="Elipse 1995">
            <a:extLst>
              <a:ext uri="{FF2B5EF4-FFF2-40B4-BE49-F238E27FC236}">
                <a16:creationId xmlns:a16="http://schemas.microsoft.com/office/drawing/2014/main" id="{E4802008-5F6B-42A1-9295-CB458B5A768D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7" name="Elipse 1996">
            <a:extLst>
              <a:ext uri="{FF2B5EF4-FFF2-40B4-BE49-F238E27FC236}">
                <a16:creationId xmlns:a16="http://schemas.microsoft.com/office/drawing/2014/main" id="{1968EAFF-B510-4D57-AE70-D9C54B82713B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8" name="Elipse 1997">
            <a:extLst>
              <a:ext uri="{FF2B5EF4-FFF2-40B4-BE49-F238E27FC236}">
                <a16:creationId xmlns:a16="http://schemas.microsoft.com/office/drawing/2014/main" id="{6626BD9A-FF14-4723-AA21-4B014A4DDBDB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99" name="Elipse 1998">
            <a:extLst>
              <a:ext uri="{FF2B5EF4-FFF2-40B4-BE49-F238E27FC236}">
                <a16:creationId xmlns:a16="http://schemas.microsoft.com/office/drawing/2014/main" id="{793121DB-CAC5-447D-B3BD-FDFFBECD1EE9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0" name="Elipse 1999">
            <a:extLst>
              <a:ext uri="{FF2B5EF4-FFF2-40B4-BE49-F238E27FC236}">
                <a16:creationId xmlns:a16="http://schemas.microsoft.com/office/drawing/2014/main" id="{9EF704FF-98C9-435D-B439-495CCA8CD7FD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1" name="Elipse 2000">
            <a:extLst>
              <a:ext uri="{FF2B5EF4-FFF2-40B4-BE49-F238E27FC236}">
                <a16:creationId xmlns:a16="http://schemas.microsoft.com/office/drawing/2014/main" id="{004E67B7-FAA0-4D18-829F-00F2B3C92478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2" name="Elipse 2001">
            <a:extLst>
              <a:ext uri="{FF2B5EF4-FFF2-40B4-BE49-F238E27FC236}">
                <a16:creationId xmlns:a16="http://schemas.microsoft.com/office/drawing/2014/main" id="{62F52F63-BFC6-4E18-8E69-E1EAAC5A1079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3" name="Elipse 2002">
            <a:extLst>
              <a:ext uri="{FF2B5EF4-FFF2-40B4-BE49-F238E27FC236}">
                <a16:creationId xmlns:a16="http://schemas.microsoft.com/office/drawing/2014/main" id="{4C12FBDB-7EB3-4798-861D-2D414C5F5C46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4" name="Elipse 2003">
            <a:extLst>
              <a:ext uri="{FF2B5EF4-FFF2-40B4-BE49-F238E27FC236}">
                <a16:creationId xmlns:a16="http://schemas.microsoft.com/office/drawing/2014/main" id="{AC99064E-DEF3-4E53-840C-F01882B81166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5" name="Elipse 2004">
            <a:extLst>
              <a:ext uri="{FF2B5EF4-FFF2-40B4-BE49-F238E27FC236}">
                <a16:creationId xmlns:a16="http://schemas.microsoft.com/office/drawing/2014/main" id="{D30EF899-2F3A-41F7-AF07-1493E9FE4326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6" name="Elipse 2005">
            <a:extLst>
              <a:ext uri="{FF2B5EF4-FFF2-40B4-BE49-F238E27FC236}">
                <a16:creationId xmlns:a16="http://schemas.microsoft.com/office/drawing/2014/main" id="{0A519DCC-417B-4F22-B666-91E6A34FBA1A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7" name="Elipse 2006">
            <a:extLst>
              <a:ext uri="{FF2B5EF4-FFF2-40B4-BE49-F238E27FC236}">
                <a16:creationId xmlns:a16="http://schemas.microsoft.com/office/drawing/2014/main" id="{55C22541-7C13-4114-BE3F-C2C751CBED5B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8" name="Elipse 2007">
            <a:extLst>
              <a:ext uri="{FF2B5EF4-FFF2-40B4-BE49-F238E27FC236}">
                <a16:creationId xmlns:a16="http://schemas.microsoft.com/office/drawing/2014/main" id="{376D60DE-373B-429D-B5CA-B3EEBEEA69C7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09" name="Elipse 2008">
            <a:extLst>
              <a:ext uri="{FF2B5EF4-FFF2-40B4-BE49-F238E27FC236}">
                <a16:creationId xmlns:a16="http://schemas.microsoft.com/office/drawing/2014/main" id="{66AC422F-DE3E-4946-8DB3-D0568547BEDA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0" name="Elipse 2009">
            <a:extLst>
              <a:ext uri="{FF2B5EF4-FFF2-40B4-BE49-F238E27FC236}">
                <a16:creationId xmlns:a16="http://schemas.microsoft.com/office/drawing/2014/main" id="{68210486-F13E-4532-AAE0-7D0BFE291843}"/>
              </a:ext>
            </a:extLst>
          </xdr:cNvPr>
          <xdr:cNvSpPr/>
        </xdr:nvSpPr>
        <xdr:spPr>
          <a:xfrm>
            <a:off x="80309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1" name="Elipse 2010">
            <a:extLst>
              <a:ext uri="{FF2B5EF4-FFF2-40B4-BE49-F238E27FC236}">
                <a16:creationId xmlns:a16="http://schemas.microsoft.com/office/drawing/2014/main" id="{DE1A0504-C35D-43F0-940B-E18A22B8EC0A}"/>
              </a:ext>
            </a:extLst>
          </xdr:cNvPr>
          <xdr:cNvSpPr/>
        </xdr:nvSpPr>
        <xdr:spPr>
          <a:xfrm>
            <a:off x="93236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2" name="Elipse 2011">
            <a:extLst>
              <a:ext uri="{FF2B5EF4-FFF2-40B4-BE49-F238E27FC236}">
                <a16:creationId xmlns:a16="http://schemas.microsoft.com/office/drawing/2014/main" id="{77894589-FF96-4DA3-A47B-ACDC3DAD068A}"/>
              </a:ext>
            </a:extLst>
          </xdr:cNvPr>
          <xdr:cNvSpPr/>
        </xdr:nvSpPr>
        <xdr:spPr>
          <a:xfrm>
            <a:off x="93672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3" name="Elipse 2012">
            <a:extLst>
              <a:ext uri="{FF2B5EF4-FFF2-40B4-BE49-F238E27FC236}">
                <a16:creationId xmlns:a16="http://schemas.microsoft.com/office/drawing/2014/main" id="{CF110AAB-136C-4531-A2B7-7B3B70E61DF8}"/>
              </a:ext>
            </a:extLst>
          </xdr:cNvPr>
          <xdr:cNvSpPr/>
        </xdr:nvSpPr>
        <xdr:spPr>
          <a:xfrm>
            <a:off x="1066697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4" name="Elipse 2013">
            <a:extLst>
              <a:ext uri="{FF2B5EF4-FFF2-40B4-BE49-F238E27FC236}">
                <a16:creationId xmlns:a16="http://schemas.microsoft.com/office/drawing/2014/main" id="{19E76875-C7D2-409A-A2B9-697A5A6450B4}"/>
              </a:ext>
            </a:extLst>
          </xdr:cNvPr>
          <xdr:cNvSpPr/>
        </xdr:nvSpPr>
        <xdr:spPr>
          <a:xfrm>
            <a:off x="1070449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5" name="Elipse 2014">
            <a:extLst>
              <a:ext uri="{FF2B5EF4-FFF2-40B4-BE49-F238E27FC236}">
                <a16:creationId xmlns:a16="http://schemas.microsoft.com/office/drawing/2014/main" id="{673DE15E-5115-4520-A616-F3E59C8AA8B9}"/>
              </a:ext>
            </a:extLst>
          </xdr:cNvPr>
          <xdr:cNvSpPr/>
        </xdr:nvSpPr>
        <xdr:spPr>
          <a:xfrm>
            <a:off x="1200945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6" name="Elipse 2015">
            <a:extLst>
              <a:ext uri="{FF2B5EF4-FFF2-40B4-BE49-F238E27FC236}">
                <a16:creationId xmlns:a16="http://schemas.microsoft.com/office/drawing/2014/main" id="{6E68E3E4-4F8C-47D4-9260-100FA6BCE744}"/>
              </a:ext>
            </a:extLst>
          </xdr:cNvPr>
          <xdr:cNvSpPr/>
        </xdr:nvSpPr>
        <xdr:spPr>
          <a:xfrm>
            <a:off x="12044345" y="50396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7" name="Elipse 2016">
            <a:extLst>
              <a:ext uri="{FF2B5EF4-FFF2-40B4-BE49-F238E27FC236}">
                <a16:creationId xmlns:a16="http://schemas.microsoft.com/office/drawing/2014/main" id="{9C3A4C2B-FCA6-4AE1-BBEE-1907A852DD42}"/>
              </a:ext>
            </a:extLst>
          </xdr:cNvPr>
          <xdr:cNvSpPr/>
        </xdr:nvSpPr>
        <xdr:spPr>
          <a:xfrm>
            <a:off x="13349305" y="507133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8" name="Elipse 2017">
            <a:extLst>
              <a:ext uri="{FF2B5EF4-FFF2-40B4-BE49-F238E27FC236}">
                <a16:creationId xmlns:a16="http://schemas.microsoft.com/office/drawing/2014/main" id="{9535B27B-7F15-4D3B-986A-42CCD92114C6}"/>
              </a:ext>
            </a:extLst>
          </xdr:cNvPr>
          <xdr:cNvSpPr/>
        </xdr:nvSpPr>
        <xdr:spPr>
          <a:xfrm>
            <a:off x="13386831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19" name="Elipse 2018">
            <a:extLst>
              <a:ext uri="{FF2B5EF4-FFF2-40B4-BE49-F238E27FC236}">
                <a16:creationId xmlns:a16="http://schemas.microsoft.com/office/drawing/2014/main" id="{6377F4AF-EAC6-4FBA-B29C-6012E2995667}"/>
              </a:ext>
            </a:extLst>
          </xdr:cNvPr>
          <xdr:cNvSpPr/>
        </xdr:nvSpPr>
        <xdr:spPr>
          <a:xfrm>
            <a:off x="14686519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0" name="Elipse 2019">
            <a:extLst>
              <a:ext uri="{FF2B5EF4-FFF2-40B4-BE49-F238E27FC236}">
                <a16:creationId xmlns:a16="http://schemas.microsoft.com/office/drawing/2014/main" id="{9937C929-5F33-4905-B618-45FB7D8364EF}"/>
              </a:ext>
            </a:extLst>
          </xdr:cNvPr>
          <xdr:cNvSpPr/>
        </xdr:nvSpPr>
        <xdr:spPr>
          <a:xfrm>
            <a:off x="147301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1" name="Elipse 2020">
            <a:extLst>
              <a:ext uri="{FF2B5EF4-FFF2-40B4-BE49-F238E27FC236}">
                <a16:creationId xmlns:a16="http://schemas.microsoft.com/office/drawing/2014/main" id="{B02A6737-ABAB-4DC4-AC2D-93A8A2722D19}"/>
              </a:ext>
            </a:extLst>
          </xdr:cNvPr>
          <xdr:cNvSpPr/>
        </xdr:nvSpPr>
        <xdr:spPr>
          <a:xfrm>
            <a:off x="160228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678126</xdr:colOff>
      <xdr:row>20</xdr:row>
      <xdr:rowOff>90488</xdr:rowOff>
    </xdr:from>
    <xdr:to>
      <xdr:col>16</xdr:col>
      <xdr:colOff>420726</xdr:colOff>
      <xdr:row>22</xdr:row>
      <xdr:rowOff>88538</xdr:rowOff>
    </xdr:to>
    <xdr:grpSp>
      <xdr:nvGrpSpPr>
        <xdr:cNvPr id="2094" name="Agrupar 2093">
          <a:extLst>
            <a:ext uri="{FF2B5EF4-FFF2-40B4-BE49-F238E27FC236}">
              <a16:creationId xmlns:a16="http://schemas.microsoft.com/office/drawing/2014/main" id="{E396A327-0732-4D97-8EC0-7F46A6F0BDB8}"/>
            </a:ext>
          </a:extLst>
        </xdr:cNvPr>
        <xdr:cNvGrpSpPr/>
      </xdr:nvGrpSpPr>
      <xdr:grpSpPr>
        <a:xfrm>
          <a:off x="12393876" y="3669167"/>
          <a:ext cx="1783671" cy="351835"/>
          <a:chOff x="7936176" y="442913"/>
          <a:chExt cx="8293101" cy="4775396"/>
        </a:xfrm>
      </xdr:grpSpPr>
      <xdr:sp macro="" textlink="">
        <xdr:nvSpPr>
          <xdr:cNvPr id="2023" name="Elipse 2022">
            <a:extLst>
              <a:ext uri="{FF2B5EF4-FFF2-40B4-BE49-F238E27FC236}">
                <a16:creationId xmlns:a16="http://schemas.microsoft.com/office/drawing/2014/main" id="{665850D6-E9E0-44A0-9111-5D708B9C7724}"/>
              </a:ext>
            </a:extLst>
          </xdr:cNvPr>
          <xdr:cNvSpPr/>
        </xdr:nvSpPr>
        <xdr:spPr>
          <a:xfrm>
            <a:off x="80073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4" name="Elipse 2023">
            <a:extLst>
              <a:ext uri="{FF2B5EF4-FFF2-40B4-BE49-F238E27FC236}">
                <a16:creationId xmlns:a16="http://schemas.microsoft.com/office/drawing/2014/main" id="{38A3DBC8-A458-4843-B228-7C8C257CCD14}"/>
              </a:ext>
            </a:extLst>
          </xdr:cNvPr>
          <xdr:cNvSpPr/>
        </xdr:nvSpPr>
        <xdr:spPr>
          <a:xfrm>
            <a:off x="93472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5" name="Elipse 2024">
            <a:extLst>
              <a:ext uri="{FF2B5EF4-FFF2-40B4-BE49-F238E27FC236}">
                <a16:creationId xmlns:a16="http://schemas.microsoft.com/office/drawing/2014/main" id="{3892A7BE-2E31-49D6-A677-C41D290A9400}"/>
              </a:ext>
            </a:extLst>
          </xdr:cNvPr>
          <xdr:cNvSpPr/>
        </xdr:nvSpPr>
        <xdr:spPr>
          <a:xfrm>
            <a:off x="106870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6" name="Elipse 2025">
            <a:extLst>
              <a:ext uri="{FF2B5EF4-FFF2-40B4-BE49-F238E27FC236}">
                <a16:creationId xmlns:a16="http://schemas.microsoft.com/office/drawing/2014/main" id="{079C88DF-E305-41A8-84C4-E435F7C4ECE4}"/>
              </a:ext>
            </a:extLst>
          </xdr:cNvPr>
          <xdr:cNvSpPr/>
        </xdr:nvSpPr>
        <xdr:spPr>
          <a:xfrm>
            <a:off x="120269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7" name="Elipse 2026">
            <a:extLst>
              <a:ext uri="{FF2B5EF4-FFF2-40B4-BE49-F238E27FC236}">
                <a16:creationId xmlns:a16="http://schemas.microsoft.com/office/drawing/2014/main" id="{D3228D14-7940-40D4-AFBF-B7921BE34A2F}"/>
              </a:ext>
            </a:extLst>
          </xdr:cNvPr>
          <xdr:cNvSpPr/>
        </xdr:nvSpPr>
        <xdr:spPr>
          <a:xfrm>
            <a:off x="133667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8" name="Elipse 2027">
            <a:extLst>
              <a:ext uri="{FF2B5EF4-FFF2-40B4-BE49-F238E27FC236}">
                <a16:creationId xmlns:a16="http://schemas.microsoft.com/office/drawing/2014/main" id="{346E314B-FBAA-4713-B73B-D325AB6650C6}"/>
              </a:ext>
            </a:extLst>
          </xdr:cNvPr>
          <xdr:cNvSpPr/>
        </xdr:nvSpPr>
        <xdr:spPr>
          <a:xfrm>
            <a:off x="1470660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29" name="Elipse 2028">
            <a:extLst>
              <a:ext uri="{FF2B5EF4-FFF2-40B4-BE49-F238E27FC236}">
                <a16:creationId xmlns:a16="http://schemas.microsoft.com/office/drawing/2014/main" id="{A1D38EE3-FAA5-461B-8C7D-0F446191C5AD}"/>
              </a:ext>
            </a:extLst>
          </xdr:cNvPr>
          <xdr:cNvSpPr/>
        </xdr:nvSpPr>
        <xdr:spPr>
          <a:xfrm>
            <a:off x="16046450" y="51323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0" name="Elipse 2029">
            <a:extLst>
              <a:ext uri="{FF2B5EF4-FFF2-40B4-BE49-F238E27FC236}">
                <a16:creationId xmlns:a16="http://schemas.microsoft.com/office/drawing/2014/main" id="{D6076D02-4205-4166-9E44-BA7A11BB342D}"/>
              </a:ext>
            </a:extLst>
          </xdr:cNvPr>
          <xdr:cNvSpPr/>
        </xdr:nvSpPr>
        <xdr:spPr>
          <a:xfrm>
            <a:off x="80073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1" name="Elipse 2030">
            <a:extLst>
              <a:ext uri="{FF2B5EF4-FFF2-40B4-BE49-F238E27FC236}">
                <a16:creationId xmlns:a16="http://schemas.microsoft.com/office/drawing/2014/main" id="{9D3C318E-299C-43F5-A219-73F5011B289B}"/>
              </a:ext>
            </a:extLst>
          </xdr:cNvPr>
          <xdr:cNvSpPr/>
        </xdr:nvSpPr>
        <xdr:spPr>
          <a:xfrm>
            <a:off x="93472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2" name="Elipse 2031">
            <a:extLst>
              <a:ext uri="{FF2B5EF4-FFF2-40B4-BE49-F238E27FC236}">
                <a16:creationId xmlns:a16="http://schemas.microsoft.com/office/drawing/2014/main" id="{609B2D11-C347-4820-AD54-6D77A337A7AF}"/>
              </a:ext>
            </a:extLst>
          </xdr:cNvPr>
          <xdr:cNvSpPr/>
        </xdr:nvSpPr>
        <xdr:spPr>
          <a:xfrm>
            <a:off x="106870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3" name="Elipse 2032">
            <a:extLst>
              <a:ext uri="{FF2B5EF4-FFF2-40B4-BE49-F238E27FC236}">
                <a16:creationId xmlns:a16="http://schemas.microsoft.com/office/drawing/2014/main" id="{3350DE44-937A-43D8-873A-53134F28791C}"/>
              </a:ext>
            </a:extLst>
          </xdr:cNvPr>
          <xdr:cNvSpPr/>
        </xdr:nvSpPr>
        <xdr:spPr>
          <a:xfrm>
            <a:off x="12026900" y="44291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4" name="Elipse 2033">
            <a:extLst>
              <a:ext uri="{FF2B5EF4-FFF2-40B4-BE49-F238E27FC236}">
                <a16:creationId xmlns:a16="http://schemas.microsoft.com/office/drawing/2014/main" id="{3C9D3FBE-4366-459C-9CA8-A854392BFBB2}"/>
              </a:ext>
            </a:extLst>
          </xdr:cNvPr>
          <xdr:cNvSpPr/>
        </xdr:nvSpPr>
        <xdr:spPr>
          <a:xfrm>
            <a:off x="13366750" y="111283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5" name="Elipse 2034">
            <a:extLst>
              <a:ext uri="{FF2B5EF4-FFF2-40B4-BE49-F238E27FC236}">
                <a16:creationId xmlns:a16="http://schemas.microsoft.com/office/drawing/2014/main" id="{E8544131-17A8-4B68-8F30-19F6F13F707D}"/>
              </a:ext>
            </a:extLst>
          </xdr:cNvPr>
          <xdr:cNvSpPr/>
        </xdr:nvSpPr>
        <xdr:spPr>
          <a:xfrm>
            <a:off x="14706600" y="1782763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6" name="Elipse 2035">
            <a:extLst>
              <a:ext uri="{FF2B5EF4-FFF2-40B4-BE49-F238E27FC236}">
                <a16:creationId xmlns:a16="http://schemas.microsoft.com/office/drawing/2014/main" id="{4E1330DD-56F6-469B-A9E2-15E9D2B00219}"/>
              </a:ext>
            </a:extLst>
          </xdr:cNvPr>
          <xdr:cNvSpPr/>
        </xdr:nvSpPr>
        <xdr:spPr>
          <a:xfrm>
            <a:off x="16046450" y="2452688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037" name="Conector reto 2036">
            <a:extLst>
              <a:ext uri="{FF2B5EF4-FFF2-40B4-BE49-F238E27FC236}">
                <a16:creationId xmlns:a16="http://schemas.microsoft.com/office/drawing/2014/main" id="{C2DE22A7-AE6B-40D1-9918-1D5F42A290C9}"/>
              </a:ext>
            </a:extLst>
          </xdr:cNvPr>
          <xdr:cNvCxnSpPr/>
        </xdr:nvCxnSpPr>
        <xdr:spPr>
          <a:xfrm>
            <a:off x="80391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38" name="Conector reto 2037">
            <a:extLst>
              <a:ext uri="{FF2B5EF4-FFF2-40B4-BE49-F238E27FC236}">
                <a16:creationId xmlns:a16="http://schemas.microsoft.com/office/drawing/2014/main" id="{F626649B-B208-4ECE-8E22-C52E7A70E547}"/>
              </a:ext>
            </a:extLst>
          </xdr:cNvPr>
          <xdr:cNvCxnSpPr/>
        </xdr:nvCxnSpPr>
        <xdr:spPr>
          <a:xfrm>
            <a:off x="93789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39" name="Conector reto 2038">
            <a:extLst>
              <a:ext uri="{FF2B5EF4-FFF2-40B4-BE49-F238E27FC236}">
                <a16:creationId xmlns:a16="http://schemas.microsoft.com/office/drawing/2014/main" id="{AED0E5E9-6842-4E15-B1B4-1DED1EEFC3A2}"/>
              </a:ext>
            </a:extLst>
          </xdr:cNvPr>
          <xdr:cNvCxnSpPr/>
        </xdr:nvCxnSpPr>
        <xdr:spPr>
          <a:xfrm>
            <a:off x="107188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0" name="Conector reto 2039">
            <a:extLst>
              <a:ext uri="{FF2B5EF4-FFF2-40B4-BE49-F238E27FC236}">
                <a16:creationId xmlns:a16="http://schemas.microsoft.com/office/drawing/2014/main" id="{71D6B960-0338-43FC-A4D7-D674D4219C21}"/>
              </a:ext>
            </a:extLst>
          </xdr:cNvPr>
          <xdr:cNvCxnSpPr/>
        </xdr:nvCxnSpPr>
        <xdr:spPr>
          <a:xfrm>
            <a:off x="120586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1" name="Conector reto 2040">
            <a:extLst>
              <a:ext uri="{FF2B5EF4-FFF2-40B4-BE49-F238E27FC236}">
                <a16:creationId xmlns:a16="http://schemas.microsoft.com/office/drawing/2014/main" id="{7962C3C0-F72E-45E1-A488-2E561EF8D1DF}"/>
              </a:ext>
            </a:extLst>
          </xdr:cNvPr>
          <xdr:cNvCxnSpPr/>
        </xdr:nvCxnSpPr>
        <xdr:spPr>
          <a:xfrm>
            <a:off x="1339850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2" name="Conector reto 2041">
            <a:extLst>
              <a:ext uri="{FF2B5EF4-FFF2-40B4-BE49-F238E27FC236}">
                <a16:creationId xmlns:a16="http://schemas.microsoft.com/office/drawing/2014/main" id="{54CDAA42-7476-4497-AA71-3897E2BBCBA6}"/>
              </a:ext>
            </a:extLst>
          </xdr:cNvPr>
          <xdr:cNvCxnSpPr/>
        </xdr:nvCxnSpPr>
        <xdr:spPr>
          <a:xfrm>
            <a:off x="14738350" y="5164138"/>
            <a:ext cx="1339850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3" name="Conector reto 2042">
            <a:extLst>
              <a:ext uri="{FF2B5EF4-FFF2-40B4-BE49-F238E27FC236}">
                <a16:creationId xmlns:a16="http://schemas.microsoft.com/office/drawing/2014/main" id="{AAA461F5-096C-495B-B37E-65B8E8963304}"/>
              </a:ext>
            </a:extLst>
          </xdr:cNvPr>
          <xdr:cNvCxnSpPr/>
        </xdr:nvCxnSpPr>
        <xdr:spPr>
          <a:xfrm flipV="1">
            <a:off x="803910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4" name="Conector reto 2043">
            <a:extLst>
              <a:ext uri="{FF2B5EF4-FFF2-40B4-BE49-F238E27FC236}">
                <a16:creationId xmlns:a16="http://schemas.microsoft.com/office/drawing/2014/main" id="{D1F4A762-CC39-4D9B-874E-EE38378D6DDA}"/>
              </a:ext>
            </a:extLst>
          </xdr:cNvPr>
          <xdr:cNvCxnSpPr/>
        </xdr:nvCxnSpPr>
        <xdr:spPr>
          <a:xfrm flipV="1">
            <a:off x="937895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5" name="Conector reto 2044">
            <a:extLst>
              <a:ext uri="{FF2B5EF4-FFF2-40B4-BE49-F238E27FC236}">
                <a16:creationId xmlns:a16="http://schemas.microsoft.com/office/drawing/2014/main" id="{A87922CB-FDBC-4397-AB61-1A96E18FBBC7}"/>
              </a:ext>
            </a:extLst>
          </xdr:cNvPr>
          <xdr:cNvCxnSpPr/>
        </xdr:nvCxnSpPr>
        <xdr:spPr>
          <a:xfrm flipV="1">
            <a:off x="1071880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6" name="Conector reto 2045">
            <a:extLst>
              <a:ext uri="{FF2B5EF4-FFF2-40B4-BE49-F238E27FC236}">
                <a16:creationId xmlns:a16="http://schemas.microsoft.com/office/drawing/2014/main" id="{73F0CC16-FBE6-491F-8209-9AF2666B9594}"/>
              </a:ext>
            </a:extLst>
          </xdr:cNvPr>
          <xdr:cNvCxnSpPr/>
        </xdr:nvCxnSpPr>
        <xdr:spPr>
          <a:xfrm>
            <a:off x="12058650" y="47466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7" name="Conector reto 2046">
            <a:extLst>
              <a:ext uri="{FF2B5EF4-FFF2-40B4-BE49-F238E27FC236}">
                <a16:creationId xmlns:a16="http://schemas.microsoft.com/office/drawing/2014/main" id="{019D804D-3BED-498A-AA81-54BF369137BC}"/>
              </a:ext>
            </a:extLst>
          </xdr:cNvPr>
          <xdr:cNvCxnSpPr/>
        </xdr:nvCxnSpPr>
        <xdr:spPr>
          <a:xfrm>
            <a:off x="13398500" y="1144588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8" name="Conector reto 2047">
            <a:extLst>
              <a:ext uri="{FF2B5EF4-FFF2-40B4-BE49-F238E27FC236}">
                <a16:creationId xmlns:a16="http://schemas.microsoft.com/office/drawing/2014/main" id="{E679B926-A39C-4490-A6D7-3C66537F6B98}"/>
              </a:ext>
            </a:extLst>
          </xdr:cNvPr>
          <xdr:cNvCxnSpPr/>
        </xdr:nvCxnSpPr>
        <xdr:spPr>
          <a:xfrm>
            <a:off x="14738350" y="1814513"/>
            <a:ext cx="1339850" cy="6699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9" name="Conector reto 2048">
            <a:extLst>
              <a:ext uri="{FF2B5EF4-FFF2-40B4-BE49-F238E27FC236}">
                <a16:creationId xmlns:a16="http://schemas.microsoft.com/office/drawing/2014/main" id="{F0EDECC3-9A4C-41CF-A1A3-A87D9E23EA5C}"/>
              </a:ext>
            </a:extLst>
          </xdr:cNvPr>
          <xdr:cNvCxnSpPr/>
        </xdr:nvCxnSpPr>
        <xdr:spPr>
          <a:xfrm flipV="1">
            <a:off x="80391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0" name="Conector reto 2049">
            <a:extLst>
              <a:ext uri="{FF2B5EF4-FFF2-40B4-BE49-F238E27FC236}">
                <a16:creationId xmlns:a16="http://schemas.microsoft.com/office/drawing/2014/main" id="{7A463289-F587-434B-A0A0-69DD1E1E54FA}"/>
              </a:ext>
            </a:extLst>
          </xdr:cNvPr>
          <xdr:cNvCxnSpPr/>
        </xdr:nvCxnSpPr>
        <xdr:spPr>
          <a:xfrm flipV="1">
            <a:off x="93789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1" name="Conector reto 2050">
            <a:extLst>
              <a:ext uri="{FF2B5EF4-FFF2-40B4-BE49-F238E27FC236}">
                <a16:creationId xmlns:a16="http://schemas.microsoft.com/office/drawing/2014/main" id="{1F04EDCF-C8A1-4F91-B5FF-6AEEB6775346}"/>
              </a:ext>
            </a:extLst>
          </xdr:cNvPr>
          <xdr:cNvCxnSpPr/>
        </xdr:nvCxnSpPr>
        <xdr:spPr>
          <a:xfrm flipV="1">
            <a:off x="107188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2" name="Conector reto 2051">
            <a:extLst>
              <a:ext uri="{FF2B5EF4-FFF2-40B4-BE49-F238E27FC236}">
                <a16:creationId xmlns:a16="http://schemas.microsoft.com/office/drawing/2014/main" id="{1B1F1A10-C61C-4E2A-8FF8-CCBC5FEE5653}"/>
              </a:ext>
            </a:extLst>
          </xdr:cNvPr>
          <xdr:cNvCxnSpPr/>
        </xdr:nvCxnSpPr>
        <xdr:spPr>
          <a:xfrm flipV="1">
            <a:off x="12058650" y="474663"/>
            <a:ext cx="0" cy="468947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3" name="Conector reto 2052">
            <a:extLst>
              <a:ext uri="{FF2B5EF4-FFF2-40B4-BE49-F238E27FC236}">
                <a16:creationId xmlns:a16="http://schemas.microsoft.com/office/drawing/2014/main" id="{EA15C719-CB4A-4F6F-BB0B-3BD6402CE38E}"/>
              </a:ext>
            </a:extLst>
          </xdr:cNvPr>
          <xdr:cNvCxnSpPr/>
        </xdr:nvCxnSpPr>
        <xdr:spPr>
          <a:xfrm flipV="1">
            <a:off x="13398500" y="1144588"/>
            <a:ext cx="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4" name="Conector reto 2053">
            <a:extLst>
              <a:ext uri="{FF2B5EF4-FFF2-40B4-BE49-F238E27FC236}">
                <a16:creationId xmlns:a16="http://schemas.microsoft.com/office/drawing/2014/main" id="{77128D0E-B4AF-41C8-9DBF-651509BF5F55}"/>
              </a:ext>
            </a:extLst>
          </xdr:cNvPr>
          <xdr:cNvCxnSpPr/>
        </xdr:nvCxnSpPr>
        <xdr:spPr>
          <a:xfrm flipV="1">
            <a:off x="14738350" y="1814513"/>
            <a:ext cx="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5" name="Conector reto 2054">
            <a:extLst>
              <a:ext uri="{FF2B5EF4-FFF2-40B4-BE49-F238E27FC236}">
                <a16:creationId xmlns:a16="http://schemas.microsoft.com/office/drawing/2014/main" id="{C199441A-B581-43BA-B7BB-B6FF540D95DB}"/>
              </a:ext>
            </a:extLst>
          </xdr:cNvPr>
          <xdr:cNvCxnSpPr/>
        </xdr:nvCxnSpPr>
        <xdr:spPr>
          <a:xfrm flipV="1">
            <a:off x="16078200" y="2484438"/>
            <a:ext cx="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6" name="Conector reto 2055">
            <a:extLst>
              <a:ext uri="{FF2B5EF4-FFF2-40B4-BE49-F238E27FC236}">
                <a16:creationId xmlns:a16="http://schemas.microsoft.com/office/drawing/2014/main" id="{1DAE04C3-939C-48F2-AC64-13E930AC8C9A}"/>
              </a:ext>
            </a:extLst>
          </xdr:cNvPr>
          <xdr:cNvCxnSpPr/>
        </xdr:nvCxnSpPr>
        <xdr:spPr>
          <a:xfrm>
            <a:off x="803910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7" name="Conector reto 2056">
            <a:extLst>
              <a:ext uri="{FF2B5EF4-FFF2-40B4-BE49-F238E27FC236}">
                <a16:creationId xmlns:a16="http://schemas.microsoft.com/office/drawing/2014/main" id="{D4A94E17-0511-40E8-9650-002072B8D155}"/>
              </a:ext>
            </a:extLst>
          </xdr:cNvPr>
          <xdr:cNvCxnSpPr/>
        </xdr:nvCxnSpPr>
        <xdr:spPr>
          <a:xfrm>
            <a:off x="937895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8" name="Conector reto 2057">
            <a:extLst>
              <a:ext uri="{FF2B5EF4-FFF2-40B4-BE49-F238E27FC236}">
                <a16:creationId xmlns:a16="http://schemas.microsoft.com/office/drawing/2014/main" id="{9DF5844E-7F4A-4B7C-A8B0-17170CD952D6}"/>
              </a:ext>
            </a:extLst>
          </xdr:cNvPr>
          <xdr:cNvCxnSpPr/>
        </xdr:nvCxnSpPr>
        <xdr:spPr>
          <a:xfrm>
            <a:off x="1071880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9" name="Conector reto 2058">
            <a:extLst>
              <a:ext uri="{FF2B5EF4-FFF2-40B4-BE49-F238E27FC236}">
                <a16:creationId xmlns:a16="http://schemas.microsoft.com/office/drawing/2014/main" id="{BA32014A-EFE2-47F8-A8A0-7F2921C2FED5}"/>
              </a:ext>
            </a:extLst>
          </xdr:cNvPr>
          <xdr:cNvCxnSpPr/>
        </xdr:nvCxnSpPr>
        <xdr:spPr>
          <a:xfrm flipV="1">
            <a:off x="12058650" y="1144588"/>
            <a:ext cx="1339850" cy="401955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" name="Conector reto 2059">
            <a:extLst>
              <a:ext uri="{FF2B5EF4-FFF2-40B4-BE49-F238E27FC236}">
                <a16:creationId xmlns:a16="http://schemas.microsoft.com/office/drawing/2014/main" id="{CE8A2CE8-E68F-4F0E-87B9-53C67BD5DA57}"/>
              </a:ext>
            </a:extLst>
          </xdr:cNvPr>
          <xdr:cNvCxnSpPr/>
        </xdr:nvCxnSpPr>
        <xdr:spPr>
          <a:xfrm flipV="1">
            <a:off x="13398500" y="1814513"/>
            <a:ext cx="1339850" cy="3349625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" name="Conector reto 2060">
            <a:extLst>
              <a:ext uri="{FF2B5EF4-FFF2-40B4-BE49-F238E27FC236}">
                <a16:creationId xmlns:a16="http://schemas.microsoft.com/office/drawing/2014/main" id="{B6BB4392-CB62-405D-A1E6-BD56D53FEA74}"/>
              </a:ext>
            </a:extLst>
          </xdr:cNvPr>
          <xdr:cNvCxnSpPr/>
        </xdr:nvCxnSpPr>
        <xdr:spPr>
          <a:xfrm flipV="1">
            <a:off x="14738350" y="2484438"/>
            <a:ext cx="1339850" cy="267970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62" name="Forma Livre: Forma 2061">
            <a:extLst>
              <a:ext uri="{FF2B5EF4-FFF2-40B4-BE49-F238E27FC236}">
                <a16:creationId xmlns:a16="http://schemas.microsoft.com/office/drawing/2014/main" id="{AB1C26A6-A4DE-4C43-9F59-83FDE566D62E}"/>
              </a:ext>
            </a:extLst>
          </xdr:cNvPr>
          <xdr:cNvSpPr/>
        </xdr:nvSpPr>
        <xdr:spPr>
          <a:xfrm>
            <a:off x="80391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7" y="0"/>
                </a:lnTo>
                <a:lnTo>
                  <a:pt x="24076" y="48151"/>
                </a:lnTo>
                <a:lnTo>
                  <a:pt x="30095" y="0"/>
                </a:lnTo>
                <a:lnTo>
                  <a:pt x="36114" y="48151"/>
                </a:lnTo>
                <a:lnTo>
                  <a:pt x="42133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3" name="Forma Livre: Forma 2062">
            <a:extLst>
              <a:ext uri="{FF2B5EF4-FFF2-40B4-BE49-F238E27FC236}">
                <a16:creationId xmlns:a16="http://schemas.microsoft.com/office/drawing/2014/main" id="{6661137A-0ACE-4264-ABD2-7F94434B64BA}"/>
              </a:ext>
            </a:extLst>
          </xdr:cNvPr>
          <xdr:cNvSpPr/>
        </xdr:nvSpPr>
        <xdr:spPr>
          <a:xfrm>
            <a:off x="80150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4" name="Forma Livre: Forma 2063">
            <a:extLst>
              <a:ext uri="{FF2B5EF4-FFF2-40B4-BE49-F238E27FC236}">
                <a16:creationId xmlns:a16="http://schemas.microsoft.com/office/drawing/2014/main" id="{E4C93B96-B6DA-46AD-8CD7-C130309ECA32}"/>
              </a:ext>
            </a:extLst>
          </xdr:cNvPr>
          <xdr:cNvSpPr/>
        </xdr:nvSpPr>
        <xdr:spPr>
          <a:xfrm>
            <a:off x="79361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1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49" y="21371"/>
                </a:lnTo>
                <a:lnTo>
                  <a:pt x="110066" y="26559"/>
                </a:lnTo>
                <a:lnTo>
                  <a:pt x="105900" y="30530"/>
                </a:lnTo>
                <a:lnTo>
                  <a:pt x="99700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8" y="8395"/>
                </a:lnTo>
                <a:lnTo>
                  <a:pt x="107388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8" y="31276"/>
                </a:lnTo>
                <a:lnTo>
                  <a:pt x="108380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1" y="21371"/>
                </a:lnTo>
                <a:lnTo>
                  <a:pt x="86044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5" name="Forma Livre: Forma 2064">
            <a:extLst>
              <a:ext uri="{FF2B5EF4-FFF2-40B4-BE49-F238E27FC236}">
                <a16:creationId xmlns:a16="http://schemas.microsoft.com/office/drawing/2014/main" id="{F3E4B33D-78B4-4D9E-B37B-CEED9066F265}"/>
              </a:ext>
            </a:extLst>
          </xdr:cNvPr>
          <xdr:cNvSpPr/>
        </xdr:nvSpPr>
        <xdr:spPr>
          <a:xfrm>
            <a:off x="16078200" y="5140062"/>
            <a:ext cx="54171" cy="48152"/>
          </a:xfrm>
          <a:custGeom>
            <a:avLst/>
            <a:gdLst/>
            <a:ahLst/>
            <a:cxnLst/>
            <a:rect l="0" t="0" r="0" b="0"/>
            <a:pathLst>
              <a:path w="54171" h="48152">
                <a:moveTo>
                  <a:pt x="0" y="24076"/>
                </a:moveTo>
                <a:lnTo>
                  <a:pt x="12038" y="24076"/>
                </a:lnTo>
                <a:lnTo>
                  <a:pt x="18056" y="0"/>
                </a:lnTo>
                <a:lnTo>
                  <a:pt x="24076" y="48151"/>
                </a:lnTo>
                <a:lnTo>
                  <a:pt x="30094" y="0"/>
                </a:lnTo>
                <a:lnTo>
                  <a:pt x="36114" y="48151"/>
                </a:lnTo>
                <a:lnTo>
                  <a:pt x="42132" y="24076"/>
                </a:lnTo>
                <a:lnTo>
                  <a:pt x="54170" y="24076"/>
                </a:lnTo>
                <a:lnTo>
                  <a:pt x="54170" y="12037"/>
                </a:lnTo>
                <a:lnTo>
                  <a:pt x="54170" y="36114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6" name="Forma Livre: Forma 2065">
            <a:extLst>
              <a:ext uri="{FF2B5EF4-FFF2-40B4-BE49-F238E27FC236}">
                <a16:creationId xmlns:a16="http://schemas.microsoft.com/office/drawing/2014/main" id="{F3D36ED9-C4EA-468A-85B5-426A9BE0AF47}"/>
              </a:ext>
            </a:extLst>
          </xdr:cNvPr>
          <xdr:cNvSpPr/>
        </xdr:nvSpPr>
        <xdr:spPr>
          <a:xfrm>
            <a:off x="16054124" y="5164138"/>
            <a:ext cx="48153" cy="54171"/>
          </a:xfrm>
          <a:custGeom>
            <a:avLst/>
            <a:gdLst/>
            <a:ahLst/>
            <a:cxnLst/>
            <a:rect l="0" t="0" r="0" b="0"/>
            <a:pathLst>
              <a:path w="48153" h="54171">
                <a:moveTo>
                  <a:pt x="24076" y="0"/>
                </a:moveTo>
                <a:lnTo>
                  <a:pt x="24076" y="12038"/>
                </a:lnTo>
                <a:lnTo>
                  <a:pt x="48152" y="18057"/>
                </a:lnTo>
                <a:lnTo>
                  <a:pt x="0" y="24075"/>
                </a:lnTo>
                <a:lnTo>
                  <a:pt x="48152" y="30094"/>
                </a:lnTo>
                <a:lnTo>
                  <a:pt x="0" y="36113"/>
                </a:lnTo>
                <a:lnTo>
                  <a:pt x="24076" y="42132"/>
                </a:lnTo>
                <a:lnTo>
                  <a:pt x="24076" y="54170"/>
                </a:lnTo>
                <a:lnTo>
                  <a:pt x="36114" y="54170"/>
                </a:lnTo>
                <a:lnTo>
                  <a:pt x="12038" y="5417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7" name="Forma Livre: Forma 2066">
            <a:extLst>
              <a:ext uri="{FF2B5EF4-FFF2-40B4-BE49-F238E27FC236}">
                <a16:creationId xmlns:a16="http://schemas.microsoft.com/office/drawing/2014/main" id="{19201C15-915C-47D6-A1FC-DBA68F251F80}"/>
              </a:ext>
            </a:extLst>
          </xdr:cNvPr>
          <xdr:cNvSpPr/>
        </xdr:nvSpPr>
        <xdr:spPr>
          <a:xfrm>
            <a:off x="15975276" y="5142767"/>
            <a:ext cx="254001" cy="38926"/>
          </a:xfrm>
          <a:custGeom>
            <a:avLst/>
            <a:gdLst/>
            <a:ahLst/>
            <a:cxnLst/>
            <a:rect l="0" t="0" r="0" b="0"/>
            <a:pathLst>
              <a:path w="254001" h="38926">
                <a:moveTo>
                  <a:pt x="103574" y="21842"/>
                </a:moveTo>
                <a:lnTo>
                  <a:pt x="103420" y="22897"/>
                </a:lnTo>
                <a:lnTo>
                  <a:pt x="102180" y="23660"/>
                </a:lnTo>
                <a:lnTo>
                  <a:pt x="100327" y="23257"/>
                </a:lnTo>
                <a:lnTo>
                  <a:pt x="98912" y="21371"/>
                </a:lnTo>
                <a:lnTo>
                  <a:pt x="99028" y="18540"/>
                </a:lnTo>
                <a:lnTo>
                  <a:pt x="101188" y="16028"/>
                </a:lnTo>
                <a:lnTo>
                  <a:pt x="104908" y="15265"/>
                </a:lnTo>
                <a:lnTo>
                  <a:pt x="108767" y="17125"/>
                </a:lnTo>
                <a:lnTo>
                  <a:pt x="110950" y="21371"/>
                </a:lnTo>
                <a:lnTo>
                  <a:pt x="110066" y="26559"/>
                </a:lnTo>
                <a:lnTo>
                  <a:pt x="105901" y="30530"/>
                </a:lnTo>
                <a:lnTo>
                  <a:pt x="99699" y="31293"/>
                </a:lnTo>
                <a:lnTo>
                  <a:pt x="93835" y="27974"/>
                </a:lnTo>
                <a:lnTo>
                  <a:pt x="90886" y="21371"/>
                </a:lnTo>
                <a:lnTo>
                  <a:pt x="92535" y="13823"/>
                </a:lnTo>
                <a:lnTo>
                  <a:pt x="98709" y="8395"/>
                </a:lnTo>
                <a:lnTo>
                  <a:pt x="107387" y="7632"/>
                </a:lnTo>
                <a:lnTo>
                  <a:pt x="115260" y="12408"/>
                </a:lnTo>
                <a:lnTo>
                  <a:pt x="118974" y="21371"/>
                </a:lnTo>
                <a:lnTo>
                  <a:pt x="116559" y="31276"/>
                </a:lnTo>
                <a:lnTo>
                  <a:pt x="108379" y="38162"/>
                </a:lnTo>
                <a:lnTo>
                  <a:pt x="97220" y="38925"/>
                </a:lnTo>
                <a:lnTo>
                  <a:pt x="87342" y="32692"/>
                </a:lnTo>
                <a:lnTo>
                  <a:pt x="82860" y="21371"/>
                </a:lnTo>
                <a:lnTo>
                  <a:pt x="86043" y="9106"/>
                </a:lnTo>
                <a:lnTo>
                  <a:pt x="96228" y="763"/>
                </a:lnTo>
                <a:lnTo>
                  <a:pt x="109868" y="0"/>
                </a:lnTo>
                <a:lnTo>
                  <a:pt x="121752" y="7691"/>
                </a:lnTo>
                <a:lnTo>
                  <a:pt x="127000" y="21371"/>
                </a:lnTo>
                <a:lnTo>
                  <a:pt x="0" y="21371"/>
                </a:lnTo>
                <a:lnTo>
                  <a:pt x="254000" y="21371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8" name="Elipse 2067">
            <a:extLst>
              <a:ext uri="{FF2B5EF4-FFF2-40B4-BE49-F238E27FC236}">
                <a16:creationId xmlns:a16="http://schemas.microsoft.com/office/drawing/2014/main" id="{9C3AB9BC-DA04-49F0-A1E9-A6A5898898BD}"/>
              </a:ext>
            </a:extLst>
          </xdr:cNvPr>
          <xdr:cNvSpPr/>
        </xdr:nvSpPr>
        <xdr:spPr>
          <a:xfrm>
            <a:off x="80073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69" name="Elipse 2068">
            <a:extLst>
              <a:ext uri="{FF2B5EF4-FFF2-40B4-BE49-F238E27FC236}">
                <a16:creationId xmlns:a16="http://schemas.microsoft.com/office/drawing/2014/main" id="{DEA0ADF2-11A4-4264-8672-836A1A60FDC2}"/>
              </a:ext>
            </a:extLst>
          </xdr:cNvPr>
          <xdr:cNvSpPr/>
        </xdr:nvSpPr>
        <xdr:spPr>
          <a:xfrm>
            <a:off x="80073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0" name="Elipse 2069">
            <a:extLst>
              <a:ext uri="{FF2B5EF4-FFF2-40B4-BE49-F238E27FC236}">
                <a16:creationId xmlns:a16="http://schemas.microsoft.com/office/drawing/2014/main" id="{3AA49FB8-48C7-4321-8828-2E06FE7FA964}"/>
              </a:ext>
            </a:extLst>
          </xdr:cNvPr>
          <xdr:cNvSpPr/>
        </xdr:nvSpPr>
        <xdr:spPr>
          <a:xfrm>
            <a:off x="93472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1" name="Elipse 2070">
            <a:extLst>
              <a:ext uri="{FF2B5EF4-FFF2-40B4-BE49-F238E27FC236}">
                <a16:creationId xmlns:a16="http://schemas.microsoft.com/office/drawing/2014/main" id="{943D52F8-9C45-492A-B4B8-AC22F8D219AC}"/>
              </a:ext>
            </a:extLst>
          </xdr:cNvPr>
          <xdr:cNvSpPr/>
        </xdr:nvSpPr>
        <xdr:spPr>
          <a:xfrm>
            <a:off x="93472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2" name="Elipse 2071">
            <a:extLst>
              <a:ext uri="{FF2B5EF4-FFF2-40B4-BE49-F238E27FC236}">
                <a16:creationId xmlns:a16="http://schemas.microsoft.com/office/drawing/2014/main" id="{423F7FEA-F788-414B-9C68-D248FC79D8D1}"/>
              </a:ext>
            </a:extLst>
          </xdr:cNvPr>
          <xdr:cNvSpPr/>
        </xdr:nvSpPr>
        <xdr:spPr>
          <a:xfrm>
            <a:off x="106870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3" name="Elipse 2072">
            <a:extLst>
              <a:ext uri="{FF2B5EF4-FFF2-40B4-BE49-F238E27FC236}">
                <a16:creationId xmlns:a16="http://schemas.microsoft.com/office/drawing/2014/main" id="{9D1A86BA-94AD-4E7E-BDB3-CC0FE40D5123}"/>
              </a:ext>
            </a:extLst>
          </xdr:cNvPr>
          <xdr:cNvSpPr/>
        </xdr:nvSpPr>
        <xdr:spPr>
          <a:xfrm>
            <a:off x="106870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4" name="Elipse 2073">
            <a:extLst>
              <a:ext uri="{FF2B5EF4-FFF2-40B4-BE49-F238E27FC236}">
                <a16:creationId xmlns:a16="http://schemas.microsoft.com/office/drawing/2014/main" id="{C5B65133-7862-40D7-801D-13EFB9DE634D}"/>
              </a:ext>
            </a:extLst>
          </xdr:cNvPr>
          <xdr:cNvSpPr/>
        </xdr:nvSpPr>
        <xdr:spPr>
          <a:xfrm>
            <a:off x="120269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5" name="Elipse 2074">
            <a:extLst>
              <a:ext uri="{FF2B5EF4-FFF2-40B4-BE49-F238E27FC236}">
                <a16:creationId xmlns:a16="http://schemas.microsoft.com/office/drawing/2014/main" id="{9E55D34A-638F-42F5-892C-36021926DF7B}"/>
              </a:ext>
            </a:extLst>
          </xdr:cNvPr>
          <xdr:cNvSpPr/>
        </xdr:nvSpPr>
        <xdr:spPr>
          <a:xfrm>
            <a:off x="12026900" y="50641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6" name="Elipse 2075">
            <a:extLst>
              <a:ext uri="{FF2B5EF4-FFF2-40B4-BE49-F238E27FC236}">
                <a16:creationId xmlns:a16="http://schemas.microsoft.com/office/drawing/2014/main" id="{967C026A-FCDB-405B-9FCD-C0AF157B7651}"/>
              </a:ext>
            </a:extLst>
          </xdr:cNvPr>
          <xdr:cNvSpPr/>
        </xdr:nvSpPr>
        <xdr:spPr>
          <a:xfrm>
            <a:off x="133667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7" name="Elipse 2076">
            <a:extLst>
              <a:ext uri="{FF2B5EF4-FFF2-40B4-BE49-F238E27FC236}">
                <a16:creationId xmlns:a16="http://schemas.microsoft.com/office/drawing/2014/main" id="{CECC8BA4-322D-4DCD-AABA-0D9A87A2BDFB}"/>
              </a:ext>
            </a:extLst>
          </xdr:cNvPr>
          <xdr:cNvSpPr/>
        </xdr:nvSpPr>
        <xdr:spPr>
          <a:xfrm>
            <a:off x="13366750" y="117633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8" name="Elipse 2077">
            <a:extLst>
              <a:ext uri="{FF2B5EF4-FFF2-40B4-BE49-F238E27FC236}">
                <a16:creationId xmlns:a16="http://schemas.microsoft.com/office/drawing/2014/main" id="{0EDF34D4-9407-4FD1-9880-2371FC2FFFAA}"/>
              </a:ext>
            </a:extLst>
          </xdr:cNvPr>
          <xdr:cNvSpPr/>
        </xdr:nvSpPr>
        <xdr:spPr>
          <a:xfrm>
            <a:off x="1470660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79" name="Elipse 2078">
            <a:extLst>
              <a:ext uri="{FF2B5EF4-FFF2-40B4-BE49-F238E27FC236}">
                <a16:creationId xmlns:a16="http://schemas.microsoft.com/office/drawing/2014/main" id="{17DDED20-524A-40CE-A1F9-8B86FF867014}"/>
              </a:ext>
            </a:extLst>
          </xdr:cNvPr>
          <xdr:cNvSpPr/>
        </xdr:nvSpPr>
        <xdr:spPr>
          <a:xfrm>
            <a:off x="14706600" y="1846263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0" name="Elipse 2079">
            <a:extLst>
              <a:ext uri="{FF2B5EF4-FFF2-40B4-BE49-F238E27FC236}">
                <a16:creationId xmlns:a16="http://schemas.microsoft.com/office/drawing/2014/main" id="{77B59286-D8DC-46A3-9F02-FB7E71B2FA5F}"/>
              </a:ext>
            </a:extLst>
          </xdr:cNvPr>
          <xdr:cNvSpPr/>
        </xdr:nvSpPr>
        <xdr:spPr>
          <a:xfrm>
            <a:off x="16046450" y="50688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1" name="Elipse 2080">
            <a:extLst>
              <a:ext uri="{FF2B5EF4-FFF2-40B4-BE49-F238E27FC236}">
                <a16:creationId xmlns:a16="http://schemas.microsoft.com/office/drawing/2014/main" id="{4B43685E-C27C-4772-B66E-1579704BE5E7}"/>
              </a:ext>
            </a:extLst>
          </xdr:cNvPr>
          <xdr:cNvSpPr/>
        </xdr:nvSpPr>
        <xdr:spPr>
          <a:xfrm>
            <a:off x="16046450" y="251618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2" name="Elipse 2081">
            <a:extLst>
              <a:ext uri="{FF2B5EF4-FFF2-40B4-BE49-F238E27FC236}">
                <a16:creationId xmlns:a16="http://schemas.microsoft.com/office/drawing/2014/main" id="{5684FF38-8959-410F-B0A3-AE3BBFF21A72}"/>
              </a:ext>
            </a:extLst>
          </xdr:cNvPr>
          <xdr:cNvSpPr/>
        </xdr:nvSpPr>
        <xdr:spPr>
          <a:xfrm>
            <a:off x="8035748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3" name="Elipse 2082">
            <a:extLst>
              <a:ext uri="{FF2B5EF4-FFF2-40B4-BE49-F238E27FC236}">
                <a16:creationId xmlns:a16="http://schemas.microsoft.com/office/drawing/2014/main" id="{96350449-DDE3-46C7-A7DB-01EB702DE885}"/>
              </a:ext>
            </a:extLst>
          </xdr:cNvPr>
          <xdr:cNvSpPr/>
        </xdr:nvSpPr>
        <xdr:spPr>
          <a:xfrm>
            <a:off x="9318802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4" name="Elipse 2083">
            <a:extLst>
              <a:ext uri="{FF2B5EF4-FFF2-40B4-BE49-F238E27FC236}">
                <a16:creationId xmlns:a16="http://schemas.microsoft.com/office/drawing/2014/main" id="{C4EE8530-81B6-4756-B41E-C037168B0CE3}"/>
              </a:ext>
            </a:extLst>
          </xdr:cNvPr>
          <xdr:cNvSpPr/>
        </xdr:nvSpPr>
        <xdr:spPr>
          <a:xfrm>
            <a:off x="9370783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5" name="Elipse 2084">
            <a:extLst>
              <a:ext uri="{FF2B5EF4-FFF2-40B4-BE49-F238E27FC236}">
                <a16:creationId xmlns:a16="http://schemas.microsoft.com/office/drawing/2014/main" id="{5CA3BB54-25EE-4AF6-8EEB-0A8670BA7E2B}"/>
              </a:ext>
            </a:extLst>
          </xdr:cNvPr>
          <xdr:cNvSpPr/>
        </xdr:nvSpPr>
        <xdr:spPr>
          <a:xfrm>
            <a:off x="10663467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6" name="Elipse 2085">
            <a:extLst>
              <a:ext uri="{FF2B5EF4-FFF2-40B4-BE49-F238E27FC236}">
                <a16:creationId xmlns:a16="http://schemas.microsoft.com/office/drawing/2014/main" id="{75B56104-A69D-4BEE-8049-2E27FA990F71}"/>
              </a:ext>
            </a:extLst>
          </xdr:cNvPr>
          <xdr:cNvSpPr/>
        </xdr:nvSpPr>
        <xdr:spPr>
          <a:xfrm>
            <a:off x="10707130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7" name="Elipse 2086">
            <a:extLst>
              <a:ext uri="{FF2B5EF4-FFF2-40B4-BE49-F238E27FC236}">
                <a16:creationId xmlns:a16="http://schemas.microsoft.com/office/drawing/2014/main" id="{C7CE3C95-3BAD-409F-8BFD-89EF2206DE05}"/>
              </a:ext>
            </a:extLst>
          </xdr:cNvPr>
          <xdr:cNvSpPr/>
        </xdr:nvSpPr>
        <xdr:spPr>
          <a:xfrm>
            <a:off x="1200682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8" name="Elipse 2087">
            <a:extLst>
              <a:ext uri="{FF2B5EF4-FFF2-40B4-BE49-F238E27FC236}">
                <a16:creationId xmlns:a16="http://schemas.microsoft.com/office/drawing/2014/main" id="{40731A73-6742-44EC-9EAE-398C55D56E49}"/>
              </a:ext>
            </a:extLst>
          </xdr:cNvPr>
          <xdr:cNvSpPr/>
        </xdr:nvSpPr>
        <xdr:spPr>
          <a:xfrm>
            <a:off x="12046980" y="5072146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89" name="Elipse 2088">
            <a:extLst>
              <a:ext uri="{FF2B5EF4-FFF2-40B4-BE49-F238E27FC236}">
                <a16:creationId xmlns:a16="http://schemas.microsoft.com/office/drawing/2014/main" id="{008B1D5B-53AB-4C7D-922C-E9C51C870BBF}"/>
              </a:ext>
            </a:extLst>
          </xdr:cNvPr>
          <xdr:cNvSpPr/>
        </xdr:nvSpPr>
        <xdr:spPr>
          <a:xfrm>
            <a:off x="13346669" y="117307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90" name="Elipse 2089">
            <a:extLst>
              <a:ext uri="{FF2B5EF4-FFF2-40B4-BE49-F238E27FC236}">
                <a16:creationId xmlns:a16="http://schemas.microsoft.com/office/drawing/2014/main" id="{02328199-2E16-4758-A177-C8800CA37400}"/>
              </a:ext>
            </a:extLst>
          </xdr:cNvPr>
          <xdr:cNvSpPr/>
        </xdr:nvSpPr>
        <xdr:spPr>
          <a:xfrm>
            <a:off x="13390333" y="5073429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91" name="Elipse 2090">
            <a:extLst>
              <a:ext uri="{FF2B5EF4-FFF2-40B4-BE49-F238E27FC236}">
                <a16:creationId xmlns:a16="http://schemas.microsoft.com/office/drawing/2014/main" id="{E8F3A83A-5D19-4313-88F6-D8E8EB8A7341}"/>
              </a:ext>
            </a:extLst>
          </xdr:cNvPr>
          <xdr:cNvSpPr/>
        </xdr:nvSpPr>
        <xdr:spPr>
          <a:xfrm>
            <a:off x="14683017" y="184172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92" name="Elipse 2091">
            <a:extLst>
              <a:ext uri="{FF2B5EF4-FFF2-40B4-BE49-F238E27FC236}">
                <a16:creationId xmlns:a16="http://schemas.microsoft.com/office/drawing/2014/main" id="{4EA40FEA-721E-477D-84BC-B826A5E816B3}"/>
              </a:ext>
            </a:extLst>
          </xdr:cNvPr>
          <xdr:cNvSpPr/>
        </xdr:nvSpPr>
        <xdr:spPr>
          <a:xfrm>
            <a:off x="14734998" y="5075591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93" name="Elipse 2092">
            <a:extLst>
              <a:ext uri="{FF2B5EF4-FFF2-40B4-BE49-F238E27FC236}">
                <a16:creationId xmlns:a16="http://schemas.microsoft.com/office/drawing/2014/main" id="{58868380-AF31-4E82-9320-B79D16FFA893}"/>
              </a:ext>
            </a:extLst>
          </xdr:cNvPr>
          <xdr:cNvSpPr/>
        </xdr:nvSpPr>
        <xdr:spPr>
          <a:xfrm>
            <a:off x="16018052" y="2509484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652606</xdr:colOff>
      <xdr:row>23</xdr:row>
      <xdr:rowOff>92882</xdr:rowOff>
    </xdr:from>
    <xdr:to>
      <xdr:col>13</xdr:col>
      <xdr:colOff>401930</xdr:colOff>
      <xdr:row>25</xdr:row>
      <xdr:rowOff>94293</xdr:rowOff>
    </xdr:to>
    <xdr:grpSp>
      <xdr:nvGrpSpPr>
        <xdr:cNvPr id="11253" name="Agrupar 11252">
          <a:extLst>
            <a:ext uri="{FF2B5EF4-FFF2-40B4-BE49-F238E27FC236}">
              <a16:creationId xmlns:a16="http://schemas.microsoft.com/office/drawing/2014/main" id="{ABDC51C0-87F5-48AB-927E-86AB7EC39F4A}"/>
            </a:ext>
          </a:extLst>
        </xdr:cNvPr>
        <xdr:cNvGrpSpPr/>
      </xdr:nvGrpSpPr>
      <xdr:grpSpPr>
        <a:xfrm>
          <a:off x="10327285" y="4202239"/>
          <a:ext cx="1790395" cy="355197"/>
          <a:chOff x="7972289" y="1955300"/>
          <a:chExt cx="8293102" cy="1699760"/>
        </a:xfrm>
      </xdr:grpSpPr>
      <xdr:sp macro="" textlink="">
        <xdr:nvSpPr>
          <xdr:cNvPr id="11216" name="Elipse 11215">
            <a:extLst>
              <a:ext uri="{FF2B5EF4-FFF2-40B4-BE49-F238E27FC236}">
                <a16:creationId xmlns:a16="http://schemas.microsoft.com/office/drawing/2014/main" id="{F5DAB284-8425-4769-8FCA-DF631593E9AB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17" name="Elipse 11216">
            <a:extLst>
              <a:ext uri="{FF2B5EF4-FFF2-40B4-BE49-F238E27FC236}">
                <a16:creationId xmlns:a16="http://schemas.microsoft.com/office/drawing/2014/main" id="{D6397BC0-BAFA-4D96-AEF1-75D0F67ED10C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18" name="Elipse 11217">
            <a:extLst>
              <a:ext uri="{FF2B5EF4-FFF2-40B4-BE49-F238E27FC236}">
                <a16:creationId xmlns:a16="http://schemas.microsoft.com/office/drawing/2014/main" id="{4B9D4B6A-8103-4F76-BF90-90C3046E63F6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19" name="Elipse 11218">
            <a:extLst>
              <a:ext uri="{FF2B5EF4-FFF2-40B4-BE49-F238E27FC236}">
                <a16:creationId xmlns:a16="http://schemas.microsoft.com/office/drawing/2014/main" id="{6BC1FB04-2E98-40E2-B6D3-1B8A3093A47B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20" name="Elipse 11219">
            <a:extLst>
              <a:ext uri="{FF2B5EF4-FFF2-40B4-BE49-F238E27FC236}">
                <a16:creationId xmlns:a16="http://schemas.microsoft.com/office/drawing/2014/main" id="{CB66BA8C-BFDC-4B2A-BDB6-A055FCFE66D0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21" name="Elipse 11220">
            <a:extLst>
              <a:ext uri="{FF2B5EF4-FFF2-40B4-BE49-F238E27FC236}">
                <a16:creationId xmlns:a16="http://schemas.microsoft.com/office/drawing/2014/main" id="{8DA39811-2E67-4E29-816C-FAFD3F2092F3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22" name="Elipse 11221">
            <a:extLst>
              <a:ext uri="{FF2B5EF4-FFF2-40B4-BE49-F238E27FC236}">
                <a16:creationId xmlns:a16="http://schemas.microsoft.com/office/drawing/2014/main" id="{C67D3D51-1C62-42BE-B2B3-6F96A400B6A5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23" name="Elipse 11222">
            <a:extLst>
              <a:ext uri="{FF2B5EF4-FFF2-40B4-BE49-F238E27FC236}">
                <a16:creationId xmlns:a16="http://schemas.microsoft.com/office/drawing/2014/main" id="{053C56B1-0004-413C-A4B9-DA5071ED4B96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1224" name="Conector reto 11223">
            <a:extLst>
              <a:ext uri="{FF2B5EF4-FFF2-40B4-BE49-F238E27FC236}">
                <a16:creationId xmlns:a16="http://schemas.microsoft.com/office/drawing/2014/main" id="{41532B42-FF8F-48F0-A1C3-94427FF3367B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25" name="Conector reto 11224">
            <a:extLst>
              <a:ext uri="{FF2B5EF4-FFF2-40B4-BE49-F238E27FC236}">
                <a16:creationId xmlns:a16="http://schemas.microsoft.com/office/drawing/2014/main" id="{974130EF-5DAD-4DAC-A3F8-0C7B0CB5655C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26" name="Conector reto 11225">
            <a:extLst>
              <a:ext uri="{FF2B5EF4-FFF2-40B4-BE49-F238E27FC236}">
                <a16:creationId xmlns:a16="http://schemas.microsoft.com/office/drawing/2014/main" id="{ABA3307C-3E2D-476F-B7B7-14E630276779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27" name="Conector reto 11226">
            <a:extLst>
              <a:ext uri="{FF2B5EF4-FFF2-40B4-BE49-F238E27FC236}">
                <a16:creationId xmlns:a16="http://schemas.microsoft.com/office/drawing/2014/main" id="{4EB8AD49-C8E0-449C-B006-33D0AFF3E595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28" name="Conector reto 11227">
            <a:extLst>
              <a:ext uri="{FF2B5EF4-FFF2-40B4-BE49-F238E27FC236}">
                <a16:creationId xmlns:a16="http://schemas.microsoft.com/office/drawing/2014/main" id="{E3A892BE-66CC-4885-97CE-999D850D7B46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29" name="Conector reto 11228">
            <a:extLst>
              <a:ext uri="{FF2B5EF4-FFF2-40B4-BE49-F238E27FC236}">
                <a16:creationId xmlns:a16="http://schemas.microsoft.com/office/drawing/2014/main" id="{CCEB5095-08BB-46EC-9BE5-953A3A90D458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0" name="Conector reto 11229">
            <a:extLst>
              <a:ext uri="{FF2B5EF4-FFF2-40B4-BE49-F238E27FC236}">
                <a16:creationId xmlns:a16="http://schemas.microsoft.com/office/drawing/2014/main" id="{7A8436B7-93B7-4AD4-B81C-AA0FE794C4DF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1" name="Conector reto 11230">
            <a:extLst>
              <a:ext uri="{FF2B5EF4-FFF2-40B4-BE49-F238E27FC236}">
                <a16:creationId xmlns:a16="http://schemas.microsoft.com/office/drawing/2014/main" id="{9991C866-CCB5-4151-A79D-42DAB76F6510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2" name="Conector reto 11231">
            <a:extLst>
              <a:ext uri="{FF2B5EF4-FFF2-40B4-BE49-F238E27FC236}">
                <a16:creationId xmlns:a16="http://schemas.microsoft.com/office/drawing/2014/main" id="{075A7B38-257A-4C24-8844-47292932A708}"/>
              </a:ext>
            </a:extLst>
          </xdr:cNvPr>
          <xdr:cNvCxnSpPr/>
        </xdr:nvCxnSpPr>
        <xdr:spPr>
          <a:xfrm>
            <a:off x="1004887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3" name="Conector reto 11232">
            <a:extLst>
              <a:ext uri="{FF2B5EF4-FFF2-40B4-BE49-F238E27FC236}">
                <a16:creationId xmlns:a16="http://schemas.microsoft.com/office/drawing/2014/main" id="{6ACCF62C-626C-460C-9A06-CC9292EB80AB}"/>
              </a:ext>
            </a:extLst>
          </xdr:cNvPr>
          <xdr:cNvCxnSpPr/>
        </xdr:nvCxnSpPr>
        <xdr:spPr>
          <a:xfrm>
            <a:off x="12058650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4" name="Conector reto 11233">
            <a:extLst>
              <a:ext uri="{FF2B5EF4-FFF2-40B4-BE49-F238E27FC236}">
                <a16:creationId xmlns:a16="http://schemas.microsoft.com/office/drawing/2014/main" id="{79F32706-A364-412E-8B4A-D2FA4F614558}"/>
              </a:ext>
            </a:extLst>
          </xdr:cNvPr>
          <xdr:cNvCxnSpPr/>
        </xdr:nvCxnSpPr>
        <xdr:spPr>
          <a:xfrm>
            <a:off x="1406842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5" name="Conector reto 11234">
            <a:extLst>
              <a:ext uri="{FF2B5EF4-FFF2-40B4-BE49-F238E27FC236}">
                <a16:creationId xmlns:a16="http://schemas.microsoft.com/office/drawing/2014/main" id="{1F8733E2-57DF-4BED-ADAA-5D630587AD89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36" name="Conector reto 11235">
            <a:extLst>
              <a:ext uri="{FF2B5EF4-FFF2-40B4-BE49-F238E27FC236}">
                <a16:creationId xmlns:a16="http://schemas.microsoft.com/office/drawing/2014/main" id="{1BDF3831-90B6-4FF3-AE0D-B6DA36A16C78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37" name="Forma Livre: Forma 11236">
            <a:extLst>
              <a:ext uri="{FF2B5EF4-FFF2-40B4-BE49-F238E27FC236}">
                <a16:creationId xmlns:a16="http://schemas.microsoft.com/office/drawing/2014/main" id="{337538D0-EE42-4011-BB3E-2857C26DA605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38" name="Forma Livre: Forma 11237">
            <a:extLst>
              <a:ext uri="{FF2B5EF4-FFF2-40B4-BE49-F238E27FC236}">
                <a16:creationId xmlns:a16="http://schemas.microsoft.com/office/drawing/2014/main" id="{4C76DDFE-AD42-4D7C-95B6-20B6AA763584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39" name="Forma Livre: Forma 11238">
            <a:extLst>
              <a:ext uri="{FF2B5EF4-FFF2-40B4-BE49-F238E27FC236}">
                <a16:creationId xmlns:a16="http://schemas.microsoft.com/office/drawing/2014/main" id="{06AF134A-62C8-4A08-986C-C533252327C6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0" name="Forma Livre: Forma 11239">
            <a:extLst>
              <a:ext uri="{FF2B5EF4-FFF2-40B4-BE49-F238E27FC236}">
                <a16:creationId xmlns:a16="http://schemas.microsoft.com/office/drawing/2014/main" id="{F09412FA-5385-48E7-99F0-C35AC9E14820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1" name="Forma Livre: Forma 11240">
            <a:extLst>
              <a:ext uri="{FF2B5EF4-FFF2-40B4-BE49-F238E27FC236}">
                <a16:creationId xmlns:a16="http://schemas.microsoft.com/office/drawing/2014/main" id="{0DC92917-4087-4928-9BBE-57924196A6C7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2" name="Forma Livre: Forma 11241">
            <a:extLst>
              <a:ext uri="{FF2B5EF4-FFF2-40B4-BE49-F238E27FC236}">
                <a16:creationId xmlns:a16="http://schemas.microsoft.com/office/drawing/2014/main" id="{31AC4230-979B-424D-8B6E-7700C93029CB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3" name="Elipse 11242">
            <a:extLst>
              <a:ext uri="{FF2B5EF4-FFF2-40B4-BE49-F238E27FC236}">
                <a16:creationId xmlns:a16="http://schemas.microsoft.com/office/drawing/2014/main" id="{AFEB0DAD-02DE-45A8-B2F0-2AE8F0CFE2B3}"/>
              </a:ext>
            </a:extLst>
          </xdr:cNvPr>
          <xdr:cNvSpPr/>
        </xdr:nvSpPr>
        <xdr:spPr>
          <a:xfrm>
            <a:off x="1001712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4" name="Elipse 11243">
            <a:extLst>
              <a:ext uri="{FF2B5EF4-FFF2-40B4-BE49-F238E27FC236}">
                <a16:creationId xmlns:a16="http://schemas.microsoft.com/office/drawing/2014/main" id="{6544D3A4-0E39-49B9-870D-90C4D20266AC}"/>
              </a:ext>
            </a:extLst>
          </xdr:cNvPr>
          <xdr:cNvSpPr/>
        </xdr:nvSpPr>
        <xdr:spPr>
          <a:xfrm>
            <a:off x="1001712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5" name="Elipse 11244">
            <a:extLst>
              <a:ext uri="{FF2B5EF4-FFF2-40B4-BE49-F238E27FC236}">
                <a16:creationId xmlns:a16="http://schemas.microsoft.com/office/drawing/2014/main" id="{B2CB5522-D2E1-4AF2-B418-AF12F6ECB571}"/>
              </a:ext>
            </a:extLst>
          </xdr:cNvPr>
          <xdr:cNvSpPr/>
        </xdr:nvSpPr>
        <xdr:spPr>
          <a:xfrm>
            <a:off x="12026900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6" name="Elipse 11245">
            <a:extLst>
              <a:ext uri="{FF2B5EF4-FFF2-40B4-BE49-F238E27FC236}">
                <a16:creationId xmlns:a16="http://schemas.microsoft.com/office/drawing/2014/main" id="{C93262E5-2882-4914-9D76-35FEE288D166}"/>
              </a:ext>
            </a:extLst>
          </xdr:cNvPr>
          <xdr:cNvSpPr/>
        </xdr:nvSpPr>
        <xdr:spPr>
          <a:xfrm>
            <a:off x="12026900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7" name="Elipse 11246">
            <a:extLst>
              <a:ext uri="{FF2B5EF4-FFF2-40B4-BE49-F238E27FC236}">
                <a16:creationId xmlns:a16="http://schemas.microsoft.com/office/drawing/2014/main" id="{BB869880-EB92-4844-96EE-506B0ED28E2C}"/>
              </a:ext>
            </a:extLst>
          </xdr:cNvPr>
          <xdr:cNvSpPr/>
        </xdr:nvSpPr>
        <xdr:spPr>
          <a:xfrm>
            <a:off x="1403667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8" name="Elipse 11247">
            <a:extLst>
              <a:ext uri="{FF2B5EF4-FFF2-40B4-BE49-F238E27FC236}">
                <a16:creationId xmlns:a16="http://schemas.microsoft.com/office/drawing/2014/main" id="{893F4828-6A57-4E4F-8474-2727277A468D}"/>
              </a:ext>
            </a:extLst>
          </xdr:cNvPr>
          <xdr:cNvSpPr/>
        </xdr:nvSpPr>
        <xdr:spPr>
          <a:xfrm>
            <a:off x="1403667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49" name="Elipse 11248">
            <a:extLst>
              <a:ext uri="{FF2B5EF4-FFF2-40B4-BE49-F238E27FC236}">
                <a16:creationId xmlns:a16="http://schemas.microsoft.com/office/drawing/2014/main" id="{9F738AE2-13FC-471D-91A8-6DA36E65990A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0" name="Elipse 11249">
            <a:extLst>
              <a:ext uri="{FF2B5EF4-FFF2-40B4-BE49-F238E27FC236}">
                <a16:creationId xmlns:a16="http://schemas.microsoft.com/office/drawing/2014/main" id="{16CB7B06-F2D6-444B-92BF-5531696DA822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1" name="Elipse 11250">
            <a:extLst>
              <a:ext uri="{FF2B5EF4-FFF2-40B4-BE49-F238E27FC236}">
                <a16:creationId xmlns:a16="http://schemas.microsoft.com/office/drawing/2014/main" id="{7AAA1A95-B62A-40F5-AB10-98671333218F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2" name="Elipse 11251">
            <a:extLst>
              <a:ext uri="{FF2B5EF4-FFF2-40B4-BE49-F238E27FC236}">
                <a16:creationId xmlns:a16="http://schemas.microsoft.com/office/drawing/2014/main" id="{7E5C8AD5-9C52-4CB9-9AEF-991B8F949F7B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663813</xdr:colOff>
      <xdr:row>26</xdr:row>
      <xdr:rowOff>92881</xdr:rowOff>
    </xdr:from>
    <xdr:to>
      <xdr:col>13</xdr:col>
      <xdr:colOff>413137</xdr:colOff>
      <xdr:row>28</xdr:row>
      <xdr:rowOff>94293</xdr:rowOff>
    </xdr:to>
    <xdr:grpSp>
      <xdr:nvGrpSpPr>
        <xdr:cNvPr id="11288" name="Agrupar 11287">
          <a:extLst>
            <a:ext uri="{FF2B5EF4-FFF2-40B4-BE49-F238E27FC236}">
              <a16:creationId xmlns:a16="http://schemas.microsoft.com/office/drawing/2014/main" id="{80D3770C-E426-42A6-8E67-49CBBF0F96F2}"/>
            </a:ext>
          </a:extLst>
        </xdr:cNvPr>
        <xdr:cNvGrpSpPr/>
      </xdr:nvGrpSpPr>
      <xdr:grpSpPr>
        <a:xfrm>
          <a:off x="10338492" y="4732917"/>
          <a:ext cx="1790395" cy="355197"/>
          <a:chOff x="7972289" y="1955300"/>
          <a:chExt cx="8293102" cy="1699760"/>
        </a:xfrm>
      </xdr:grpSpPr>
      <xdr:sp macro="" textlink="">
        <xdr:nvSpPr>
          <xdr:cNvPr id="11254" name="Elipse 11253">
            <a:extLst>
              <a:ext uri="{FF2B5EF4-FFF2-40B4-BE49-F238E27FC236}">
                <a16:creationId xmlns:a16="http://schemas.microsoft.com/office/drawing/2014/main" id="{6AE29B93-27B9-49D8-A9C9-FA5E473020DA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5" name="Elipse 11254">
            <a:extLst>
              <a:ext uri="{FF2B5EF4-FFF2-40B4-BE49-F238E27FC236}">
                <a16:creationId xmlns:a16="http://schemas.microsoft.com/office/drawing/2014/main" id="{7AA55E8D-03F6-44B6-9D8D-52ECFCD53005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6" name="Elipse 11255">
            <a:extLst>
              <a:ext uri="{FF2B5EF4-FFF2-40B4-BE49-F238E27FC236}">
                <a16:creationId xmlns:a16="http://schemas.microsoft.com/office/drawing/2014/main" id="{69AB28EA-3CEC-4353-9141-02C2E182751A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7" name="Elipse 11256">
            <a:extLst>
              <a:ext uri="{FF2B5EF4-FFF2-40B4-BE49-F238E27FC236}">
                <a16:creationId xmlns:a16="http://schemas.microsoft.com/office/drawing/2014/main" id="{A39C690D-37BB-4277-B5DD-569FFFF53C6B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8" name="Elipse 11257">
            <a:extLst>
              <a:ext uri="{FF2B5EF4-FFF2-40B4-BE49-F238E27FC236}">
                <a16:creationId xmlns:a16="http://schemas.microsoft.com/office/drawing/2014/main" id="{7E8FF79B-7246-4FCB-93BB-C3DC85BF97D4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59" name="Elipse 11258">
            <a:extLst>
              <a:ext uri="{FF2B5EF4-FFF2-40B4-BE49-F238E27FC236}">
                <a16:creationId xmlns:a16="http://schemas.microsoft.com/office/drawing/2014/main" id="{A83CA587-E042-47D2-8E2F-DAE25DDBF318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60" name="Elipse 11259">
            <a:extLst>
              <a:ext uri="{FF2B5EF4-FFF2-40B4-BE49-F238E27FC236}">
                <a16:creationId xmlns:a16="http://schemas.microsoft.com/office/drawing/2014/main" id="{C9A3E204-2905-4C85-824C-098FE17AAF66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61" name="Elipse 11260">
            <a:extLst>
              <a:ext uri="{FF2B5EF4-FFF2-40B4-BE49-F238E27FC236}">
                <a16:creationId xmlns:a16="http://schemas.microsoft.com/office/drawing/2014/main" id="{77560F8B-68DE-4086-B36B-38FC8FA0F724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1262" name="Conector reto 11261">
            <a:extLst>
              <a:ext uri="{FF2B5EF4-FFF2-40B4-BE49-F238E27FC236}">
                <a16:creationId xmlns:a16="http://schemas.microsoft.com/office/drawing/2014/main" id="{7CB2E6C0-BF44-4740-A3EA-432E18A2D289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3" name="Conector reto 11262">
            <a:extLst>
              <a:ext uri="{FF2B5EF4-FFF2-40B4-BE49-F238E27FC236}">
                <a16:creationId xmlns:a16="http://schemas.microsoft.com/office/drawing/2014/main" id="{771A7BF7-03D1-484E-900B-07BA35B9C3A5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4" name="Conector reto 11263">
            <a:extLst>
              <a:ext uri="{FF2B5EF4-FFF2-40B4-BE49-F238E27FC236}">
                <a16:creationId xmlns:a16="http://schemas.microsoft.com/office/drawing/2014/main" id="{92F11C69-5187-4E20-86BD-A3751A90E8AC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5" name="Conector reto 11264">
            <a:extLst>
              <a:ext uri="{FF2B5EF4-FFF2-40B4-BE49-F238E27FC236}">
                <a16:creationId xmlns:a16="http://schemas.microsoft.com/office/drawing/2014/main" id="{53AB483B-CC49-4A73-9A0A-8610674C0E30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6" name="Conector reto 11265">
            <a:extLst>
              <a:ext uri="{FF2B5EF4-FFF2-40B4-BE49-F238E27FC236}">
                <a16:creationId xmlns:a16="http://schemas.microsoft.com/office/drawing/2014/main" id="{F8E79C85-F580-42EE-8566-137AD2DE377E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7" name="Conector reto 11266">
            <a:extLst>
              <a:ext uri="{FF2B5EF4-FFF2-40B4-BE49-F238E27FC236}">
                <a16:creationId xmlns:a16="http://schemas.microsoft.com/office/drawing/2014/main" id="{2587FA27-4222-4984-B8D1-5CB836583A8F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8" name="Conector reto 11267">
            <a:extLst>
              <a:ext uri="{FF2B5EF4-FFF2-40B4-BE49-F238E27FC236}">
                <a16:creationId xmlns:a16="http://schemas.microsoft.com/office/drawing/2014/main" id="{1701C797-C06A-49D0-BDA6-AFADEF296490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69" name="Conector reto 11268">
            <a:extLst>
              <a:ext uri="{FF2B5EF4-FFF2-40B4-BE49-F238E27FC236}">
                <a16:creationId xmlns:a16="http://schemas.microsoft.com/office/drawing/2014/main" id="{C7AF04AA-4EC5-46EF-B427-F2E4FD9EE6C4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70" name="Conector reto 11269">
            <a:extLst>
              <a:ext uri="{FF2B5EF4-FFF2-40B4-BE49-F238E27FC236}">
                <a16:creationId xmlns:a16="http://schemas.microsoft.com/office/drawing/2014/main" id="{5767739F-FD5B-4797-972A-11916ECAB478}"/>
              </a:ext>
            </a:extLst>
          </xdr:cNvPr>
          <xdr:cNvCxnSpPr/>
        </xdr:nvCxnSpPr>
        <xdr:spPr>
          <a:xfrm>
            <a:off x="1004887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71" name="Conector reto 11270">
            <a:extLst>
              <a:ext uri="{FF2B5EF4-FFF2-40B4-BE49-F238E27FC236}">
                <a16:creationId xmlns:a16="http://schemas.microsoft.com/office/drawing/2014/main" id="{76453149-54C2-423A-858E-7B003EEBEB47}"/>
              </a:ext>
            </a:extLst>
          </xdr:cNvPr>
          <xdr:cNvCxnSpPr/>
        </xdr:nvCxnSpPr>
        <xdr:spPr>
          <a:xfrm>
            <a:off x="14068425" y="2015490"/>
            <a:ext cx="0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72" name="Conector reto 11271">
            <a:extLst>
              <a:ext uri="{FF2B5EF4-FFF2-40B4-BE49-F238E27FC236}">
                <a16:creationId xmlns:a16="http://schemas.microsoft.com/office/drawing/2014/main" id="{B5B26727-347E-48A4-8C33-E1DF0F85061B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73" name="Conector reto 11272">
            <a:extLst>
              <a:ext uri="{FF2B5EF4-FFF2-40B4-BE49-F238E27FC236}">
                <a16:creationId xmlns:a16="http://schemas.microsoft.com/office/drawing/2014/main" id="{FACC0E80-DEA6-4DBF-B8C8-1A5C77AE8135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74" name="Forma Livre: Forma 11273">
            <a:extLst>
              <a:ext uri="{FF2B5EF4-FFF2-40B4-BE49-F238E27FC236}">
                <a16:creationId xmlns:a16="http://schemas.microsoft.com/office/drawing/2014/main" id="{7A8FDF58-4D53-4C98-8493-085D56E808C4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75" name="Forma Livre: Forma 11274">
            <a:extLst>
              <a:ext uri="{FF2B5EF4-FFF2-40B4-BE49-F238E27FC236}">
                <a16:creationId xmlns:a16="http://schemas.microsoft.com/office/drawing/2014/main" id="{4EDCC63B-2367-4262-A1E6-A0FD12DD2271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76" name="Forma Livre: Forma 11275">
            <a:extLst>
              <a:ext uri="{FF2B5EF4-FFF2-40B4-BE49-F238E27FC236}">
                <a16:creationId xmlns:a16="http://schemas.microsoft.com/office/drawing/2014/main" id="{F35C9D5C-364E-4B32-B0AB-24BC673B6936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77" name="Forma Livre: Forma 11276">
            <a:extLst>
              <a:ext uri="{FF2B5EF4-FFF2-40B4-BE49-F238E27FC236}">
                <a16:creationId xmlns:a16="http://schemas.microsoft.com/office/drawing/2014/main" id="{E1BF42A4-209B-4F5D-AD51-C4171AE32F42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78" name="Forma Livre: Forma 11277">
            <a:extLst>
              <a:ext uri="{FF2B5EF4-FFF2-40B4-BE49-F238E27FC236}">
                <a16:creationId xmlns:a16="http://schemas.microsoft.com/office/drawing/2014/main" id="{55C95ADD-93A5-4453-9E89-A1FDDF96641C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79" name="Forma Livre: Forma 11278">
            <a:extLst>
              <a:ext uri="{FF2B5EF4-FFF2-40B4-BE49-F238E27FC236}">
                <a16:creationId xmlns:a16="http://schemas.microsoft.com/office/drawing/2014/main" id="{CA3F2A0C-87C5-4A70-A5A8-29270F2D2B30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0" name="Elipse 11279">
            <a:extLst>
              <a:ext uri="{FF2B5EF4-FFF2-40B4-BE49-F238E27FC236}">
                <a16:creationId xmlns:a16="http://schemas.microsoft.com/office/drawing/2014/main" id="{30E11C39-9509-4FC6-BCA1-5C71D65A9C10}"/>
              </a:ext>
            </a:extLst>
          </xdr:cNvPr>
          <xdr:cNvSpPr/>
        </xdr:nvSpPr>
        <xdr:spPr>
          <a:xfrm>
            <a:off x="1001712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1" name="Elipse 11280">
            <a:extLst>
              <a:ext uri="{FF2B5EF4-FFF2-40B4-BE49-F238E27FC236}">
                <a16:creationId xmlns:a16="http://schemas.microsoft.com/office/drawing/2014/main" id="{C5E1EBA4-23FE-4DC1-8D6F-64DF48829856}"/>
              </a:ext>
            </a:extLst>
          </xdr:cNvPr>
          <xdr:cNvSpPr/>
        </xdr:nvSpPr>
        <xdr:spPr>
          <a:xfrm>
            <a:off x="1001712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2" name="Elipse 11281">
            <a:extLst>
              <a:ext uri="{FF2B5EF4-FFF2-40B4-BE49-F238E27FC236}">
                <a16:creationId xmlns:a16="http://schemas.microsoft.com/office/drawing/2014/main" id="{12FCE63C-C4A6-498D-BDE4-D41F30119485}"/>
              </a:ext>
            </a:extLst>
          </xdr:cNvPr>
          <xdr:cNvSpPr/>
        </xdr:nvSpPr>
        <xdr:spPr>
          <a:xfrm>
            <a:off x="14036675" y="204724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3" name="Elipse 11282">
            <a:extLst>
              <a:ext uri="{FF2B5EF4-FFF2-40B4-BE49-F238E27FC236}">
                <a16:creationId xmlns:a16="http://schemas.microsoft.com/office/drawing/2014/main" id="{247A3D8E-884F-4D98-80C7-20113A268A94}"/>
              </a:ext>
            </a:extLst>
          </xdr:cNvPr>
          <xdr:cNvSpPr/>
        </xdr:nvSpPr>
        <xdr:spPr>
          <a:xfrm>
            <a:off x="14036675" y="3528060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4" name="Elipse 11283">
            <a:extLst>
              <a:ext uri="{FF2B5EF4-FFF2-40B4-BE49-F238E27FC236}">
                <a16:creationId xmlns:a16="http://schemas.microsoft.com/office/drawing/2014/main" id="{3DBCCCB8-DEB2-429C-B910-9C03A70FAC75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5" name="Elipse 11284">
            <a:extLst>
              <a:ext uri="{FF2B5EF4-FFF2-40B4-BE49-F238E27FC236}">
                <a16:creationId xmlns:a16="http://schemas.microsoft.com/office/drawing/2014/main" id="{8E1FCED5-D973-4B16-9E10-CD86165EBD95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6" name="Elipse 11285">
            <a:extLst>
              <a:ext uri="{FF2B5EF4-FFF2-40B4-BE49-F238E27FC236}">
                <a16:creationId xmlns:a16="http://schemas.microsoft.com/office/drawing/2014/main" id="{CAD5D3C1-1042-4AE1-B449-4131FDD76A3A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87" name="Elipse 11286">
            <a:extLst>
              <a:ext uri="{FF2B5EF4-FFF2-40B4-BE49-F238E27FC236}">
                <a16:creationId xmlns:a16="http://schemas.microsoft.com/office/drawing/2014/main" id="{D5CFA4DD-C2F5-4369-AECA-CD264E2E617E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10</xdr:col>
      <xdr:colOff>663812</xdr:colOff>
      <xdr:row>29</xdr:row>
      <xdr:rowOff>137705</xdr:rowOff>
    </xdr:from>
    <xdr:to>
      <xdr:col>13</xdr:col>
      <xdr:colOff>413136</xdr:colOff>
      <xdr:row>31</xdr:row>
      <xdr:rowOff>139117</xdr:rowOff>
    </xdr:to>
    <xdr:grpSp>
      <xdr:nvGrpSpPr>
        <xdr:cNvPr id="11317" name="Agrupar 11316">
          <a:extLst>
            <a:ext uri="{FF2B5EF4-FFF2-40B4-BE49-F238E27FC236}">
              <a16:creationId xmlns:a16="http://schemas.microsoft.com/office/drawing/2014/main" id="{FA253538-B798-4756-809C-57B3216A11A8}"/>
            </a:ext>
          </a:extLst>
        </xdr:cNvPr>
        <xdr:cNvGrpSpPr/>
      </xdr:nvGrpSpPr>
      <xdr:grpSpPr>
        <a:xfrm>
          <a:off x="10338491" y="5335634"/>
          <a:ext cx="1790395" cy="355197"/>
          <a:chOff x="7972289" y="1955300"/>
          <a:chExt cx="8293102" cy="1699760"/>
        </a:xfrm>
      </xdr:grpSpPr>
      <xdr:sp macro="" textlink="">
        <xdr:nvSpPr>
          <xdr:cNvPr id="11289" name="Elipse 11288">
            <a:extLst>
              <a:ext uri="{FF2B5EF4-FFF2-40B4-BE49-F238E27FC236}">
                <a16:creationId xmlns:a16="http://schemas.microsoft.com/office/drawing/2014/main" id="{BD4303D1-2382-4C22-840D-BDDA9D2DCCE1}"/>
              </a:ext>
            </a:extLst>
          </xdr:cNvPr>
          <xdr:cNvSpPr/>
        </xdr:nvSpPr>
        <xdr:spPr>
          <a:xfrm>
            <a:off x="80073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0" name="Elipse 11289">
            <a:extLst>
              <a:ext uri="{FF2B5EF4-FFF2-40B4-BE49-F238E27FC236}">
                <a16:creationId xmlns:a16="http://schemas.microsoft.com/office/drawing/2014/main" id="{0B4E2A84-3571-497C-9FB7-AC6B22086397}"/>
              </a:ext>
            </a:extLst>
          </xdr:cNvPr>
          <xdr:cNvSpPr/>
        </xdr:nvSpPr>
        <xdr:spPr>
          <a:xfrm>
            <a:off x="1001712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1" name="Elipse 11290">
            <a:extLst>
              <a:ext uri="{FF2B5EF4-FFF2-40B4-BE49-F238E27FC236}">
                <a16:creationId xmlns:a16="http://schemas.microsoft.com/office/drawing/2014/main" id="{44490082-8B88-4CBE-AA88-1C1BDAF48851}"/>
              </a:ext>
            </a:extLst>
          </xdr:cNvPr>
          <xdr:cNvSpPr/>
        </xdr:nvSpPr>
        <xdr:spPr>
          <a:xfrm>
            <a:off x="1202690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2" name="Elipse 11291">
            <a:extLst>
              <a:ext uri="{FF2B5EF4-FFF2-40B4-BE49-F238E27FC236}">
                <a16:creationId xmlns:a16="http://schemas.microsoft.com/office/drawing/2014/main" id="{5E26F2F1-CAA6-4B0C-AE42-AA9831BCB69D}"/>
              </a:ext>
            </a:extLst>
          </xdr:cNvPr>
          <xdr:cNvSpPr/>
        </xdr:nvSpPr>
        <xdr:spPr>
          <a:xfrm>
            <a:off x="14036675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3" name="Elipse 11292">
            <a:extLst>
              <a:ext uri="{FF2B5EF4-FFF2-40B4-BE49-F238E27FC236}">
                <a16:creationId xmlns:a16="http://schemas.microsoft.com/office/drawing/2014/main" id="{4D3419FA-2545-457A-BCC5-75A958367B2E}"/>
              </a:ext>
            </a:extLst>
          </xdr:cNvPr>
          <xdr:cNvSpPr/>
        </xdr:nvSpPr>
        <xdr:spPr>
          <a:xfrm>
            <a:off x="16046450" y="198374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4" name="Elipse 11293">
            <a:extLst>
              <a:ext uri="{FF2B5EF4-FFF2-40B4-BE49-F238E27FC236}">
                <a16:creationId xmlns:a16="http://schemas.microsoft.com/office/drawing/2014/main" id="{8FA22CD5-7D35-4151-9DAD-585E8CDD4C81}"/>
              </a:ext>
            </a:extLst>
          </xdr:cNvPr>
          <xdr:cNvSpPr/>
        </xdr:nvSpPr>
        <xdr:spPr>
          <a:xfrm>
            <a:off x="1001712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5" name="Elipse 11294">
            <a:extLst>
              <a:ext uri="{FF2B5EF4-FFF2-40B4-BE49-F238E27FC236}">
                <a16:creationId xmlns:a16="http://schemas.microsoft.com/office/drawing/2014/main" id="{2BF95AF1-6070-4EA4-AFAC-0BCA66230283}"/>
              </a:ext>
            </a:extLst>
          </xdr:cNvPr>
          <xdr:cNvSpPr/>
        </xdr:nvSpPr>
        <xdr:spPr>
          <a:xfrm>
            <a:off x="12026900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296" name="Elipse 11295">
            <a:extLst>
              <a:ext uri="{FF2B5EF4-FFF2-40B4-BE49-F238E27FC236}">
                <a16:creationId xmlns:a16="http://schemas.microsoft.com/office/drawing/2014/main" id="{936584A8-C8F3-460F-B8E9-822B04994C9A}"/>
              </a:ext>
            </a:extLst>
          </xdr:cNvPr>
          <xdr:cNvSpPr/>
        </xdr:nvSpPr>
        <xdr:spPr>
          <a:xfrm>
            <a:off x="14036675" y="3591560"/>
            <a:ext cx="63500" cy="63500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1297" name="Conector reto 11296">
            <a:extLst>
              <a:ext uri="{FF2B5EF4-FFF2-40B4-BE49-F238E27FC236}">
                <a16:creationId xmlns:a16="http://schemas.microsoft.com/office/drawing/2014/main" id="{309737C9-FD10-46D9-AAA4-B9724AB91E54}"/>
              </a:ext>
            </a:extLst>
          </xdr:cNvPr>
          <xdr:cNvCxnSpPr/>
        </xdr:nvCxnSpPr>
        <xdr:spPr>
          <a:xfrm>
            <a:off x="803910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98" name="Conector reto 11297">
            <a:extLst>
              <a:ext uri="{FF2B5EF4-FFF2-40B4-BE49-F238E27FC236}">
                <a16:creationId xmlns:a16="http://schemas.microsoft.com/office/drawing/2014/main" id="{8EDBB0D1-C389-495A-B926-2D539E126FB7}"/>
              </a:ext>
            </a:extLst>
          </xdr:cNvPr>
          <xdr:cNvCxnSpPr/>
        </xdr:nvCxnSpPr>
        <xdr:spPr>
          <a:xfrm>
            <a:off x="1004887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99" name="Conector reto 11298">
            <a:extLst>
              <a:ext uri="{FF2B5EF4-FFF2-40B4-BE49-F238E27FC236}">
                <a16:creationId xmlns:a16="http://schemas.microsoft.com/office/drawing/2014/main" id="{76FE2469-5511-47A8-9533-6F94A2A81AF9}"/>
              </a:ext>
            </a:extLst>
          </xdr:cNvPr>
          <xdr:cNvCxnSpPr/>
        </xdr:nvCxnSpPr>
        <xdr:spPr>
          <a:xfrm>
            <a:off x="12058650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0" name="Conector reto 11299">
            <a:extLst>
              <a:ext uri="{FF2B5EF4-FFF2-40B4-BE49-F238E27FC236}">
                <a16:creationId xmlns:a16="http://schemas.microsoft.com/office/drawing/2014/main" id="{981DBF1E-3B62-4A2B-9BD5-783668B552E9}"/>
              </a:ext>
            </a:extLst>
          </xdr:cNvPr>
          <xdr:cNvCxnSpPr/>
        </xdr:nvCxnSpPr>
        <xdr:spPr>
          <a:xfrm>
            <a:off x="14068425" y="201549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1" name="Conector reto 11300">
            <a:extLst>
              <a:ext uri="{FF2B5EF4-FFF2-40B4-BE49-F238E27FC236}">
                <a16:creationId xmlns:a16="http://schemas.microsoft.com/office/drawing/2014/main" id="{BE4873F6-EA80-4074-BD7C-6D06F694FD15}"/>
              </a:ext>
            </a:extLst>
          </xdr:cNvPr>
          <xdr:cNvCxnSpPr/>
        </xdr:nvCxnSpPr>
        <xdr:spPr>
          <a:xfrm>
            <a:off x="803910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2" name="Conector reto 11301">
            <a:extLst>
              <a:ext uri="{FF2B5EF4-FFF2-40B4-BE49-F238E27FC236}">
                <a16:creationId xmlns:a16="http://schemas.microsoft.com/office/drawing/2014/main" id="{29A6697C-91DC-40FE-949B-1ED3A6676E66}"/>
              </a:ext>
            </a:extLst>
          </xdr:cNvPr>
          <xdr:cNvCxnSpPr/>
        </xdr:nvCxnSpPr>
        <xdr:spPr>
          <a:xfrm>
            <a:off x="10048875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3" name="Conector reto 11302">
            <a:extLst>
              <a:ext uri="{FF2B5EF4-FFF2-40B4-BE49-F238E27FC236}">
                <a16:creationId xmlns:a16="http://schemas.microsoft.com/office/drawing/2014/main" id="{F8378EC0-DB30-4BCA-98DA-ABCFC41CF10E}"/>
              </a:ext>
            </a:extLst>
          </xdr:cNvPr>
          <xdr:cNvCxnSpPr/>
        </xdr:nvCxnSpPr>
        <xdr:spPr>
          <a:xfrm>
            <a:off x="12058650" y="3623310"/>
            <a:ext cx="2009775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4" name="Conector reto 11303">
            <a:extLst>
              <a:ext uri="{FF2B5EF4-FFF2-40B4-BE49-F238E27FC236}">
                <a16:creationId xmlns:a16="http://schemas.microsoft.com/office/drawing/2014/main" id="{1A6CED3C-3E29-4B0A-BEDD-332F225D4A40}"/>
              </a:ext>
            </a:extLst>
          </xdr:cNvPr>
          <xdr:cNvCxnSpPr/>
        </xdr:nvCxnSpPr>
        <xdr:spPr>
          <a:xfrm flipV="1">
            <a:off x="1406842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5" name="Conector reto 11304">
            <a:extLst>
              <a:ext uri="{FF2B5EF4-FFF2-40B4-BE49-F238E27FC236}">
                <a16:creationId xmlns:a16="http://schemas.microsoft.com/office/drawing/2014/main" id="{E6225D2A-0C99-4957-8B61-7083F576F83D}"/>
              </a:ext>
            </a:extLst>
          </xdr:cNvPr>
          <xdr:cNvCxnSpPr/>
        </xdr:nvCxnSpPr>
        <xdr:spPr>
          <a:xfrm flipV="1">
            <a:off x="10048875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06" name="Conector reto 11305">
            <a:extLst>
              <a:ext uri="{FF2B5EF4-FFF2-40B4-BE49-F238E27FC236}">
                <a16:creationId xmlns:a16="http://schemas.microsoft.com/office/drawing/2014/main" id="{94C9983D-F6BD-4978-9D4C-C0E35EE60B4A}"/>
              </a:ext>
            </a:extLst>
          </xdr:cNvPr>
          <xdr:cNvCxnSpPr/>
        </xdr:nvCxnSpPr>
        <xdr:spPr>
          <a:xfrm>
            <a:off x="12058650" y="2015490"/>
            <a:ext cx="2009775" cy="160782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307" name="Forma Livre: Forma 11306">
            <a:extLst>
              <a:ext uri="{FF2B5EF4-FFF2-40B4-BE49-F238E27FC236}">
                <a16:creationId xmlns:a16="http://schemas.microsoft.com/office/drawing/2014/main" id="{9DCE0EB7-0487-44B1-BD20-BEADA83772A0}"/>
              </a:ext>
            </a:extLst>
          </xdr:cNvPr>
          <xdr:cNvSpPr/>
        </xdr:nvSpPr>
        <xdr:spPr>
          <a:xfrm>
            <a:off x="8039100" y="1955300"/>
            <a:ext cx="135428" cy="120381"/>
          </a:xfrm>
          <a:custGeom>
            <a:avLst/>
            <a:gdLst/>
            <a:ahLst/>
            <a:cxnLst/>
            <a:rect l="0" t="0" r="0" b="0"/>
            <a:pathLst>
              <a:path w="135428" h="120381">
                <a:moveTo>
                  <a:pt x="0" y="60190"/>
                </a:moveTo>
                <a:lnTo>
                  <a:pt x="30095" y="60190"/>
                </a:lnTo>
                <a:lnTo>
                  <a:pt x="45142" y="0"/>
                </a:lnTo>
                <a:lnTo>
                  <a:pt x="60189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7" y="60190"/>
                </a:lnTo>
                <a:lnTo>
                  <a:pt x="135427" y="30095"/>
                </a:lnTo>
                <a:lnTo>
                  <a:pt x="135427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08" name="Forma Livre: Forma 11307">
            <a:extLst>
              <a:ext uri="{FF2B5EF4-FFF2-40B4-BE49-F238E27FC236}">
                <a16:creationId xmlns:a16="http://schemas.microsoft.com/office/drawing/2014/main" id="{0EF9A6D9-E969-4D4D-BF70-44F49E79EBF7}"/>
              </a:ext>
            </a:extLst>
          </xdr:cNvPr>
          <xdr:cNvSpPr/>
        </xdr:nvSpPr>
        <xdr:spPr>
          <a:xfrm>
            <a:off x="7978911" y="2015490"/>
            <a:ext cx="120379" cy="135428"/>
          </a:xfrm>
          <a:custGeom>
            <a:avLst/>
            <a:gdLst/>
            <a:ahLst/>
            <a:cxnLst/>
            <a:rect l="0" t="0" r="0" b="0"/>
            <a:pathLst>
              <a:path w="120379" h="135428">
                <a:moveTo>
                  <a:pt x="60189" y="0"/>
                </a:moveTo>
                <a:lnTo>
                  <a:pt x="60189" y="30095"/>
                </a:lnTo>
                <a:lnTo>
                  <a:pt x="120378" y="45142"/>
                </a:lnTo>
                <a:lnTo>
                  <a:pt x="0" y="60190"/>
                </a:lnTo>
                <a:lnTo>
                  <a:pt x="120378" y="75237"/>
                </a:lnTo>
                <a:lnTo>
                  <a:pt x="0" y="90284"/>
                </a:lnTo>
                <a:lnTo>
                  <a:pt x="60189" y="105332"/>
                </a:lnTo>
                <a:lnTo>
                  <a:pt x="60189" y="135427"/>
                </a:lnTo>
                <a:lnTo>
                  <a:pt x="90284" y="135427"/>
                </a:lnTo>
                <a:lnTo>
                  <a:pt x="30094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09" name="Forma Livre: Forma 11308">
            <a:extLst>
              <a:ext uri="{FF2B5EF4-FFF2-40B4-BE49-F238E27FC236}">
                <a16:creationId xmlns:a16="http://schemas.microsoft.com/office/drawing/2014/main" id="{5C408598-5C5F-4418-8EA7-C854DE2A2812}"/>
              </a:ext>
            </a:extLst>
          </xdr:cNvPr>
          <xdr:cNvSpPr/>
        </xdr:nvSpPr>
        <xdr:spPr>
          <a:xfrm>
            <a:off x="7972289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4" y="54606"/>
                </a:moveTo>
                <a:lnTo>
                  <a:pt x="68051" y="57243"/>
                </a:lnTo>
                <a:lnTo>
                  <a:pt x="64951" y="59151"/>
                </a:lnTo>
                <a:lnTo>
                  <a:pt x="60318" y="58144"/>
                </a:lnTo>
                <a:lnTo>
                  <a:pt x="56779" y="53427"/>
                </a:lnTo>
                <a:lnTo>
                  <a:pt x="57072" y="46351"/>
                </a:lnTo>
                <a:lnTo>
                  <a:pt x="62471" y="40070"/>
                </a:lnTo>
                <a:lnTo>
                  <a:pt x="71771" y="38162"/>
                </a:lnTo>
                <a:lnTo>
                  <a:pt x="81419" y="42813"/>
                </a:lnTo>
                <a:lnTo>
                  <a:pt x="86874" y="53427"/>
                </a:lnTo>
                <a:lnTo>
                  <a:pt x="84666" y="66399"/>
                </a:lnTo>
                <a:lnTo>
                  <a:pt x="74251" y="76324"/>
                </a:lnTo>
                <a:lnTo>
                  <a:pt x="58751" y="78233"/>
                </a:lnTo>
                <a:lnTo>
                  <a:pt x="44087" y="69937"/>
                </a:lnTo>
                <a:lnTo>
                  <a:pt x="36716" y="53427"/>
                </a:lnTo>
                <a:lnTo>
                  <a:pt x="40840" y="34559"/>
                </a:lnTo>
                <a:lnTo>
                  <a:pt x="56271" y="20989"/>
                </a:lnTo>
                <a:lnTo>
                  <a:pt x="77971" y="19081"/>
                </a:lnTo>
                <a:lnTo>
                  <a:pt x="97651" y="31021"/>
                </a:lnTo>
                <a:lnTo>
                  <a:pt x="106937" y="53427"/>
                </a:lnTo>
                <a:lnTo>
                  <a:pt x="100897" y="78192"/>
                </a:lnTo>
                <a:lnTo>
                  <a:pt x="80450" y="95406"/>
                </a:lnTo>
                <a:lnTo>
                  <a:pt x="52551" y="97314"/>
                </a:lnTo>
                <a:lnTo>
                  <a:pt x="27855" y="81730"/>
                </a:lnTo>
                <a:lnTo>
                  <a:pt x="16653" y="53427"/>
                </a:lnTo>
                <a:lnTo>
                  <a:pt x="24609" y="22766"/>
                </a:lnTo>
                <a:lnTo>
                  <a:pt x="50072" y="1908"/>
                </a:lnTo>
                <a:lnTo>
                  <a:pt x="84170" y="0"/>
                </a:lnTo>
                <a:lnTo>
                  <a:pt x="113883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0" name="Forma Livre: Forma 11309">
            <a:extLst>
              <a:ext uri="{FF2B5EF4-FFF2-40B4-BE49-F238E27FC236}">
                <a16:creationId xmlns:a16="http://schemas.microsoft.com/office/drawing/2014/main" id="{8888ACD9-CAC3-4937-ABB6-F38AFE35FC8F}"/>
              </a:ext>
            </a:extLst>
          </xdr:cNvPr>
          <xdr:cNvSpPr/>
        </xdr:nvSpPr>
        <xdr:spPr>
          <a:xfrm>
            <a:off x="16078200" y="1955300"/>
            <a:ext cx="135427" cy="120381"/>
          </a:xfrm>
          <a:custGeom>
            <a:avLst/>
            <a:gdLst/>
            <a:ahLst/>
            <a:cxnLst/>
            <a:rect l="0" t="0" r="0" b="0"/>
            <a:pathLst>
              <a:path w="135427" h="120381">
                <a:moveTo>
                  <a:pt x="0" y="60190"/>
                </a:moveTo>
                <a:lnTo>
                  <a:pt x="30094" y="60190"/>
                </a:lnTo>
                <a:lnTo>
                  <a:pt x="45141" y="0"/>
                </a:lnTo>
                <a:lnTo>
                  <a:pt x="60190" y="120380"/>
                </a:lnTo>
                <a:lnTo>
                  <a:pt x="75237" y="0"/>
                </a:lnTo>
                <a:lnTo>
                  <a:pt x="90284" y="120380"/>
                </a:lnTo>
                <a:lnTo>
                  <a:pt x="105332" y="60190"/>
                </a:lnTo>
                <a:lnTo>
                  <a:pt x="135426" y="60190"/>
                </a:lnTo>
                <a:lnTo>
                  <a:pt x="135426" y="30095"/>
                </a:lnTo>
                <a:lnTo>
                  <a:pt x="135426" y="90285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1" name="Forma Livre: Forma 11310">
            <a:extLst>
              <a:ext uri="{FF2B5EF4-FFF2-40B4-BE49-F238E27FC236}">
                <a16:creationId xmlns:a16="http://schemas.microsoft.com/office/drawing/2014/main" id="{86A47C84-DEEC-4113-99E1-80F551EB8659}"/>
              </a:ext>
            </a:extLst>
          </xdr:cNvPr>
          <xdr:cNvSpPr/>
        </xdr:nvSpPr>
        <xdr:spPr>
          <a:xfrm>
            <a:off x="16018010" y="2015490"/>
            <a:ext cx="120381" cy="135428"/>
          </a:xfrm>
          <a:custGeom>
            <a:avLst/>
            <a:gdLst/>
            <a:ahLst/>
            <a:cxnLst/>
            <a:rect l="0" t="0" r="0" b="0"/>
            <a:pathLst>
              <a:path w="120381" h="135428">
                <a:moveTo>
                  <a:pt x="60190" y="0"/>
                </a:moveTo>
                <a:lnTo>
                  <a:pt x="60190" y="30095"/>
                </a:lnTo>
                <a:lnTo>
                  <a:pt x="120380" y="45142"/>
                </a:lnTo>
                <a:lnTo>
                  <a:pt x="0" y="60190"/>
                </a:lnTo>
                <a:lnTo>
                  <a:pt x="120380" y="75237"/>
                </a:lnTo>
                <a:lnTo>
                  <a:pt x="0" y="90284"/>
                </a:lnTo>
                <a:lnTo>
                  <a:pt x="60190" y="105332"/>
                </a:lnTo>
                <a:lnTo>
                  <a:pt x="60190" y="135427"/>
                </a:lnTo>
                <a:lnTo>
                  <a:pt x="90284" y="135427"/>
                </a:lnTo>
                <a:lnTo>
                  <a:pt x="30096" y="135427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2" name="Forma Livre: Forma 11311">
            <a:extLst>
              <a:ext uri="{FF2B5EF4-FFF2-40B4-BE49-F238E27FC236}">
                <a16:creationId xmlns:a16="http://schemas.microsoft.com/office/drawing/2014/main" id="{139D6E38-3C2F-4955-A5A6-FA85EF4990D6}"/>
              </a:ext>
            </a:extLst>
          </xdr:cNvPr>
          <xdr:cNvSpPr/>
        </xdr:nvSpPr>
        <xdr:spPr>
          <a:xfrm>
            <a:off x="16011390" y="1962063"/>
            <a:ext cx="254001" cy="97315"/>
          </a:xfrm>
          <a:custGeom>
            <a:avLst/>
            <a:gdLst/>
            <a:ahLst/>
            <a:cxnLst/>
            <a:rect l="0" t="0" r="0" b="0"/>
            <a:pathLst>
              <a:path w="254001" h="97315">
                <a:moveTo>
                  <a:pt x="68433" y="54606"/>
                </a:moveTo>
                <a:lnTo>
                  <a:pt x="68050" y="57243"/>
                </a:lnTo>
                <a:lnTo>
                  <a:pt x="64950" y="59151"/>
                </a:lnTo>
                <a:lnTo>
                  <a:pt x="60317" y="58144"/>
                </a:lnTo>
                <a:lnTo>
                  <a:pt x="56778" y="53427"/>
                </a:lnTo>
                <a:lnTo>
                  <a:pt x="57071" y="46351"/>
                </a:lnTo>
                <a:lnTo>
                  <a:pt x="62471" y="40070"/>
                </a:lnTo>
                <a:lnTo>
                  <a:pt x="71769" y="38162"/>
                </a:lnTo>
                <a:lnTo>
                  <a:pt x="81418" y="42813"/>
                </a:lnTo>
                <a:lnTo>
                  <a:pt x="86874" y="53427"/>
                </a:lnTo>
                <a:lnTo>
                  <a:pt x="84665" y="66399"/>
                </a:lnTo>
                <a:lnTo>
                  <a:pt x="74250" y="76324"/>
                </a:lnTo>
                <a:lnTo>
                  <a:pt x="58750" y="78233"/>
                </a:lnTo>
                <a:lnTo>
                  <a:pt x="44086" y="69937"/>
                </a:lnTo>
                <a:lnTo>
                  <a:pt x="36716" y="53427"/>
                </a:lnTo>
                <a:lnTo>
                  <a:pt x="40839" y="34559"/>
                </a:lnTo>
                <a:lnTo>
                  <a:pt x="56270" y="20989"/>
                </a:lnTo>
                <a:lnTo>
                  <a:pt x="77969" y="19081"/>
                </a:lnTo>
                <a:lnTo>
                  <a:pt x="97650" y="31021"/>
                </a:lnTo>
                <a:lnTo>
                  <a:pt x="106936" y="53427"/>
                </a:lnTo>
                <a:lnTo>
                  <a:pt x="100896" y="78192"/>
                </a:lnTo>
                <a:lnTo>
                  <a:pt x="80449" y="95406"/>
                </a:lnTo>
                <a:lnTo>
                  <a:pt x="52550" y="97314"/>
                </a:lnTo>
                <a:lnTo>
                  <a:pt x="27854" y="81730"/>
                </a:lnTo>
                <a:lnTo>
                  <a:pt x="16652" y="53427"/>
                </a:lnTo>
                <a:lnTo>
                  <a:pt x="24608" y="22766"/>
                </a:lnTo>
                <a:lnTo>
                  <a:pt x="50070" y="1908"/>
                </a:lnTo>
                <a:lnTo>
                  <a:pt x="84170" y="0"/>
                </a:lnTo>
                <a:lnTo>
                  <a:pt x="113882" y="19228"/>
                </a:lnTo>
                <a:lnTo>
                  <a:pt x="127000" y="53427"/>
                </a:lnTo>
                <a:lnTo>
                  <a:pt x="0" y="53427"/>
                </a:lnTo>
                <a:lnTo>
                  <a:pt x="254000" y="53427"/>
                </a:lnTo>
              </a:path>
            </a:pathLst>
          </a:custGeom>
          <a:ln w="22225">
            <a:solidFill>
              <a:srgbClr val="1E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3" name="Elipse 11312">
            <a:extLst>
              <a:ext uri="{FF2B5EF4-FFF2-40B4-BE49-F238E27FC236}">
                <a16:creationId xmlns:a16="http://schemas.microsoft.com/office/drawing/2014/main" id="{BBE4EEAC-131B-4DC6-B2B4-603625C95126}"/>
              </a:ext>
            </a:extLst>
          </xdr:cNvPr>
          <xdr:cNvSpPr/>
        </xdr:nvSpPr>
        <xdr:spPr>
          <a:xfrm>
            <a:off x="1006671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4" name="Elipse 11313">
            <a:extLst>
              <a:ext uri="{FF2B5EF4-FFF2-40B4-BE49-F238E27FC236}">
                <a16:creationId xmlns:a16="http://schemas.microsoft.com/office/drawing/2014/main" id="{A643D194-DD34-46B7-8932-9C5672DD5C64}"/>
              </a:ext>
            </a:extLst>
          </xdr:cNvPr>
          <xdr:cNvSpPr/>
        </xdr:nvSpPr>
        <xdr:spPr>
          <a:xfrm>
            <a:off x="1197731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5" name="Elipse 11314">
            <a:extLst>
              <a:ext uri="{FF2B5EF4-FFF2-40B4-BE49-F238E27FC236}">
                <a16:creationId xmlns:a16="http://schemas.microsoft.com/office/drawing/2014/main" id="{2F466F19-2394-4858-8A46-B48605B72303}"/>
              </a:ext>
            </a:extLst>
          </xdr:cNvPr>
          <xdr:cNvSpPr/>
        </xdr:nvSpPr>
        <xdr:spPr>
          <a:xfrm>
            <a:off x="12076485" y="2023408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316" name="Elipse 11315">
            <a:extLst>
              <a:ext uri="{FF2B5EF4-FFF2-40B4-BE49-F238E27FC236}">
                <a16:creationId xmlns:a16="http://schemas.microsoft.com/office/drawing/2014/main" id="{DB24C851-1CAA-49D5-B043-1E9EB40143BB}"/>
              </a:ext>
            </a:extLst>
          </xdr:cNvPr>
          <xdr:cNvSpPr/>
        </xdr:nvSpPr>
        <xdr:spPr>
          <a:xfrm>
            <a:off x="13987090" y="3551892"/>
            <a:ext cx="63500" cy="63500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232682</xdr:colOff>
      <xdr:row>3</xdr:row>
      <xdr:rowOff>105497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E8C3CE30-6DFF-4A3D-8DDE-23A334BA44DD}"/>
            </a:ext>
          </a:extLst>
        </xdr:cNvPr>
        <xdr:cNvSpPr/>
      </xdr:nvSpPr>
      <xdr:spPr>
        <a:xfrm>
          <a:off x="4800600" y="0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163284</xdr:colOff>
      <xdr:row>1</xdr:row>
      <xdr:rowOff>0</xdr:rowOff>
    </xdr:from>
    <xdr:to>
      <xdr:col>18</xdr:col>
      <xdr:colOff>415016</xdr:colOff>
      <xdr:row>5</xdr:row>
      <xdr:rowOff>121826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CBE35CF5-13F9-43D4-8A61-C98408BC1EC0}"/>
            </a:ext>
          </a:extLst>
        </xdr:cNvPr>
        <xdr:cNvSpPr/>
      </xdr:nvSpPr>
      <xdr:spPr>
        <a:xfrm>
          <a:off x="7905748" y="258536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  <xdr:twoCellAnchor>
    <xdr:from>
      <xdr:col>19</xdr:col>
      <xdr:colOff>81643</xdr:colOff>
      <xdr:row>10</xdr:row>
      <xdr:rowOff>68036</xdr:rowOff>
    </xdr:from>
    <xdr:to>
      <xdr:col>20</xdr:col>
      <xdr:colOff>260936</xdr:colOff>
      <xdr:row>13</xdr:row>
      <xdr:rowOff>37058</xdr:rowOff>
    </xdr:to>
    <xdr:sp macro="[0]!DesenharXY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C25E1613-4547-4219-8BEB-BC0ABE96A327}"/>
            </a:ext>
          </a:extLst>
        </xdr:cNvPr>
        <xdr:cNvSpPr/>
      </xdr:nvSpPr>
      <xdr:spPr>
        <a:xfrm>
          <a:off x="13239750" y="1918607"/>
          <a:ext cx="1186222" cy="499701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DESENHAR</a:t>
          </a:r>
        </a:p>
      </xdr:txBody>
    </xdr:sp>
    <xdr:clientData/>
  </xdr:twoCellAnchor>
  <xdr:twoCellAnchor>
    <xdr:from>
      <xdr:col>20</xdr:col>
      <xdr:colOff>462644</xdr:colOff>
      <xdr:row>10</xdr:row>
      <xdr:rowOff>68036</xdr:rowOff>
    </xdr:from>
    <xdr:to>
      <xdr:col>22</xdr:col>
      <xdr:colOff>274545</xdr:colOff>
      <xdr:row>13</xdr:row>
      <xdr:rowOff>41861</xdr:rowOff>
    </xdr:to>
    <xdr:sp macro="[0]!Inicializar" textlink="">
      <xdr:nvSpPr>
        <xdr:cNvPr id="31" name="Fluxograma: Processo Alternativo 30">
          <a:extLst>
            <a:ext uri="{FF2B5EF4-FFF2-40B4-BE49-F238E27FC236}">
              <a16:creationId xmlns:a16="http://schemas.microsoft.com/office/drawing/2014/main" id="{66C0EEFB-B8F1-4BAA-BC4A-A2E2326C86C7}"/>
            </a:ext>
          </a:extLst>
        </xdr:cNvPr>
        <xdr:cNvSpPr/>
      </xdr:nvSpPr>
      <xdr:spPr>
        <a:xfrm>
          <a:off x="14627680" y="1918607"/>
          <a:ext cx="1186222" cy="504504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0</xdr:rowOff>
    </xdr:from>
    <xdr:to>
      <xdr:col>21</xdr:col>
      <xdr:colOff>535242</xdr:colOff>
      <xdr:row>25</xdr:row>
      <xdr:rowOff>78441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F77B2BE-B079-4802-9299-C9230DC6A317}"/>
            </a:ext>
          </a:extLst>
        </xdr:cNvPr>
        <xdr:cNvGrpSpPr/>
      </xdr:nvGrpSpPr>
      <xdr:grpSpPr>
        <a:xfrm>
          <a:off x="8137071" y="1986643"/>
          <a:ext cx="10223528" cy="2731834"/>
          <a:chOff x="5133975" y="2779839"/>
          <a:chExt cx="5610226" cy="1091360"/>
        </a:xfrm>
      </xdr:grpSpPr>
      <xdr:sp macro="" textlink="">
        <xdr:nvSpPr>
          <xdr:cNvPr id="33" name="Elipse 32">
            <a:extLst>
              <a:ext uri="{FF2B5EF4-FFF2-40B4-BE49-F238E27FC236}">
                <a16:creationId xmlns:a16="http://schemas.microsoft.com/office/drawing/2014/main" id="{3D8168A8-BE8D-4BAB-9FD5-B99B8AA545FF}"/>
              </a:ext>
            </a:extLst>
          </xdr:cNvPr>
          <xdr:cNvSpPr/>
        </xdr:nvSpPr>
        <xdr:spPr>
          <a:xfrm>
            <a:off x="5234987" y="3559461"/>
            <a:ext cx="51975" cy="51974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Elipse 33">
            <a:extLst>
              <a:ext uri="{FF2B5EF4-FFF2-40B4-BE49-F238E27FC236}">
                <a16:creationId xmlns:a16="http://schemas.microsoft.com/office/drawing/2014/main" id="{C7A74690-83ED-46D0-9E89-1671134AE70C}"/>
              </a:ext>
            </a:extLst>
          </xdr:cNvPr>
          <xdr:cNvSpPr/>
        </xdr:nvSpPr>
        <xdr:spPr>
          <a:xfrm>
            <a:off x="7833725" y="3559461"/>
            <a:ext cx="51975" cy="51974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Elipse 34">
            <a:extLst>
              <a:ext uri="{FF2B5EF4-FFF2-40B4-BE49-F238E27FC236}">
                <a16:creationId xmlns:a16="http://schemas.microsoft.com/office/drawing/2014/main" id="{3BFAC3D2-EC73-4D54-AFB4-43E61EC78443}"/>
              </a:ext>
            </a:extLst>
          </xdr:cNvPr>
          <xdr:cNvSpPr/>
        </xdr:nvSpPr>
        <xdr:spPr>
          <a:xfrm>
            <a:off x="10432462" y="3559461"/>
            <a:ext cx="51976" cy="51974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40E73ECA-3C0E-4EC4-922C-5617864A065D}"/>
              </a:ext>
            </a:extLst>
          </xdr:cNvPr>
          <xdr:cNvSpPr/>
        </xdr:nvSpPr>
        <xdr:spPr>
          <a:xfrm>
            <a:off x="6534356" y="3169650"/>
            <a:ext cx="51975" cy="51975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Elipse 36">
            <a:extLst>
              <a:ext uri="{FF2B5EF4-FFF2-40B4-BE49-F238E27FC236}">
                <a16:creationId xmlns:a16="http://schemas.microsoft.com/office/drawing/2014/main" id="{29C08774-0DC6-4BBE-BDEF-8753FADCC95C}"/>
              </a:ext>
            </a:extLst>
          </xdr:cNvPr>
          <xdr:cNvSpPr/>
        </xdr:nvSpPr>
        <xdr:spPr>
          <a:xfrm>
            <a:off x="9133094" y="3169650"/>
            <a:ext cx="51975" cy="51975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Elipse 37">
            <a:extLst>
              <a:ext uri="{FF2B5EF4-FFF2-40B4-BE49-F238E27FC236}">
                <a16:creationId xmlns:a16="http://schemas.microsoft.com/office/drawing/2014/main" id="{6011619D-7D51-4C04-B54A-3A8FB81E0E7D}"/>
              </a:ext>
            </a:extLst>
          </xdr:cNvPr>
          <xdr:cNvSpPr/>
        </xdr:nvSpPr>
        <xdr:spPr>
          <a:xfrm>
            <a:off x="7833725" y="2779839"/>
            <a:ext cx="51975" cy="51975"/>
          </a:xfrm>
          <a:prstGeom prst="ellipse">
            <a:avLst/>
          </a:prstGeom>
          <a:solidFill>
            <a:srgbClr val="000000"/>
          </a:solidFill>
          <a:ln w="635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39" name="Conector reto 38">
            <a:extLst>
              <a:ext uri="{FF2B5EF4-FFF2-40B4-BE49-F238E27FC236}">
                <a16:creationId xmlns:a16="http://schemas.microsoft.com/office/drawing/2014/main" id="{2635BFA4-CEF1-49B1-9FBA-EEE7E12688AF}"/>
              </a:ext>
            </a:extLst>
          </xdr:cNvPr>
          <xdr:cNvCxnSpPr/>
        </xdr:nvCxnSpPr>
        <xdr:spPr>
          <a:xfrm>
            <a:off x="5260975" y="3585448"/>
            <a:ext cx="2598738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ector reto 39">
            <a:extLst>
              <a:ext uri="{FF2B5EF4-FFF2-40B4-BE49-F238E27FC236}">
                <a16:creationId xmlns:a16="http://schemas.microsoft.com/office/drawing/2014/main" id="{004FCA81-3E2C-40EA-ACEC-FFD8C2EF1B79}"/>
              </a:ext>
            </a:extLst>
          </xdr:cNvPr>
          <xdr:cNvCxnSpPr/>
        </xdr:nvCxnSpPr>
        <xdr:spPr>
          <a:xfrm>
            <a:off x="7859713" y="3585448"/>
            <a:ext cx="2598737" cy="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Conector reto 40">
            <a:extLst>
              <a:ext uri="{FF2B5EF4-FFF2-40B4-BE49-F238E27FC236}">
                <a16:creationId xmlns:a16="http://schemas.microsoft.com/office/drawing/2014/main" id="{6292AD8F-BB9C-4347-B71D-B9B7F3304C9B}"/>
              </a:ext>
            </a:extLst>
          </xdr:cNvPr>
          <xdr:cNvCxnSpPr/>
        </xdr:nvCxnSpPr>
        <xdr:spPr>
          <a:xfrm flipV="1">
            <a:off x="5260975" y="3195638"/>
            <a:ext cx="1299369" cy="38981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Conector reto 41">
            <a:extLst>
              <a:ext uri="{FF2B5EF4-FFF2-40B4-BE49-F238E27FC236}">
                <a16:creationId xmlns:a16="http://schemas.microsoft.com/office/drawing/2014/main" id="{610C1D0C-E9F1-4152-A077-D0AB9A9A08D5}"/>
              </a:ext>
            </a:extLst>
          </xdr:cNvPr>
          <xdr:cNvCxnSpPr/>
        </xdr:nvCxnSpPr>
        <xdr:spPr>
          <a:xfrm>
            <a:off x="9159081" y="3195638"/>
            <a:ext cx="1299369" cy="38981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ector reto 42">
            <a:extLst>
              <a:ext uri="{FF2B5EF4-FFF2-40B4-BE49-F238E27FC236}">
                <a16:creationId xmlns:a16="http://schemas.microsoft.com/office/drawing/2014/main" id="{C9EF328D-44BC-488A-8BAB-17A12674F3F0}"/>
              </a:ext>
            </a:extLst>
          </xdr:cNvPr>
          <xdr:cNvCxnSpPr/>
        </xdr:nvCxnSpPr>
        <xdr:spPr>
          <a:xfrm flipV="1">
            <a:off x="6560344" y="2805827"/>
            <a:ext cx="1299369" cy="389811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reto 43">
            <a:extLst>
              <a:ext uri="{FF2B5EF4-FFF2-40B4-BE49-F238E27FC236}">
                <a16:creationId xmlns:a16="http://schemas.microsoft.com/office/drawing/2014/main" id="{592FD947-E925-48AF-8238-81BDBA990A39}"/>
              </a:ext>
            </a:extLst>
          </xdr:cNvPr>
          <xdr:cNvCxnSpPr/>
        </xdr:nvCxnSpPr>
        <xdr:spPr>
          <a:xfrm flipH="1" flipV="1">
            <a:off x="7859713" y="2805827"/>
            <a:ext cx="1299368" cy="389811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ector reto 44">
            <a:extLst>
              <a:ext uri="{FF2B5EF4-FFF2-40B4-BE49-F238E27FC236}">
                <a16:creationId xmlns:a16="http://schemas.microsoft.com/office/drawing/2014/main" id="{B8784F13-CF1A-4A08-8225-D3AA7F16FB96}"/>
              </a:ext>
            </a:extLst>
          </xdr:cNvPr>
          <xdr:cNvCxnSpPr/>
        </xdr:nvCxnSpPr>
        <xdr:spPr>
          <a:xfrm flipH="1" flipV="1">
            <a:off x="6560344" y="3195638"/>
            <a:ext cx="1299369" cy="38981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ector reto 45">
            <a:extLst>
              <a:ext uri="{FF2B5EF4-FFF2-40B4-BE49-F238E27FC236}">
                <a16:creationId xmlns:a16="http://schemas.microsoft.com/office/drawing/2014/main" id="{E83003A9-3750-418D-9D91-282E8116D1A7}"/>
              </a:ext>
            </a:extLst>
          </xdr:cNvPr>
          <xdr:cNvCxnSpPr/>
        </xdr:nvCxnSpPr>
        <xdr:spPr>
          <a:xfrm flipV="1">
            <a:off x="7859713" y="3195638"/>
            <a:ext cx="1299368" cy="389810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ector reto 46">
            <a:extLst>
              <a:ext uri="{FF2B5EF4-FFF2-40B4-BE49-F238E27FC236}">
                <a16:creationId xmlns:a16="http://schemas.microsoft.com/office/drawing/2014/main" id="{9358D3A0-1236-4529-B0A4-F591D5C0AFE0}"/>
              </a:ext>
            </a:extLst>
          </xdr:cNvPr>
          <xdr:cNvCxnSpPr/>
        </xdr:nvCxnSpPr>
        <xdr:spPr>
          <a:xfrm flipV="1">
            <a:off x="7859713" y="2805827"/>
            <a:ext cx="0" cy="779621"/>
          </a:xfrm>
          <a:prstGeom prst="line">
            <a:avLst/>
          </a:prstGeom>
          <a:ln w="22225">
            <a:solidFill>
              <a:srgbClr val="00FF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D2213025-29DB-4C12-81B8-54CF0B3579B7}"/>
              </a:ext>
            </a:extLst>
          </xdr:cNvPr>
          <xdr:cNvSpPr/>
        </xdr:nvSpPr>
        <xdr:spPr>
          <a:xfrm>
            <a:off x="5133975" y="3585448"/>
            <a:ext cx="254001" cy="285751"/>
          </a:xfrm>
          <a:custGeom>
            <a:avLst/>
            <a:gdLst/>
            <a:ahLst/>
            <a:cxnLst/>
            <a:rect l="0" t="0" r="0" b="0"/>
            <a:pathLst>
              <a:path w="254001" h="285751">
                <a:moveTo>
                  <a:pt x="127000" y="0"/>
                </a:moveTo>
                <a:lnTo>
                  <a:pt x="127000" y="63500"/>
                </a:lnTo>
                <a:lnTo>
                  <a:pt x="254000" y="95250"/>
                </a:lnTo>
                <a:lnTo>
                  <a:pt x="0" y="127000"/>
                </a:lnTo>
                <a:lnTo>
                  <a:pt x="254000" y="158750"/>
                </a:lnTo>
                <a:lnTo>
                  <a:pt x="0" y="190500"/>
                </a:lnTo>
                <a:lnTo>
                  <a:pt x="127000" y="222250"/>
                </a:lnTo>
                <a:lnTo>
                  <a:pt x="127000" y="285750"/>
                </a:lnTo>
                <a:lnTo>
                  <a:pt x="190500" y="285750"/>
                </a:lnTo>
                <a:lnTo>
                  <a:pt x="63500" y="28575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BDFCA74D-683E-4AE2-B443-479BEF2A68B3}"/>
              </a:ext>
            </a:extLst>
          </xdr:cNvPr>
          <xdr:cNvSpPr/>
        </xdr:nvSpPr>
        <xdr:spPr>
          <a:xfrm>
            <a:off x="5260975" y="3458448"/>
            <a:ext cx="285751" cy="254001"/>
          </a:xfrm>
          <a:custGeom>
            <a:avLst/>
            <a:gdLst/>
            <a:ahLst/>
            <a:cxnLst/>
            <a:rect l="0" t="0" r="0" b="0"/>
            <a:pathLst>
              <a:path w="285751" h="254001">
                <a:moveTo>
                  <a:pt x="0" y="127000"/>
                </a:moveTo>
                <a:lnTo>
                  <a:pt x="63500" y="127000"/>
                </a:lnTo>
                <a:lnTo>
                  <a:pt x="95250" y="0"/>
                </a:lnTo>
                <a:lnTo>
                  <a:pt x="127000" y="254000"/>
                </a:lnTo>
                <a:lnTo>
                  <a:pt x="158750" y="0"/>
                </a:lnTo>
                <a:lnTo>
                  <a:pt x="190500" y="254000"/>
                </a:lnTo>
                <a:lnTo>
                  <a:pt x="222250" y="127000"/>
                </a:lnTo>
                <a:lnTo>
                  <a:pt x="285750" y="127000"/>
                </a:lnTo>
                <a:lnTo>
                  <a:pt x="285750" y="63500"/>
                </a:lnTo>
                <a:lnTo>
                  <a:pt x="285750" y="19050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4FF85A13-D821-4BF1-9BAD-26BBB13A7122}"/>
              </a:ext>
            </a:extLst>
          </xdr:cNvPr>
          <xdr:cNvSpPr/>
        </xdr:nvSpPr>
        <xdr:spPr>
          <a:xfrm>
            <a:off x="10458450" y="3458448"/>
            <a:ext cx="285751" cy="254001"/>
          </a:xfrm>
          <a:custGeom>
            <a:avLst/>
            <a:gdLst/>
            <a:ahLst/>
            <a:cxnLst/>
            <a:rect l="0" t="0" r="0" b="0"/>
            <a:pathLst>
              <a:path w="285751" h="254001">
                <a:moveTo>
                  <a:pt x="0" y="127000"/>
                </a:moveTo>
                <a:lnTo>
                  <a:pt x="63500" y="127000"/>
                </a:lnTo>
                <a:lnTo>
                  <a:pt x="95250" y="0"/>
                </a:lnTo>
                <a:lnTo>
                  <a:pt x="127000" y="254000"/>
                </a:lnTo>
                <a:lnTo>
                  <a:pt x="158750" y="0"/>
                </a:lnTo>
                <a:lnTo>
                  <a:pt x="190500" y="254000"/>
                </a:lnTo>
                <a:lnTo>
                  <a:pt x="222250" y="127000"/>
                </a:lnTo>
                <a:lnTo>
                  <a:pt x="285750" y="127000"/>
                </a:lnTo>
                <a:lnTo>
                  <a:pt x="285750" y="63500"/>
                </a:lnTo>
                <a:lnTo>
                  <a:pt x="285750" y="190500"/>
                </a:lnTo>
              </a:path>
            </a:pathLst>
          </a:custGeom>
          <a:ln w="22225">
            <a:solidFill>
              <a:srgbClr val="B4B400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:a16="http://schemas.microsoft.com/office/drawing/2014/main" id="{6A2B6E4C-AFA8-4054-A643-CDC037718374}"/>
              </a:ext>
            </a:extLst>
          </xdr:cNvPr>
          <xdr:cNvSpPr/>
        </xdr:nvSpPr>
        <xdr:spPr>
          <a:xfrm>
            <a:off x="7781751" y="3559461"/>
            <a:ext cx="51975" cy="51974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Elipse 51">
            <a:extLst>
              <a:ext uri="{FF2B5EF4-FFF2-40B4-BE49-F238E27FC236}">
                <a16:creationId xmlns:a16="http://schemas.microsoft.com/office/drawing/2014/main" id="{B55D5426-FA55-4C2A-916F-1340FBC3E36A}"/>
              </a:ext>
            </a:extLst>
          </xdr:cNvPr>
          <xdr:cNvSpPr/>
        </xdr:nvSpPr>
        <xdr:spPr>
          <a:xfrm>
            <a:off x="6484574" y="3184585"/>
            <a:ext cx="51974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Elipse 52">
            <a:extLst>
              <a:ext uri="{FF2B5EF4-FFF2-40B4-BE49-F238E27FC236}">
                <a16:creationId xmlns:a16="http://schemas.microsoft.com/office/drawing/2014/main" id="{E59D1BF0-32E5-43D3-AC2B-2BB9653D4359}"/>
              </a:ext>
            </a:extLst>
          </xdr:cNvPr>
          <xdr:cNvSpPr/>
        </xdr:nvSpPr>
        <xdr:spPr>
          <a:xfrm>
            <a:off x="9182877" y="3184585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Elipse 53">
            <a:extLst>
              <a:ext uri="{FF2B5EF4-FFF2-40B4-BE49-F238E27FC236}">
                <a16:creationId xmlns:a16="http://schemas.microsoft.com/office/drawing/2014/main" id="{40DF0576-BAFC-4E0C-A4BA-20946B8D577B}"/>
              </a:ext>
            </a:extLst>
          </xdr:cNvPr>
          <xdr:cNvSpPr/>
        </xdr:nvSpPr>
        <xdr:spPr>
          <a:xfrm>
            <a:off x="7783943" y="2794774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Elipse 54">
            <a:extLst>
              <a:ext uri="{FF2B5EF4-FFF2-40B4-BE49-F238E27FC236}">
                <a16:creationId xmlns:a16="http://schemas.microsoft.com/office/drawing/2014/main" id="{BF7439E2-A588-4CB6-BE64-7644E7977527}"/>
              </a:ext>
            </a:extLst>
          </xdr:cNvPr>
          <xdr:cNvSpPr/>
        </xdr:nvSpPr>
        <xdr:spPr>
          <a:xfrm>
            <a:off x="7783943" y="3544526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Elipse 55">
            <a:extLst>
              <a:ext uri="{FF2B5EF4-FFF2-40B4-BE49-F238E27FC236}">
                <a16:creationId xmlns:a16="http://schemas.microsoft.com/office/drawing/2014/main" id="{EC94FA84-ABC2-4123-B445-991F8BDC9EDF}"/>
              </a:ext>
            </a:extLst>
          </xdr:cNvPr>
          <xdr:cNvSpPr/>
        </xdr:nvSpPr>
        <xdr:spPr>
          <a:xfrm>
            <a:off x="6584139" y="3184585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Elipse 56">
            <a:extLst>
              <a:ext uri="{FF2B5EF4-FFF2-40B4-BE49-F238E27FC236}">
                <a16:creationId xmlns:a16="http://schemas.microsoft.com/office/drawing/2014/main" id="{82E3D41C-5354-4376-9B16-8E42B1850CFE}"/>
              </a:ext>
            </a:extLst>
          </xdr:cNvPr>
          <xdr:cNvSpPr/>
        </xdr:nvSpPr>
        <xdr:spPr>
          <a:xfrm>
            <a:off x="7883508" y="3544526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Elipse 57">
            <a:extLst>
              <a:ext uri="{FF2B5EF4-FFF2-40B4-BE49-F238E27FC236}">
                <a16:creationId xmlns:a16="http://schemas.microsoft.com/office/drawing/2014/main" id="{A9D858B5-A613-4CB0-B084-118C9F7A1E51}"/>
              </a:ext>
            </a:extLst>
          </xdr:cNvPr>
          <xdr:cNvSpPr/>
        </xdr:nvSpPr>
        <xdr:spPr>
          <a:xfrm>
            <a:off x="9083311" y="3184585"/>
            <a:ext cx="51976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Elipse 58">
            <a:extLst>
              <a:ext uri="{FF2B5EF4-FFF2-40B4-BE49-F238E27FC236}">
                <a16:creationId xmlns:a16="http://schemas.microsoft.com/office/drawing/2014/main" id="{3D31F830-361A-4665-AEBA-56F57515A05F}"/>
              </a:ext>
            </a:extLst>
          </xdr:cNvPr>
          <xdr:cNvSpPr/>
        </xdr:nvSpPr>
        <xdr:spPr>
          <a:xfrm>
            <a:off x="7833725" y="3507486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Elipse 59">
            <a:extLst>
              <a:ext uri="{FF2B5EF4-FFF2-40B4-BE49-F238E27FC236}">
                <a16:creationId xmlns:a16="http://schemas.microsoft.com/office/drawing/2014/main" id="{24F5BE35-6CBF-40B3-9D66-EED5E373BF1A}"/>
              </a:ext>
            </a:extLst>
          </xdr:cNvPr>
          <xdr:cNvSpPr/>
        </xdr:nvSpPr>
        <xdr:spPr>
          <a:xfrm>
            <a:off x="7833725" y="2831814"/>
            <a:ext cx="51975" cy="51975"/>
          </a:xfrm>
          <a:prstGeom prst="ellipse">
            <a:avLst/>
          </a:prstGeom>
          <a:solidFill>
            <a:srgbClr val="FFFFFF"/>
          </a:solidFill>
          <a:ln w="6350">
            <a:solidFill>
              <a:srgbClr val="00B4B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</xdr:col>
      <xdr:colOff>217712</xdr:colOff>
      <xdr:row>1</xdr:row>
      <xdr:rowOff>0</xdr:rowOff>
    </xdr:from>
    <xdr:to>
      <xdr:col>9</xdr:col>
      <xdr:colOff>142873</xdr:colOff>
      <xdr:row>5</xdr:row>
      <xdr:rowOff>121825</xdr:rowOff>
    </xdr:to>
    <xdr:sp macro="[0]!Plan11.subIrParaPlan11" textlink="">
      <xdr:nvSpPr>
        <xdr:cNvPr id="61" name="Elipse 60">
          <a:extLst>
            <a:ext uri="{FF2B5EF4-FFF2-40B4-BE49-F238E27FC236}">
              <a16:creationId xmlns:a16="http://schemas.microsoft.com/office/drawing/2014/main" id="{4C95B971-AA90-48BC-B754-A16D6F0C5E47}"/>
            </a:ext>
          </a:extLst>
        </xdr:cNvPr>
        <xdr:cNvSpPr/>
      </xdr:nvSpPr>
      <xdr:spPr>
        <a:xfrm>
          <a:off x="6218462" y="204107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  <xdr:twoCellAnchor>
    <xdr:from>
      <xdr:col>8</xdr:col>
      <xdr:colOff>81643</xdr:colOff>
      <xdr:row>8</xdr:row>
      <xdr:rowOff>0</xdr:rowOff>
    </xdr:from>
    <xdr:to>
      <xdr:col>9</xdr:col>
      <xdr:colOff>274544</xdr:colOff>
      <xdr:row>10</xdr:row>
      <xdr:rowOff>150718</xdr:rowOff>
    </xdr:to>
    <xdr:sp macro="[0]!Inicializar" textlink="">
      <xdr:nvSpPr>
        <xdr:cNvPr id="62" name="Fluxograma: Processo Alternativo 61">
          <a:extLst>
            <a:ext uri="{FF2B5EF4-FFF2-40B4-BE49-F238E27FC236}">
              <a16:creationId xmlns:a16="http://schemas.microsoft.com/office/drawing/2014/main" id="{92859B25-C29E-47E5-8A68-409D7EB7A95D}"/>
            </a:ext>
          </a:extLst>
        </xdr:cNvPr>
        <xdr:cNvSpPr/>
      </xdr:nvSpPr>
      <xdr:spPr>
        <a:xfrm>
          <a:off x="6082393" y="1455964"/>
          <a:ext cx="1186222" cy="504504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  <xdr:twoCellAnchor>
    <xdr:from>
      <xdr:col>8</xdr:col>
      <xdr:colOff>97971</xdr:colOff>
      <xdr:row>14</xdr:row>
      <xdr:rowOff>32338</xdr:rowOff>
    </xdr:from>
    <xdr:to>
      <xdr:col>9</xdr:col>
      <xdr:colOff>290872</xdr:colOff>
      <xdr:row>17</xdr:row>
      <xdr:rowOff>1360</xdr:rowOff>
    </xdr:to>
    <xdr:sp macro="[0]!DesenharXY" textlink="">
      <xdr:nvSpPr>
        <xdr:cNvPr id="63" name="Fluxograma: Processo Alternativo 62">
          <a:extLst>
            <a:ext uri="{FF2B5EF4-FFF2-40B4-BE49-F238E27FC236}">
              <a16:creationId xmlns:a16="http://schemas.microsoft.com/office/drawing/2014/main" id="{CBC08E03-D75D-4634-98FA-B2DE2613C479}"/>
            </a:ext>
          </a:extLst>
        </xdr:cNvPr>
        <xdr:cNvSpPr/>
      </xdr:nvSpPr>
      <xdr:spPr>
        <a:xfrm>
          <a:off x="6098721" y="2549659"/>
          <a:ext cx="1186222" cy="499701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DESENHAR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156884</xdr:colOff>
      <xdr:row>0</xdr:row>
      <xdr:rowOff>179296</xdr:rowOff>
    </xdr:from>
    <xdr:to>
      <xdr:col>7</xdr:col>
      <xdr:colOff>403013</xdr:colOff>
      <xdr:row>3</xdr:row>
      <xdr:rowOff>33781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AB152868-294D-45EC-B694-8B372BD1B6CA}"/>
            </a:ext>
          </a:extLst>
        </xdr:cNvPr>
        <xdr:cNvSpPr/>
      </xdr:nvSpPr>
      <xdr:spPr>
        <a:xfrm>
          <a:off x="6219266" y="179296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212914</xdr:colOff>
      <xdr:row>0</xdr:row>
      <xdr:rowOff>179296</xdr:rowOff>
    </xdr:from>
    <xdr:to>
      <xdr:col>10</xdr:col>
      <xdr:colOff>459043</xdr:colOff>
      <xdr:row>4</xdr:row>
      <xdr:rowOff>22575</xdr:rowOff>
    </xdr:to>
    <xdr:sp macro="[0]!Plan11.subIrParaPlan11" textlink="">
      <xdr:nvSpPr>
        <xdr:cNvPr id="3" name="Elipse 2">
          <a:extLst>
            <a:ext uri="{FF2B5EF4-FFF2-40B4-BE49-F238E27FC236}">
              <a16:creationId xmlns:a16="http://schemas.microsoft.com/office/drawing/2014/main" id="{2C81B984-6E3F-4209-89DC-0227D2FC0E14}"/>
            </a:ext>
          </a:extLst>
        </xdr:cNvPr>
        <xdr:cNvSpPr/>
      </xdr:nvSpPr>
      <xdr:spPr>
        <a:xfrm>
          <a:off x="5535708" y="179296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7</xdr:row>
      <xdr:rowOff>1</xdr:rowOff>
    </xdr:from>
    <xdr:to>
      <xdr:col>14</xdr:col>
      <xdr:colOff>314426</xdr:colOff>
      <xdr:row>17</xdr:row>
      <xdr:rowOff>114461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50D9118-BF48-4D85-AFBA-284C1670B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4519"/>
        <a:stretch/>
      </xdr:blipFill>
      <xdr:spPr>
        <a:xfrm>
          <a:off x="4818529" y="1804148"/>
          <a:ext cx="3676190" cy="1905000"/>
        </a:xfrm>
        <a:prstGeom prst="rect">
          <a:avLst/>
        </a:prstGeom>
      </xdr:spPr>
    </xdr:pic>
    <xdr:clientData/>
  </xdr:twoCellAnchor>
  <xdr:twoCellAnchor>
    <xdr:from>
      <xdr:col>7</xdr:col>
      <xdr:colOff>217713</xdr:colOff>
      <xdr:row>0</xdr:row>
      <xdr:rowOff>176892</xdr:rowOff>
    </xdr:from>
    <xdr:to>
      <xdr:col>8</xdr:col>
      <xdr:colOff>469445</xdr:colOff>
      <xdr:row>4</xdr:row>
      <xdr:rowOff>108218</xdr:rowOff>
    </xdr:to>
    <xdr:sp macro="[0]!Plan11.subIrParaPlan11" textlink="">
      <xdr:nvSpPr>
        <xdr:cNvPr id="4" name="Elipse 3">
          <a:extLst>
            <a:ext uri="{FF2B5EF4-FFF2-40B4-BE49-F238E27FC236}">
              <a16:creationId xmlns:a16="http://schemas.microsoft.com/office/drawing/2014/main" id="{53906C36-F1AF-4F61-ABE4-1CF8F2D6A8F4}"/>
            </a:ext>
          </a:extLst>
        </xdr:cNvPr>
        <xdr:cNvSpPr/>
      </xdr:nvSpPr>
      <xdr:spPr>
        <a:xfrm>
          <a:off x="6041570" y="176892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10</xdr:row>
      <xdr:rowOff>0</xdr:rowOff>
    </xdr:from>
    <xdr:to>
      <xdr:col>20</xdr:col>
      <xdr:colOff>256714</xdr:colOff>
      <xdr:row>30</xdr:row>
      <xdr:rowOff>14117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ADA19CB-74BB-4A3B-B988-A663E88A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2941" y="2173941"/>
          <a:ext cx="5108861" cy="3600000"/>
        </a:xfrm>
        <a:prstGeom prst="rect">
          <a:avLst/>
        </a:prstGeom>
      </xdr:spPr>
    </xdr:pic>
    <xdr:clientData/>
  </xdr:twoCellAnchor>
  <xdr:twoCellAnchor>
    <xdr:from>
      <xdr:col>11</xdr:col>
      <xdr:colOff>285750</xdr:colOff>
      <xdr:row>0</xdr:row>
      <xdr:rowOff>258535</xdr:rowOff>
    </xdr:from>
    <xdr:to>
      <xdr:col>12</xdr:col>
      <xdr:colOff>537482</xdr:colOff>
      <xdr:row>3</xdr:row>
      <xdr:rowOff>176253</xdr:rowOff>
    </xdr:to>
    <xdr:sp macro="[0]!Plan11.subIrParaPlan11" textlink="">
      <xdr:nvSpPr>
        <xdr:cNvPr id="4" name="Elipse 3">
          <a:extLst>
            <a:ext uri="{FF2B5EF4-FFF2-40B4-BE49-F238E27FC236}">
              <a16:creationId xmlns:a16="http://schemas.microsoft.com/office/drawing/2014/main" id="{9BEE6C15-FEFE-4434-9F1C-9CDC5E7BC48B}"/>
            </a:ext>
          </a:extLst>
        </xdr:cNvPr>
        <xdr:cNvSpPr/>
      </xdr:nvSpPr>
      <xdr:spPr>
        <a:xfrm>
          <a:off x="8341179" y="258535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367393</xdr:colOff>
      <xdr:row>4</xdr:row>
      <xdr:rowOff>140157</xdr:rowOff>
    </xdr:from>
    <xdr:to>
      <xdr:col>15</xdr:col>
      <xdr:colOff>69397</xdr:colOff>
      <xdr:row>7</xdr:row>
      <xdr:rowOff>121106</xdr:rowOff>
    </xdr:to>
    <xdr:sp macro="[0]!Inicializar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58130D32-AC65-46C8-A5A8-7BA183A139AF}"/>
            </a:ext>
          </a:extLst>
        </xdr:cNvPr>
        <xdr:cNvSpPr/>
      </xdr:nvSpPr>
      <xdr:spPr>
        <a:xfrm>
          <a:off x="7715250" y="1228728"/>
          <a:ext cx="1157968" cy="51162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  <xdr:twoCellAnchor editAs="oneCell">
    <xdr:from>
      <xdr:col>17</xdr:col>
      <xdr:colOff>0</xdr:colOff>
      <xdr:row>11</xdr:row>
      <xdr:rowOff>27214</xdr:rowOff>
    </xdr:from>
    <xdr:to>
      <xdr:col>22</xdr:col>
      <xdr:colOff>75099</xdr:colOff>
      <xdr:row>21</xdr:row>
      <xdr:rowOff>139272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BC741B25-F582-46CF-A9C6-0EE5A3A594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4519"/>
        <a:stretch/>
      </xdr:blipFill>
      <xdr:spPr>
        <a:xfrm>
          <a:off x="11008179" y="2354035"/>
          <a:ext cx="3667385" cy="1880987"/>
        </a:xfrm>
        <a:prstGeom prst="rect">
          <a:avLst/>
        </a:prstGeom>
      </xdr:spPr>
    </xdr:pic>
    <xdr:clientData/>
  </xdr:twoCellAnchor>
  <xdr:twoCellAnchor>
    <xdr:from>
      <xdr:col>14</xdr:col>
      <xdr:colOff>81643</xdr:colOff>
      <xdr:row>0</xdr:row>
      <xdr:rowOff>190500</xdr:rowOff>
    </xdr:from>
    <xdr:to>
      <xdr:col>14</xdr:col>
      <xdr:colOff>1000125</xdr:colOff>
      <xdr:row>3</xdr:row>
      <xdr:rowOff>108218</xdr:rowOff>
    </xdr:to>
    <xdr:sp macro="[0]!Plan11.subIrParaPlan11" textlink="">
      <xdr:nvSpPr>
        <xdr:cNvPr id="5" name="Elipse 4">
          <a:extLst>
            <a:ext uri="{FF2B5EF4-FFF2-40B4-BE49-F238E27FC236}">
              <a16:creationId xmlns:a16="http://schemas.microsoft.com/office/drawing/2014/main" id="{CF3C3764-68D5-4D10-953F-8893D8B46497}"/>
            </a:ext>
          </a:extLst>
        </xdr:cNvPr>
        <xdr:cNvSpPr/>
      </xdr:nvSpPr>
      <xdr:spPr>
        <a:xfrm>
          <a:off x="7824107" y="190500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517072</xdr:colOff>
      <xdr:row>5</xdr:row>
      <xdr:rowOff>17693</xdr:rowOff>
    </xdr:from>
    <xdr:to>
      <xdr:col>15</xdr:col>
      <xdr:colOff>314326</xdr:colOff>
      <xdr:row>7</xdr:row>
      <xdr:rowOff>175535</xdr:rowOff>
    </xdr:to>
    <xdr:sp macro="[0]!Inicializar" textlink="">
      <xdr:nvSpPr>
        <xdr:cNvPr id="5" name="Fluxograma: Processo Alternativo 4">
          <a:extLst>
            <a:ext uri="{FF2B5EF4-FFF2-40B4-BE49-F238E27FC236}">
              <a16:creationId xmlns:a16="http://schemas.microsoft.com/office/drawing/2014/main" id="{0376E96B-D79D-41C8-98CE-A056124F5B6C}"/>
            </a:ext>
          </a:extLst>
        </xdr:cNvPr>
        <xdr:cNvSpPr/>
      </xdr:nvSpPr>
      <xdr:spPr>
        <a:xfrm>
          <a:off x="9184822" y="1283157"/>
          <a:ext cx="1157968" cy="51162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  <xdr:twoCellAnchor editAs="oneCell">
    <xdr:from>
      <xdr:col>16</xdr:col>
      <xdr:colOff>27214</xdr:colOff>
      <xdr:row>1</xdr:row>
      <xdr:rowOff>163286</xdr:rowOff>
    </xdr:from>
    <xdr:to>
      <xdr:col>24</xdr:col>
      <xdr:colOff>191666</xdr:colOff>
      <xdr:row>24</xdr:row>
      <xdr:rowOff>18918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8C20FF8E-18F7-478F-8023-A0BA3267E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1428" y="721179"/>
          <a:ext cx="5607309" cy="3924168"/>
        </a:xfrm>
        <a:prstGeom prst="rect">
          <a:avLst/>
        </a:prstGeom>
      </xdr:spPr>
    </xdr:pic>
    <xdr:clientData/>
  </xdr:twoCellAnchor>
  <xdr:twoCellAnchor>
    <xdr:from>
      <xdr:col>13</xdr:col>
      <xdr:colOff>653143</xdr:colOff>
      <xdr:row>0</xdr:row>
      <xdr:rowOff>299355</xdr:rowOff>
    </xdr:from>
    <xdr:to>
      <xdr:col>15</xdr:col>
      <xdr:colOff>210911</xdr:colOff>
      <xdr:row>4</xdr:row>
      <xdr:rowOff>40181</xdr:rowOff>
    </xdr:to>
    <xdr:sp macro="[0]!Plan11.subIrParaPlan11" textlink="">
      <xdr:nvSpPr>
        <xdr:cNvPr id="6" name="Elipse 5">
          <a:extLst>
            <a:ext uri="{FF2B5EF4-FFF2-40B4-BE49-F238E27FC236}">
              <a16:creationId xmlns:a16="http://schemas.microsoft.com/office/drawing/2014/main" id="{A2D36D68-B0B1-412F-91A1-961394CE74B0}"/>
            </a:ext>
          </a:extLst>
        </xdr:cNvPr>
        <xdr:cNvSpPr/>
      </xdr:nvSpPr>
      <xdr:spPr>
        <a:xfrm>
          <a:off x="8926286" y="299355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326573</xdr:colOff>
      <xdr:row>4</xdr:row>
      <xdr:rowOff>95250</xdr:rowOff>
    </xdr:from>
    <xdr:to>
      <xdr:col>15</xdr:col>
      <xdr:colOff>395969</xdr:colOff>
      <xdr:row>7</xdr:row>
      <xdr:rowOff>66674</xdr:rowOff>
    </xdr:to>
    <xdr:sp macro="[0]!Inicializar" textlink="">
      <xdr:nvSpPr>
        <xdr:cNvPr id="3" name="Fluxograma: Processo Alternativo 2">
          <a:extLst>
            <a:ext uri="{FF2B5EF4-FFF2-40B4-BE49-F238E27FC236}">
              <a16:creationId xmlns:a16="http://schemas.microsoft.com/office/drawing/2014/main" id="{E0F95DBE-FF89-4D4D-B4DB-FAE76A899D21}"/>
            </a:ext>
          </a:extLst>
        </xdr:cNvPr>
        <xdr:cNvSpPr/>
      </xdr:nvSpPr>
      <xdr:spPr>
        <a:xfrm>
          <a:off x="8926287" y="1061357"/>
          <a:ext cx="1157968" cy="502103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/>
            <a:t>PROCESSAR</a:t>
          </a:r>
        </a:p>
      </xdr:txBody>
    </xdr:sp>
    <xdr:clientData/>
  </xdr:twoCellAnchor>
  <xdr:twoCellAnchor editAs="oneCell">
    <xdr:from>
      <xdr:col>16</xdr:col>
      <xdr:colOff>0</xdr:colOff>
      <xdr:row>0</xdr:row>
      <xdr:rowOff>425824</xdr:rowOff>
    </xdr:from>
    <xdr:to>
      <xdr:col>24</xdr:col>
      <xdr:colOff>21177</xdr:colOff>
      <xdr:row>21</xdr:row>
      <xdr:rowOff>157800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2EAFD9D-765B-4170-8FD6-873E80F54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5036" y="425824"/>
          <a:ext cx="5355177" cy="3351476"/>
        </a:xfrm>
        <a:prstGeom prst="rect">
          <a:avLst/>
        </a:prstGeom>
      </xdr:spPr>
    </xdr:pic>
    <xdr:clientData/>
  </xdr:twoCellAnchor>
  <xdr:twoCellAnchor>
    <xdr:from>
      <xdr:col>14</xdr:col>
      <xdr:colOff>54428</xdr:colOff>
      <xdr:row>0</xdr:row>
      <xdr:rowOff>108858</xdr:rowOff>
    </xdr:from>
    <xdr:to>
      <xdr:col>15</xdr:col>
      <xdr:colOff>306160</xdr:colOff>
      <xdr:row>3</xdr:row>
      <xdr:rowOff>149041</xdr:rowOff>
    </xdr:to>
    <xdr:sp macro="[0]!Plan11.subIrParaPlan11" textlink="">
      <xdr:nvSpPr>
        <xdr:cNvPr id="5" name="Elipse 4">
          <a:extLst>
            <a:ext uri="{FF2B5EF4-FFF2-40B4-BE49-F238E27FC236}">
              <a16:creationId xmlns:a16="http://schemas.microsoft.com/office/drawing/2014/main" id="{C2548B98-BA59-4305-B670-20528C91D866}"/>
            </a:ext>
          </a:extLst>
        </xdr:cNvPr>
        <xdr:cNvSpPr/>
      </xdr:nvSpPr>
      <xdr:spPr>
        <a:xfrm>
          <a:off x="9075964" y="108858"/>
          <a:ext cx="918482" cy="829397"/>
        </a:xfrm>
        <a:prstGeom prst="ellipse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MAIN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\P&#243;s-Gradua&#231;&#227;o\TCC%202019-2020-2021\Material\Refer&#234;ncias\2_TCC's\VINICIUS%20PEREZ%20KAWAZOE-PlanilhaDimension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morial"/>
      <sheetName val="Dados"/>
      <sheetName val="Perfis"/>
      <sheetName val="Dim."/>
    </sheetNames>
    <sheetDataSet>
      <sheetData sheetId="0"/>
      <sheetData sheetId="1">
        <row r="2">
          <cell r="A2" t="str">
            <v>AR 290</v>
          </cell>
          <cell r="E2" t="str">
            <v>Com montante</v>
          </cell>
          <cell r="F2" t="str">
            <v>Cantoneira</v>
          </cell>
        </row>
        <row r="3">
          <cell r="A3" t="str">
            <v>AR 345</v>
          </cell>
          <cell r="E3" t="str">
            <v>Mont. Alternado</v>
          </cell>
          <cell r="F3" t="str">
            <v>Dupla cantoneira</v>
          </cell>
        </row>
        <row r="4">
          <cell r="A4" t="str">
            <v>AR 345 COR</v>
          </cell>
          <cell r="E4" t="str">
            <v>Sem montante</v>
          </cell>
          <cell r="F4" t="str">
            <v>Perfil U</v>
          </cell>
        </row>
        <row r="5">
          <cell r="A5" t="str">
            <v>AR 350</v>
          </cell>
          <cell r="F5" t="str">
            <v>Tubo circular</v>
          </cell>
        </row>
        <row r="6">
          <cell r="A6" t="str">
            <v>AR 350 COR</v>
          </cell>
        </row>
        <row r="7">
          <cell r="A7" t="str">
            <v>AR 415</v>
          </cell>
        </row>
        <row r="8">
          <cell r="A8" t="str">
            <v>ASTM A242</v>
          </cell>
        </row>
        <row r="9">
          <cell r="A9" t="str">
            <v>ASTM A307</v>
          </cell>
        </row>
        <row r="10">
          <cell r="A10" t="str">
            <v>ASTM A325 - A</v>
          </cell>
        </row>
        <row r="11">
          <cell r="A11" t="str">
            <v>ASTM A325 - B</v>
          </cell>
        </row>
        <row r="12">
          <cell r="A12" t="str">
            <v>ASTM A325M - A</v>
          </cell>
        </row>
        <row r="13">
          <cell r="A13" t="str">
            <v>ASTM A325M - B</v>
          </cell>
        </row>
        <row r="14">
          <cell r="A14" t="str">
            <v>ASTM A36</v>
          </cell>
        </row>
        <row r="15">
          <cell r="A15" t="str">
            <v>ASTM A490</v>
          </cell>
        </row>
        <row r="16">
          <cell r="A16" t="str">
            <v>ASTM A490M</v>
          </cell>
        </row>
        <row r="17">
          <cell r="A17" t="str">
            <v>ASTM A500</v>
          </cell>
        </row>
        <row r="18">
          <cell r="A18" t="str">
            <v>ASTM A570 GR 30</v>
          </cell>
        </row>
        <row r="19">
          <cell r="A19" t="str">
            <v>ASTM A570 GR 33</v>
          </cell>
        </row>
        <row r="20">
          <cell r="A20" t="str">
            <v>ASTM A570 GR 36</v>
          </cell>
        </row>
        <row r="21">
          <cell r="A21" t="str">
            <v>ASTM A570 GR 40</v>
          </cell>
        </row>
        <row r="22">
          <cell r="A22" t="str">
            <v>ASTM A570 GR 42</v>
          </cell>
        </row>
        <row r="23">
          <cell r="A23" t="str">
            <v>ASTM A570 GR 45</v>
          </cell>
        </row>
        <row r="24">
          <cell r="A24" t="str">
            <v>ASTM A570 GR 50</v>
          </cell>
        </row>
        <row r="25">
          <cell r="A25" t="str">
            <v>ASTM A570 GR 55</v>
          </cell>
        </row>
        <row r="26">
          <cell r="A26" t="str">
            <v>ASTM A572 GR 42</v>
          </cell>
        </row>
        <row r="27">
          <cell r="A27" t="str">
            <v>ASTM A572 GR 50</v>
          </cell>
        </row>
        <row r="28">
          <cell r="A28" t="str">
            <v>ASTM A572 GR 55</v>
          </cell>
        </row>
        <row r="29">
          <cell r="A29" t="str">
            <v>ASTM A572 GR 60</v>
          </cell>
        </row>
        <row r="30">
          <cell r="A30" t="str">
            <v>ASTM A572 GR 65</v>
          </cell>
        </row>
        <row r="31">
          <cell r="A31" t="str">
            <v>ASTM A588</v>
          </cell>
        </row>
        <row r="32">
          <cell r="A32" t="str">
            <v>ASTM A913 GR 50</v>
          </cell>
        </row>
        <row r="33">
          <cell r="A33" t="str">
            <v>ASTM A913 GR 60</v>
          </cell>
        </row>
        <row r="34">
          <cell r="A34" t="str">
            <v>ASTM A913 GR 65</v>
          </cell>
        </row>
        <row r="35">
          <cell r="A35" t="str">
            <v>ASTM A992</v>
          </cell>
        </row>
        <row r="36">
          <cell r="A36" t="str">
            <v>COS-AR-COR 400</v>
          </cell>
        </row>
        <row r="37">
          <cell r="A37" t="str">
            <v>COS-AR-COR 400 E</v>
          </cell>
        </row>
        <row r="38">
          <cell r="A38" t="str">
            <v>COS-AR-COR 500</v>
          </cell>
        </row>
        <row r="39">
          <cell r="A39" t="str">
            <v>COS-CIVIL 300</v>
          </cell>
        </row>
        <row r="40">
          <cell r="A40" t="str">
            <v>COS-CIVIL 350</v>
          </cell>
        </row>
        <row r="41">
          <cell r="A41" t="str">
            <v>CSN-COR 420</v>
          </cell>
        </row>
        <row r="42">
          <cell r="A42" t="str">
            <v>ISO 4016 Classe 10.9</v>
          </cell>
        </row>
        <row r="43">
          <cell r="A43" t="str">
            <v>ISO 4016 Classe 8.8</v>
          </cell>
        </row>
        <row r="44">
          <cell r="A44" t="str">
            <v>ISO 898-1 Classe 4.6</v>
          </cell>
        </row>
        <row r="45">
          <cell r="A45" t="str">
            <v>MR 250</v>
          </cell>
        </row>
        <row r="46">
          <cell r="A46" t="str">
            <v>SAE 1010</v>
          </cell>
        </row>
        <row r="47">
          <cell r="A47" t="str">
            <v>USI-LN 380</v>
          </cell>
        </row>
        <row r="48">
          <cell r="A48" t="str">
            <v>USI-SAC-300</v>
          </cell>
        </row>
        <row r="49">
          <cell r="A49" t="str">
            <v>USI-SAC-350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2:S43"/>
  <sheetViews>
    <sheetView tabSelected="1" zoomScale="70" zoomScaleNormal="70" workbookViewId="0"/>
  </sheetViews>
  <sheetFormatPr defaultColWidth="9" defaultRowHeight="14.25"/>
  <cols>
    <col min="1" max="10" width="10.625" style="46" customWidth="1"/>
    <col min="11" max="16384" width="9" style="46"/>
  </cols>
  <sheetData>
    <row r="2" spans="1:19" ht="13.5" customHeight="1"/>
    <row r="3" spans="1:19">
      <c r="H3" s="84"/>
      <c r="I3" s="84"/>
      <c r="J3" s="84"/>
    </row>
    <row r="4" spans="1:19" ht="16.5" customHeight="1">
      <c r="A4" s="85"/>
      <c r="B4" s="85"/>
      <c r="C4" s="85"/>
      <c r="D4" s="85"/>
      <c r="E4" s="85"/>
      <c r="F4" s="85"/>
      <c r="G4" s="85"/>
      <c r="H4" s="51"/>
    </row>
    <row r="5" spans="1:19">
      <c r="A5" s="85"/>
      <c r="B5" s="85"/>
      <c r="C5" s="85"/>
      <c r="D5" s="85"/>
      <c r="E5" s="85"/>
      <c r="F5" s="85"/>
      <c r="G5" s="85"/>
      <c r="H5" s="51"/>
    </row>
    <row r="6" spans="1:19">
      <c r="A6" s="85"/>
      <c r="B6" s="85"/>
      <c r="C6" s="85"/>
      <c r="D6" s="85"/>
      <c r="E6" s="85"/>
      <c r="F6" s="85"/>
      <c r="G6" s="85"/>
      <c r="H6" s="51"/>
    </row>
    <row r="7" spans="1:19">
      <c r="A7" s="85"/>
      <c r="B7" s="85"/>
      <c r="C7" s="85"/>
      <c r="D7" s="85"/>
      <c r="E7" s="85"/>
      <c r="F7" s="85"/>
      <c r="G7" s="85"/>
      <c r="H7" s="51"/>
    </row>
    <row r="8" spans="1:19">
      <c r="A8" s="85"/>
      <c r="B8" s="85"/>
      <c r="C8" s="85"/>
      <c r="D8" s="85"/>
      <c r="E8" s="85"/>
      <c r="F8" s="85"/>
      <c r="G8" s="85"/>
      <c r="H8" s="51"/>
    </row>
    <row r="9" spans="1:19">
      <c r="A9" s="85"/>
      <c r="B9" s="85"/>
      <c r="C9" s="85"/>
      <c r="D9" s="85"/>
      <c r="E9" s="85"/>
      <c r="F9" s="85"/>
      <c r="G9" s="85"/>
      <c r="H9" s="51"/>
      <c r="O9" s="47"/>
      <c r="P9" s="47"/>
      <c r="Q9" s="47"/>
      <c r="R9" s="47"/>
      <c r="S9" s="47"/>
    </row>
    <row r="10" spans="1:19">
      <c r="A10" s="85"/>
      <c r="B10" s="85"/>
      <c r="C10" s="85"/>
      <c r="D10" s="85"/>
      <c r="E10" s="85"/>
      <c r="F10" s="85"/>
      <c r="G10" s="85"/>
      <c r="H10" s="51"/>
      <c r="O10" s="47"/>
      <c r="P10" s="47"/>
      <c r="Q10" s="47"/>
      <c r="R10" s="47"/>
    </row>
    <row r="11" spans="1:19">
      <c r="A11" s="85"/>
      <c r="B11" s="85"/>
      <c r="C11" s="85"/>
      <c r="D11" s="85"/>
      <c r="E11" s="85"/>
      <c r="F11" s="85"/>
      <c r="G11" s="85"/>
      <c r="H11" s="51"/>
      <c r="O11" s="47"/>
      <c r="P11" s="47"/>
      <c r="Q11" s="47"/>
      <c r="R11" s="47"/>
    </row>
    <row r="12" spans="1:19">
      <c r="A12" s="85"/>
      <c r="B12" s="85"/>
      <c r="C12" s="85"/>
      <c r="D12" s="85"/>
      <c r="E12" s="85"/>
      <c r="F12" s="85"/>
      <c r="G12" s="85"/>
      <c r="H12" s="51"/>
      <c r="O12" s="47"/>
      <c r="P12" s="47"/>
      <c r="Q12" s="47"/>
      <c r="R12" s="47"/>
    </row>
    <row r="13" spans="1:19">
      <c r="A13" s="85"/>
      <c r="B13" s="85"/>
      <c r="C13" s="85"/>
      <c r="D13" s="85"/>
      <c r="E13" s="85"/>
      <c r="F13" s="85"/>
      <c r="G13" s="85"/>
      <c r="H13" s="51"/>
      <c r="O13" s="47"/>
      <c r="P13" s="47"/>
      <c r="Q13" s="47"/>
      <c r="R13" s="47"/>
    </row>
    <row r="14" spans="1:19">
      <c r="A14" s="85"/>
      <c r="B14" s="85"/>
      <c r="C14" s="85"/>
      <c r="D14" s="85"/>
      <c r="E14" s="85"/>
      <c r="F14" s="85"/>
      <c r="G14" s="85"/>
      <c r="H14" s="51"/>
      <c r="O14" s="47"/>
      <c r="P14" s="47"/>
      <c r="Q14" s="47"/>
      <c r="R14" s="47"/>
    </row>
    <row r="15" spans="1:19">
      <c r="A15" s="85"/>
      <c r="B15" s="85"/>
      <c r="C15" s="85"/>
      <c r="D15" s="85"/>
      <c r="E15" s="85"/>
      <c r="F15" s="85"/>
      <c r="G15" s="85"/>
      <c r="H15" s="51"/>
      <c r="O15" s="47"/>
      <c r="P15" s="47"/>
      <c r="Q15" s="47"/>
      <c r="R15" s="47"/>
    </row>
    <row r="16" spans="1:19">
      <c r="A16" s="85"/>
      <c r="B16" s="85"/>
      <c r="C16" s="85"/>
      <c r="D16" s="85"/>
      <c r="E16" s="85"/>
      <c r="F16" s="85"/>
      <c r="G16" s="85"/>
      <c r="H16" s="51"/>
    </row>
    <row r="17" spans="1:8">
      <c r="A17" s="85"/>
      <c r="B17" s="85"/>
      <c r="C17" s="85"/>
      <c r="D17" s="85"/>
      <c r="E17" s="85"/>
      <c r="F17" s="85"/>
      <c r="G17" s="85"/>
      <c r="H17" s="51"/>
    </row>
    <row r="18" spans="1:8">
      <c r="A18" s="85"/>
      <c r="B18" s="85"/>
      <c r="C18" s="85"/>
      <c r="D18" s="85"/>
      <c r="E18" s="85"/>
      <c r="F18" s="85"/>
      <c r="G18" s="85"/>
      <c r="H18" s="51"/>
    </row>
    <row r="19" spans="1:8">
      <c r="A19" s="85"/>
      <c r="B19" s="85"/>
      <c r="C19" s="85"/>
      <c r="D19" s="85"/>
      <c r="E19" s="85"/>
      <c r="F19" s="85"/>
      <c r="G19" s="85"/>
    </row>
    <row r="20" spans="1:8">
      <c r="A20" s="85"/>
      <c r="B20" s="85"/>
      <c r="C20" s="85"/>
      <c r="D20" s="85"/>
      <c r="E20" s="85"/>
      <c r="F20" s="85"/>
      <c r="G20" s="85"/>
    </row>
    <row r="21" spans="1:8">
      <c r="A21" s="85"/>
      <c r="B21" s="85"/>
      <c r="C21" s="85"/>
      <c r="D21" s="85"/>
      <c r="E21" s="85"/>
      <c r="F21" s="85"/>
      <c r="G21" s="85"/>
    </row>
    <row r="22" spans="1:8">
      <c r="A22" s="85"/>
      <c r="B22" s="85"/>
      <c r="C22" s="85"/>
      <c r="D22" s="85"/>
      <c r="E22" s="85"/>
      <c r="F22" s="85"/>
      <c r="G22" s="85"/>
    </row>
    <row r="23" spans="1:8">
      <c r="A23" s="85"/>
      <c r="B23" s="85"/>
      <c r="C23" s="85"/>
      <c r="D23" s="85"/>
      <c r="E23" s="85"/>
      <c r="F23" s="85"/>
      <c r="G23" s="85"/>
    </row>
    <row r="24" spans="1:8">
      <c r="A24" s="85"/>
      <c r="B24" s="85"/>
      <c r="C24" s="85"/>
      <c r="D24" s="85"/>
      <c r="E24" s="85"/>
      <c r="F24" s="85"/>
      <c r="G24" s="85"/>
    </row>
    <row r="25" spans="1:8">
      <c r="A25" s="85"/>
      <c r="B25" s="85"/>
      <c r="C25" s="85"/>
      <c r="D25" s="85"/>
      <c r="E25" s="85"/>
      <c r="F25" s="85"/>
      <c r="G25" s="85"/>
    </row>
    <row r="26" spans="1:8">
      <c r="A26" s="85"/>
      <c r="B26" s="85"/>
      <c r="C26" s="85"/>
      <c r="D26" s="85"/>
      <c r="E26" s="85"/>
      <c r="F26" s="85"/>
      <c r="G26" s="85"/>
    </row>
    <row r="27" spans="1:8">
      <c r="A27" s="85"/>
      <c r="B27" s="85"/>
      <c r="C27" s="85"/>
      <c r="D27" s="85"/>
      <c r="E27" s="85"/>
      <c r="F27" s="85"/>
      <c r="G27" s="85"/>
    </row>
    <row r="28" spans="1:8">
      <c r="A28" s="85"/>
      <c r="B28" s="85"/>
      <c r="C28" s="85"/>
      <c r="D28" s="85"/>
      <c r="E28" s="85"/>
      <c r="F28" s="85"/>
      <c r="G28" s="85"/>
    </row>
    <row r="29" spans="1:8">
      <c r="A29" s="85"/>
      <c r="B29" s="85"/>
      <c r="C29" s="85"/>
      <c r="D29" s="85"/>
      <c r="E29" s="85"/>
      <c r="F29" s="85"/>
      <c r="G29" s="85"/>
    </row>
    <row r="30" spans="1:8">
      <c r="A30" s="85"/>
      <c r="B30" s="85"/>
      <c r="C30" s="85"/>
      <c r="D30" s="94"/>
      <c r="E30" s="85"/>
      <c r="F30" s="85"/>
      <c r="G30" s="85"/>
    </row>
    <row r="31" spans="1:8">
      <c r="A31" s="85"/>
      <c r="B31" s="85"/>
      <c r="C31" s="85"/>
      <c r="D31" s="85"/>
      <c r="E31" s="85"/>
      <c r="F31" s="85"/>
      <c r="G31" s="85"/>
    </row>
    <row r="32" spans="1:8">
      <c r="A32" s="85"/>
      <c r="B32" s="85"/>
      <c r="C32" s="85"/>
      <c r="D32" s="85"/>
      <c r="E32" s="85"/>
      <c r="F32" s="85"/>
      <c r="G32" s="85"/>
    </row>
    <row r="33" spans="1:7">
      <c r="A33" s="85"/>
      <c r="B33" s="85"/>
      <c r="C33" s="85"/>
      <c r="D33" s="85"/>
      <c r="E33" s="85"/>
      <c r="F33" s="85"/>
      <c r="G33" s="85"/>
    </row>
    <row r="34" spans="1:7">
      <c r="A34" s="85"/>
      <c r="B34" s="85"/>
      <c r="C34" s="85"/>
      <c r="D34" s="85"/>
      <c r="E34" s="85"/>
      <c r="F34" s="85"/>
      <c r="G34" s="85"/>
    </row>
    <row r="35" spans="1:7">
      <c r="A35" s="85"/>
      <c r="B35" s="85"/>
      <c r="C35" s="85"/>
      <c r="D35" s="85"/>
      <c r="E35" s="85"/>
      <c r="F35" s="85"/>
      <c r="G35" s="85"/>
    </row>
    <row r="36" spans="1:7">
      <c r="A36" s="85"/>
      <c r="B36" s="85"/>
      <c r="C36" s="85"/>
      <c r="D36" s="85"/>
      <c r="E36" s="85"/>
      <c r="F36" s="85"/>
      <c r="G36" s="85"/>
    </row>
    <row r="37" spans="1:7">
      <c r="A37" s="85"/>
      <c r="B37" s="85"/>
      <c r="C37" s="85"/>
      <c r="D37" s="85"/>
      <c r="E37" s="85"/>
      <c r="F37" s="85"/>
      <c r="G37" s="85"/>
    </row>
    <row r="38" spans="1:7">
      <c r="A38" s="85"/>
      <c r="B38" s="85"/>
      <c r="C38" s="85"/>
      <c r="D38" s="85"/>
      <c r="E38" s="85"/>
      <c r="F38" s="85"/>
      <c r="G38" s="85"/>
    </row>
    <row r="39" spans="1:7">
      <c r="A39" s="85"/>
      <c r="B39" s="85"/>
      <c r="C39" s="85"/>
      <c r="D39" s="85"/>
      <c r="E39" s="85"/>
      <c r="F39" s="85"/>
      <c r="G39" s="85"/>
    </row>
    <row r="40" spans="1:7">
      <c r="A40" s="85"/>
      <c r="B40" s="85"/>
      <c r="C40" s="85"/>
      <c r="D40" s="85"/>
      <c r="E40" s="85"/>
      <c r="F40" s="85"/>
      <c r="G40" s="85"/>
    </row>
    <row r="41" spans="1:7">
      <c r="A41" s="85"/>
      <c r="B41" s="85"/>
      <c r="C41" s="85"/>
      <c r="D41" s="85"/>
      <c r="E41" s="85"/>
      <c r="F41" s="85"/>
      <c r="G41" s="85"/>
    </row>
    <row r="42" spans="1:7">
      <c r="A42" s="85"/>
      <c r="B42" s="85"/>
      <c r="C42" s="85"/>
      <c r="D42" s="85"/>
      <c r="E42" s="85"/>
      <c r="F42" s="85"/>
      <c r="G42" s="85"/>
    </row>
    <row r="43" spans="1:7">
      <c r="A43" s="86"/>
      <c r="B43" s="86"/>
      <c r="C43" s="86"/>
      <c r="D43" s="86"/>
      <c r="E43" s="86"/>
      <c r="F43" s="86"/>
      <c r="G43" s="8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0"/>
  <dimension ref="B1:I46"/>
  <sheetViews>
    <sheetView zoomScale="70" zoomScaleNormal="70" workbookViewId="0">
      <selection activeCell="J4" sqref="J4"/>
    </sheetView>
  </sheetViews>
  <sheetFormatPr defaultRowHeight="14.25"/>
  <cols>
    <col min="1" max="1" width="2.5" style="24" customWidth="1"/>
    <col min="2" max="9" width="9" style="24" customWidth="1"/>
    <col min="10" max="10" width="3.125" style="24" customWidth="1"/>
    <col min="11" max="11" width="17.875" style="24" customWidth="1"/>
    <col min="12" max="16384" width="9" style="24"/>
  </cols>
  <sheetData>
    <row r="1" spans="2:9" ht="15" thickBot="1"/>
    <row r="2" spans="2:9" ht="14.25" customHeight="1">
      <c r="B2" s="274" t="s">
        <v>339</v>
      </c>
      <c r="C2" s="275"/>
      <c r="D2" s="275"/>
      <c r="E2" s="275"/>
      <c r="F2" s="275"/>
      <c r="G2" s="275"/>
      <c r="H2" s="275"/>
      <c r="I2" s="276"/>
    </row>
    <row r="3" spans="2:9">
      <c r="B3" s="277"/>
      <c r="C3" s="278"/>
      <c r="D3" s="278"/>
      <c r="E3" s="278"/>
      <c r="F3" s="278"/>
      <c r="G3" s="278"/>
      <c r="H3" s="278"/>
      <c r="I3" s="279"/>
    </row>
    <row r="4" spans="2:9">
      <c r="B4" s="277"/>
      <c r="C4" s="278"/>
      <c r="D4" s="278"/>
      <c r="E4" s="278"/>
      <c r="F4" s="278"/>
      <c r="G4" s="278"/>
      <c r="H4" s="278"/>
      <c r="I4" s="279"/>
    </row>
    <row r="5" spans="2:9">
      <c r="B5" s="277"/>
      <c r="C5" s="278"/>
      <c r="D5" s="278"/>
      <c r="E5" s="278"/>
      <c r="F5" s="278"/>
      <c r="G5" s="278"/>
      <c r="H5" s="278"/>
      <c r="I5" s="279"/>
    </row>
    <row r="6" spans="2:9">
      <c r="B6" s="277"/>
      <c r="C6" s="278"/>
      <c r="D6" s="278"/>
      <c r="E6" s="278"/>
      <c r="F6" s="278"/>
      <c r="G6" s="278"/>
      <c r="H6" s="278"/>
      <c r="I6" s="279"/>
    </row>
    <row r="7" spans="2:9">
      <c r="B7" s="277"/>
      <c r="C7" s="278"/>
      <c r="D7" s="278"/>
      <c r="E7" s="278"/>
      <c r="F7" s="278"/>
      <c r="G7" s="278"/>
      <c r="H7" s="278"/>
      <c r="I7" s="279"/>
    </row>
    <row r="8" spans="2:9">
      <c r="B8" s="277"/>
      <c r="C8" s="278"/>
      <c r="D8" s="278"/>
      <c r="E8" s="278"/>
      <c r="F8" s="278"/>
      <c r="G8" s="278"/>
      <c r="H8" s="278"/>
      <c r="I8" s="279"/>
    </row>
    <row r="9" spans="2:9">
      <c r="B9" s="277"/>
      <c r="C9" s="278"/>
      <c r="D9" s="278"/>
      <c r="E9" s="278"/>
      <c r="F9" s="278"/>
      <c r="G9" s="278"/>
      <c r="H9" s="278"/>
      <c r="I9" s="279"/>
    </row>
    <row r="10" spans="2:9">
      <c r="B10" s="277"/>
      <c r="C10" s="278"/>
      <c r="D10" s="278"/>
      <c r="E10" s="278"/>
      <c r="F10" s="278"/>
      <c r="G10" s="278"/>
      <c r="H10" s="278"/>
      <c r="I10" s="279"/>
    </row>
    <row r="11" spans="2:9">
      <c r="B11" s="277"/>
      <c r="C11" s="278"/>
      <c r="D11" s="278"/>
      <c r="E11" s="278"/>
      <c r="F11" s="278"/>
      <c r="G11" s="278"/>
      <c r="H11" s="278"/>
      <c r="I11" s="279"/>
    </row>
    <row r="12" spans="2:9">
      <c r="B12" s="277"/>
      <c r="C12" s="278"/>
      <c r="D12" s="278"/>
      <c r="E12" s="278"/>
      <c r="F12" s="278"/>
      <c r="G12" s="278"/>
      <c r="H12" s="278"/>
      <c r="I12" s="279"/>
    </row>
    <row r="13" spans="2:9">
      <c r="B13" s="277"/>
      <c r="C13" s="278"/>
      <c r="D13" s="278"/>
      <c r="E13" s="278"/>
      <c r="F13" s="278"/>
      <c r="G13" s="278"/>
      <c r="H13" s="278"/>
      <c r="I13" s="279"/>
    </row>
    <row r="14" spans="2:9">
      <c r="B14" s="277"/>
      <c r="C14" s="278"/>
      <c r="D14" s="278"/>
      <c r="E14" s="278"/>
      <c r="F14" s="278"/>
      <c r="G14" s="278"/>
      <c r="H14" s="278"/>
      <c r="I14" s="279"/>
    </row>
    <row r="15" spans="2:9">
      <c r="B15" s="277"/>
      <c r="C15" s="278"/>
      <c r="D15" s="278"/>
      <c r="E15" s="278"/>
      <c r="F15" s="278"/>
      <c r="G15" s="278"/>
      <c r="H15" s="278"/>
      <c r="I15" s="279"/>
    </row>
    <row r="16" spans="2:9">
      <c r="B16" s="277"/>
      <c r="C16" s="278"/>
      <c r="D16" s="278"/>
      <c r="E16" s="278"/>
      <c r="F16" s="278"/>
      <c r="G16" s="278"/>
      <c r="H16" s="278"/>
      <c r="I16" s="279"/>
    </row>
    <row r="17" spans="2:9">
      <c r="B17" s="277"/>
      <c r="C17" s="278"/>
      <c r="D17" s="278"/>
      <c r="E17" s="278"/>
      <c r="F17" s="278"/>
      <c r="G17" s="278"/>
      <c r="H17" s="278"/>
      <c r="I17" s="279"/>
    </row>
    <row r="18" spans="2:9">
      <c r="B18" s="277"/>
      <c r="C18" s="278"/>
      <c r="D18" s="278"/>
      <c r="E18" s="278"/>
      <c r="F18" s="278"/>
      <c r="G18" s="278"/>
      <c r="H18" s="278"/>
      <c r="I18" s="279"/>
    </row>
    <row r="19" spans="2:9">
      <c r="B19" s="277"/>
      <c r="C19" s="278"/>
      <c r="D19" s="278"/>
      <c r="E19" s="278"/>
      <c r="F19" s="278"/>
      <c r="G19" s="278"/>
      <c r="H19" s="278"/>
      <c r="I19" s="279"/>
    </row>
    <row r="20" spans="2:9">
      <c r="B20" s="277"/>
      <c r="C20" s="278"/>
      <c r="D20" s="278"/>
      <c r="E20" s="278"/>
      <c r="F20" s="278"/>
      <c r="G20" s="278"/>
      <c r="H20" s="278"/>
      <c r="I20" s="279"/>
    </row>
    <row r="21" spans="2:9">
      <c r="B21" s="277"/>
      <c r="C21" s="278"/>
      <c r="D21" s="278"/>
      <c r="E21" s="278"/>
      <c r="F21" s="278"/>
      <c r="G21" s="278"/>
      <c r="H21" s="278"/>
      <c r="I21" s="279"/>
    </row>
    <row r="22" spans="2:9">
      <c r="B22" s="277"/>
      <c r="C22" s="278"/>
      <c r="D22" s="278"/>
      <c r="E22" s="278"/>
      <c r="F22" s="278"/>
      <c r="G22" s="278"/>
      <c r="H22" s="278"/>
      <c r="I22" s="279"/>
    </row>
    <row r="23" spans="2:9">
      <c r="B23" s="277"/>
      <c r="C23" s="278"/>
      <c r="D23" s="278"/>
      <c r="E23" s="278"/>
      <c r="F23" s="278"/>
      <c r="G23" s="278"/>
      <c r="H23" s="278"/>
      <c r="I23" s="279"/>
    </row>
    <row r="24" spans="2:9">
      <c r="B24" s="277"/>
      <c r="C24" s="278"/>
      <c r="D24" s="278"/>
      <c r="E24" s="278"/>
      <c r="F24" s="278"/>
      <c r="G24" s="278"/>
      <c r="H24" s="278"/>
      <c r="I24" s="279"/>
    </row>
    <row r="25" spans="2:9">
      <c r="B25" s="277"/>
      <c r="C25" s="278"/>
      <c r="D25" s="278"/>
      <c r="E25" s="278"/>
      <c r="F25" s="278"/>
      <c r="G25" s="278"/>
      <c r="H25" s="278"/>
      <c r="I25" s="279"/>
    </row>
    <row r="26" spans="2:9">
      <c r="B26" s="277"/>
      <c r="C26" s="278"/>
      <c r="D26" s="278"/>
      <c r="E26" s="278"/>
      <c r="F26" s="278"/>
      <c r="G26" s="278"/>
      <c r="H26" s="278"/>
      <c r="I26" s="279"/>
    </row>
    <row r="27" spans="2:9">
      <c r="B27" s="277"/>
      <c r="C27" s="278"/>
      <c r="D27" s="278"/>
      <c r="E27" s="278"/>
      <c r="F27" s="278"/>
      <c r="G27" s="278"/>
      <c r="H27" s="278"/>
      <c r="I27" s="279"/>
    </row>
    <row r="28" spans="2:9">
      <c r="B28" s="277"/>
      <c r="C28" s="278"/>
      <c r="D28" s="278"/>
      <c r="E28" s="278"/>
      <c r="F28" s="278"/>
      <c r="G28" s="278"/>
      <c r="H28" s="278"/>
      <c r="I28" s="279"/>
    </row>
    <row r="29" spans="2:9">
      <c r="B29" s="277"/>
      <c r="C29" s="278"/>
      <c r="D29" s="278"/>
      <c r="E29" s="278"/>
      <c r="F29" s="278"/>
      <c r="G29" s="278"/>
      <c r="H29" s="278"/>
      <c r="I29" s="279"/>
    </row>
    <row r="30" spans="2:9">
      <c r="B30" s="277"/>
      <c r="C30" s="278"/>
      <c r="D30" s="278"/>
      <c r="E30" s="278"/>
      <c r="F30" s="278"/>
      <c r="G30" s="278"/>
      <c r="H30" s="278"/>
      <c r="I30" s="279"/>
    </row>
    <row r="31" spans="2:9">
      <c r="B31" s="277"/>
      <c r="C31" s="278"/>
      <c r="D31" s="278"/>
      <c r="E31" s="278"/>
      <c r="F31" s="278"/>
      <c r="G31" s="278"/>
      <c r="H31" s="278"/>
      <c r="I31" s="279"/>
    </row>
    <row r="32" spans="2:9">
      <c r="B32" s="277"/>
      <c r="C32" s="278"/>
      <c r="D32" s="278"/>
      <c r="E32" s="278"/>
      <c r="F32" s="278"/>
      <c r="G32" s="278"/>
      <c r="H32" s="278"/>
      <c r="I32" s="279"/>
    </row>
    <row r="33" spans="2:9">
      <c r="B33" s="277"/>
      <c r="C33" s="278"/>
      <c r="D33" s="278"/>
      <c r="E33" s="278"/>
      <c r="F33" s="278"/>
      <c r="G33" s="278"/>
      <c r="H33" s="278"/>
      <c r="I33" s="279"/>
    </row>
    <row r="34" spans="2:9">
      <c r="B34" s="277"/>
      <c r="C34" s="278"/>
      <c r="D34" s="278"/>
      <c r="E34" s="278"/>
      <c r="F34" s="278"/>
      <c r="G34" s="278"/>
      <c r="H34" s="278"/>
      <c r="I34" s="279"/>
    </row>
    <row r="35" spans="2:9">
      <c r="B35" s="277"/>
      <c r="C35" s="278"/>
      <c r="D35" s="278"/>
      <c r="E35" s="278"/>
      <c r="F35" s="278"/>
      <c r="G35" s="278"/>
      <c r="H35" s="278"/>
      <c r="I35" s="279"/>
    </row>
    <row r="36" spans="2:9">
      <c r="B36" s="277"/>
      <c r="C36" s="278"/>
      <c r="D36" s="278"/>
      <c r="E36" s="278"/>
      <c r="F36" s="278"/>
      <c r="G36" s="278"/>
      <c r="H36" s="278"/>
      <c r="I36" s="279"/>
    </row>
    <row r="37" spans="2:9">
      <c r="B37" s="277"/>
      <c r="C37" s="278"/>
      <c r="D37" s="278"/>
      <c r="E37" s="278"/>
      <c r="F37" s="278"/>
      <c r="G37" s="278"/>
      <c r="H37" s="278"/>
      <c r="I37" s="279"/>
    </row>
    <row r="38" spans="2:9">
      <c r="B38" s="277"/>
      <c r="C38" s="278"/>
      <c r="D38" s="278"/>
      <c r="E38" s="278"/>
      <c r="F38" s="278"/>
      <c r="G38" s="278"/>
      <c r="H38" s="278"/>
      <c r="I38" s="279"/>
    </row>
    <row r="39" spans="2:9">
      <c r="B39" s="277"/>
      <c r="C39" s="278"/>
      <c r="D39" s="278"/>
      <c r="E39" s="278"/>
      <c r="F39" s="278"/>
      <c r="G39" s="278"/>
      <c r="H39" s="278"/>
      <c r="I39" s="279"/>
    </row>
    <row r="40" spans="2:9">
      <c r="B40" s="277"/>
      <c r="C40" s="278"/>
      <c r="D40" s="278"/>
      <c r="E40" s="278"/>
      <c r="F40" s="278"/>
      <c r="G40" s="278"/>
      <c r="H40" s="278"/>
      <c r="I40" s="279"/>
    </row>
    <row r="41" spans="2:9" ht="15" thickBot="1">
      <c r="B41" s="280"/>
      <c r="C41" s="281"/>
      <c r="D41" s="281"/>
      <c r="E41" s="281"/>
      <c r="F41" s="281"/>
      <c r="G41" s="281"/>
      <c r="H41" s="281"/>
      <c r="I41" s="282"/>
    </row>
    <row r="42" spans="2:9">
      <c r="B42" s="25"/>
      <c r="C42" s="25"/>
      <c r="D42" s="25"/>
      <c r="E42" s="25"/>
      <c r="F42" s="25"/>
      <c r="G42" s="25"/>
      <c r="H42" s="25"/>
      <c r="I42" s="25"/>
    </row>
    <row r="43" spans="2:9">
      <c r="B43" s="25"/>
      <c r="C43" s="25"/>
      <c r="D43" s="25"/>
      <c r="E43" s="25"/>
      <c r="F43" s="25"/>
      <c r="G43" s="25"/>
      <c r="H43" s="25"/>
      <c r="I43" s="25"/>
    </row>
    <row r="44" spans="2:9">
      <c r="B44" s="25"/>
      <c r="C44" s="25"/>
      <c r="D44" s="25"/>
      <c r="E44" s="25"/>
      <c r="F44" s="25"/>
      <c r="G44" s="25"/>
      <c r="H44" s="25"/>
      <c r="I44" s="25"/>
    </row>
    <row r="45" spans="2:9">
      <c r="B45" s="25"/>
      <c r="C45" s="25"/>
      <c r="D45" s="25"/>
      <c r="E45" s="25"/>
      <c r="F45" s="25"/>
      <c r="G45" s="25"/>
      <c r="H45" s="25"/>
      <c r="I45" s="25"/>
    </row>
    <row r="46" spans="2:9">
      <c r="B46" s="25"/>
      <c r="C46" s="25"/>
      <c r="D46" s="25"/>
      <c r="E46" s="25"/>
      <c r="F46" s="25"/>
      <c r="G46" s="25"/>
      <c r="H46" s="25"/>
      <c r="I46" s="25"/>
    </row>
  </sheetData>
  <mergeCells count="1">
    <mergeCell ref="B2:I4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14E5A-CA9B-481C-B41A-3C4BEEA7A8E6}">
  <sheetPr codeName="Planilha1"/>
  <dimension ref="A1:H49"/>
  <sheetViews>
    <sheetView topLeftCell="A12" workbookViewId="0">
      <selection activeCell="I2" sqref="I2"/>
    </sheetView>
  </sheetViews>
  <sheetFormatPr defaultRowHeight="14.25"/>
  <cols>
    <col min="1" max="1" width="19" bestFit="1" customWidth="1"/>
    <col min="2" max="2" width="7.5" bestFit="1" customWidth="1"/>
    <col min="3" max="3" width="7.625" bestFit="1" customWidth="1"/>
    <col min="5" max="5" width="13.5" bestFit="1" customWidth="1"/>
    <col min="6" max="6" width="14.75" bestFit="1" customWidth="1"/>
    <col min="7" max="7" width="16.375" bestFit="1" customWidth="1"/>
    <col min="8" max="8" width="10.125" bestFit="1" customWidth="1"/>
  </cols>
  <sheetData>
    <row r="1" spans="1:8" ht="15.75" thickBot="1">
      <c r="A1" s="139" t="s">
        <v>19</v>
      </c>
      <c r="B1" s="140" t="s">
        <v>213</v>
      </c>
      <c r="C1" s="141" t="s">
        <v>214</v>
      </c>
      <c r="E1" s="216" t="s">
        <v>299</v>
      </c>
      <c r="F1" s="216" t="s">
        <v>300</v>
      </c>
      <c r="G1" s="216" t="s">
        <v>293</v>
      </c>
      <c r="H1" s="217" t="s">
        <v>301</v>
      </c>
    </row>
    <row r="2" spans="1:8">
      <c r="A2" s="142" t="s">
        <v>215</v>
      </c>
      <c r="B2" s="143">
        <v>290</v>
      </c>
      <c r="C2" s="144">
        <v>415</v>
      </c>
      <c r="E2" s="218" t="s">
        <v>302</v>
      </c>
      <c r="F2" s="218" t="s">
        <v>264</v>
      </c>
      <c r="G2" t="s">
        <v>303</v>
      </c>
      <c r="H2" s="218" t="s">
        <v>304</v>
      </c>
    </row>
    <row r="3" spans="1:8">
      <c r="A3" s="119" t="s">
        <v>216</v>
      </c>
      <c r="B3" s="12">
        <v>345</v>
      </c>
      <c r="C3" s="15">
        <v>450</v>
      </c>
      <c r="E3" t="s">
        <v>305</v>
      </c>
      <c r="F3" s="218" t="s">
        <v>306</v>
      </c>
      <c r="G3" t="s">
        <v>307</v>
      </c>
      <c r="H3" s="218" t="s">
        <v>308</v>
      </c>
    </row>
    <row r="4" spans="1:8">
      <c r="A4" s="119" t="s">
        <v>217</v>
      </c>
      <c r="B4" s="12">
        <v>345</v>
      </c>
      <c r="C4" s="15">
        <v>485</v>
      </c>
      <c r="E4" s="218" t="s">
        <v>303</v>
      </c>
      <c r="F4" s="218" t="s">
        <v>263</v>
      </c>
      <c r="G4" t="s">
        <v>302</v>
      </c>
      <c r="H4" s="218" t="s">
        <v>309</v>
      </c>
    </row>
    <row r="5" spans="1:8">
      <c r="A5" s="119" t="s">
        <v>218</v>
      </c>
      <c r="B5" s="12">
        <v>350</v>
      </c>
      <c r="C5" s="15">
        <v>450</v>
      </c>
      <c r="F5" s="218" t="s">
        <v>266</v>
      </c>
      <c r="H5" s="218" t="s">
        <v>310</v>
      </c>
    </row>
    <row r="6" spans="1:8">
      <c r="A6" s="119" t="s">
        <v>219</v>
      </c>
      <c r="B6" s="12">
        <v>350</v>
      </c>
      <c r="C6" s="15">
        <v>485</v>
      </c>
      <c r="E6" s="218"/>
      <c r="F6" s="218"/>
      <c r="H6" s="218" t="s">
        <v>311</v>
      </c>
    </row>
    <row r="7" spans="1:8">
      <c r="A7" s="119" t="s">
        <v>220</v>
      </c>
      <c r="B7" s="12">
        <v>415</v>
      </c>
      <c r="C7" s="15">
        <v>520</v>
      </c>
      <c r="E7" s="218"/>
      <c r="F7" s="218"/>
      <c r="H7" s="218" t="s">
        <v>312</v>
      </c>
    </row>
    <row r="8" spans="1:8">
      <c r="A8" s="119" t="s">
        <v>221</v>
      </c>
      <c r="B8" s="12">
        <v>345</v>
      </c>
      <c r="C8" s="15">
        <v>485</v>
      </c>
      <c r="E8" s="218"/>
      <c r="F8" s="218"/>
      <c r="H8" s="218" t="s">
        <v>313</v>
      </c>
    </row>
    <row r="9" spans="1:8">
      <c r="A9" s="119" t="s">
        <v>222</v>
      </c>
      <c r="B9" s="12">
        <v>300</v>
      </c>
      <c r="C9" s="15">
        <v>415</v>
      </c>
    </row>
    <row r="10" spans="1:8">
      <c r="A10" s="119" t="s">
        <v>223</v>
      </c>
      <c r="B10" s="12">
        <v>635</v>
      </c>
      <c r="C10" s="15">
        <v>825</v>
      </c>
    </row>
    <row r="11" spans="1:8">
      <c r="A11" s="119" t="s">
        <v>224</v>
      </c>
      <c r="B11" s="12">
        <v>560</v>
      </c>
      <c r="C11" s="15">
        <v>725</v>
      </c>
    </row>
    <row r="12" spans="1:8">
      <c r="A12" s="119" t="s">
        <v>225</v>
      </c>
      <c r="B12" s="12">
        <v>635</v>
      </c>
      <c r="C12" s="15">
        <v>825</v>
      </c>
    </row>
    <row r="13" spans="1:8">
      <c r="A13" s="119" t="s">
        <v>226</v>
      </c>
      <c r="B13" s="12">
        <v>560</v>
      </c>
      <c r="C13" s="15">
        <v>725</v>
      </c>
    </row>
    <row r="14" spans="1:8">
      <c r="A14" s="119" t="s">
        <v>227</v>
      </c>
      <c r="B14" s="12">
        <v>250</v>
      </c>
      <c r="C14" s="15">
        <v>400</v>
      </c>
    </row>
    <row r="15" spans="1:8">
      <c r="A15" s="119" t="s">
        <v>228</v>
      </c>
      <c r="B15" s="12">
        <v>895</v>
      </c>
      <c r="C15" s="15">
        <v>1035</v>
      </c>
    </row>
    <row r="16" spans="1:8">
      <c r="A16" s="119" t="s">
        <v>229</v>
      </c>
      <c r="B16" s="12">
        <v>895</v>
      </c>
      <c r="C16" s="15">
        <v>1035</v>
      </c>
    </row>
    <row r="17" spans="1:3">
      <c r="A17" s="119" t="s">
        <v>230</v>
      </c>
      <c r="B17" s="12">
        <v>290</v>
      </c>
      <c r="C17" s="15">
        <v>400</v>
      </c>
    </row>
    <row r="18" spans="1:3">
      <c r="A18" s="119" t="s">
        <v>231</v>
      </c>
      <c r="B18" s="12">
        <v>205</v>
      </c>
      <c r="C18" s="15">
        <v>340</v>
      </c>
    </row>
    <row r="19" spans="1:3">
      <c r="A19" s="119" t="s">
        <v>232</v>
      </c>
      <c r="B19" s="12">
        <v>230</v>
      </c>
      <c r="C19" s="15">
        <v>360</v>
      </c>
    </row>
    <row r="20" spans="1:3">
      <c r="A20" s="119" t="s">
        <v>233</v>
      </c>
      <c r="B20" s="12">
        <v>250</v>
      </c>
      <c r="C20" s="15">
        <v>365</v>
      </c>
    </row>
    <row r="21" spans="1:3">
      <c r="A21" s="119" t="s">
        <v>234</v>
      </c>
      <c r="B21" s="12">
        <v>275</v>
      </c>
      <c r="C21" s="15">
        <v>380</v>
      </c>
    </row>
    <row r="22" spans="1:3">
      <c r="A22" s="119" t="s">
        <v>235</v>
      </c>
      <c r="B22" s="12">
        <v>300</v>
      </c>
      <c r="C22" s="15">
        <v>415</v>
      </c>
    </row>
    <row r="23" spans="1:3">
      <c r="A23" s="119" t="s">
        <v>236</v>
      </c>
      <c r="B23" s="12">
        <v>310</v>
      </c>
      <c r="C23" s="15">
        <v>415</v>
      </c>
    </row>
    <row r="24" spans="1:3">
      <c r="A24" s="119" t="s">
        <v>237</v>
      </c>
      <c r="B24" s="12">
        <v>345</v>
      </c>
      <c r="C24" s="15">
        <v>450</v>
      </c>
    </row>
    <row r="25" spans="1:3">
      <c r="A25" s="119" t="s">
        <v>238</v>
      </c>
      <c r="B25" s="12">
        <v>380</v>
      </c>
      <c r="C25" s="15">
        <v>480</v>
      </c>
    </row>
    <row r="26" spans="1:3">
      <c r="A26" s="119" t="s">
        <v>239</v>
      </c>
      <c r="B26" s="12">
        <v>290</v>
      </c>
      <c r="C26" s="15">
        <v>415</v>
      </c>
    </row>
    <row r="27" spans="1:3">
      <c r="A27" s="119" t="s">
        <v>240</v>
      </c>
      <c r="B27" s="12">
        <v>345</v>
      </c>
      <c r="C27" s="15">
        <v>450</v>
      </c>
    </row>
    <row r="28" spans="1:3">
      <c r="A28" s="119" t="s">
        <v>241</v>
      </c>
      <c r="B28" s="12">
        <v>380</v>
      </c>
      <c r="C28" s="15">
        <v>485</v>
      </c>
    </row>
    <row r="29" spans="1:3">
      <c r="A29" s="119" t="s">
        <v>242</v>
      </c>
      <c r="B29" s="12">
        <v>415</v>
      </c>
      <c r="C29" s="15">
        <v>520</v>
      </c>
    </row>
    <row r="30" spans="1:3">
      <c r="A30" s="119" t="s">
        <v>243</v>
      </c>
      <c r="B30" s="12">
        <v>450</v>
      </c>
      <c r="C30" s="15">
        <v>550</v>
      </c>
    </row>
    <row r="31" spans="1:3">
      <c r="A31" s="119" t="s">
        <v>244</v>
      </c>
      <c r="B31" s="12">
        <v>345</v>
      </c>
      <c r="C31" s="15">
        <v>485</v>
      </c>
    </row>
    <row r="32" spans="1:3">
      <c r="A32" s="119" t="s">
        <v>245</v>
      </c>
      <c r="B32" s="12">
        <v>345</v>
      </c>
      <c r="C32" s="15">
        <v>450</v>
      </c>
    </row>
    <row r="33" spans="1:3">
      <c r="A33" s="119" t="s">
        <v>246</v>
      </c>
      <c r="B33" s="12">
        <v>415</v>
      </c>
      <c r="C33" s="15">
        <v>520</v>
      </c>
    </row>
    <row r="34" spans="1:3">
      <c r="A34" s="119" t="s">
        <v>247</v>
      </c>
      <c r="B34" s="12">
        <v>450</v>
      </c>
      <c r="C34" s="15">
        <v>550</v>
      </c>
    </row>
    <row r="35" spans="1:3">
      <c r="A35" s="119" t="s">
        <v>248</v>
      </c>
      <c r="B35" s="12">
        <v>345</v>
      </c>
      <c r="C35" s="15">
        <v>450</v>
      </c>
    </row>
    <row r="36" spans="1:3">
      <c r="A36" s="119" t="s">
        <v>249</v>
      </c>
      <c r="B36" s="12">
        <v>250</v>
      </c>
      <c r="C36" s="15">
        <v>380</v>
      </c>
    </row>
    <row r="37" spans="1:3">
      <c r="A37" s="119" t="s">
        <v>250</v>
      </c>
      <c r="B37" s="12">
        <v>300</v>
      </c>
      <c r="C37" s="15">
        <v>380</v>
      </c>
    </row>
    <row r="38" spans="1:3">
      <c r="A38" s="119" t="s">
        <v>251</v>
      </c>
      <c r="B38" s="12">
        <v>375</v>
      </c>
      <c r="C38" s="15">
        <v>490</v>
      </c>
    </row>
    <row r="39" spans="1:3">
      <c r="A39" s="119" t="s">
        <v>252</v>
      </c>
      <c r="B39" s="12">
        <v>300</v>
      </c>
      <c r="C39" s="15">
        <v>400</v>
      </c>
    </row>
    <row r="40" spans="1:3">
      <c r="A40" s="119" t="s">
        <v>253</v>
      </c>
      <c r="B40" s="12">
        <v>350</v>
      </c>
      <c r="C40" s="15">
        <v>490</v>
      </c>
    </row>
    <row r="41" spans="1:3">
      <c r="A41" s="119" t="s">
        <v>254</v>
      </c>
      <c r="B41" s="12">
        <v>300</v>
      </c>
      <c r="C41" s="15">
        <v>420</v>
      </c>
    </row>
    <row r="42" spans="1:3">
      <c r="A42" s="119" t="s">
        <v>255</v>
      </c>
      <c r="B42" s="12">
        <v>900</v>
      </c>
      <c r="C42" s="15">
        <v>1000</v>
      </c>
    </row>
    <row r="43" spans="1:3">
      <c r="A43" s="119" t="s">
        <v>256</v>
      </c>
      <c r="B43" s="12">
        <v>640</v>
      </c>
      <c r="C43" s="15">
        <v>800</v>
      </c>
    </row>
    <row r="44" spans="1:3">
      <c r="A44" s="119" t="s">
        <v>257</v>
      </c>
      <c r="B44" s="12">
        <v>235</v>
      </c>
      <c r="C44" s="15">
        <v>390</v>
      </c>
    </row>
    <row r="45" spans="1:3">
      <c r="A45" s="119" t="s">
        <v>258</v>
      </c>
      <c r="B45" s="12">
        <v>250</v>
      </c>
      <c r="C45" s="15">
        <v>400</v>
      </c>
    </row>
    <row r="46" spans="1:3">
      <c r="A46" s="119" t="s">
        <v>259</v>
      </c>
      <c r="B46" s="12">
        <v>180</v>
      </c>
      <c r="C46" s="15">
        <v>330</v>
      </c>
    </row>
    <row r="47" spans="1:3">
      <c r="A47" s="119" t="s">
        <v>260</v>
      </c>
      <c r="B47" s="12">
        <v>380</v>
      </c>
      <c r="C47" s="15">
        <v>490</v>
      </c>
    </row>
    <row r="48" spans="1:3">
      <c r="A48" s="119" t="s">
        <v>261</v>
      </c>
      <c r="B48" s="12">
        <v>300</v>
      </c>
      <c r="C48" s="15">
        <v>400</v>
      </c>
    </row>
    <row r="49" spans="1:3" ht="15" thickBot="1">
      <c r="A49" s="145" t="s">
        <v>262</v>
      </c>
      <c r="B49" s="13">
        <v>350</v>
      </c>
      <c r="C49" s="16">
        <v>485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FC042-0F1F-47D1-8C61-EC987FEA59B1}">
  <sheetPr codeName="Plan13"/>
  <dimension ref="A1:AH837"/>
  <sheetViews>
    <sheetView showGridLines="0" workbookViewId="0">
      <selection activeCell="I73" sqref="I73"/>
    </sheetView>
  </sheetViews>
  <sheetFormatPr defaultRowHeight="14.25"/>
  <cols>
    <col min="1" max="1" width="12" style="165" customWidth="1"/>
    <col min="2" max="4" width="7.375" style="165" customWidth="1"/>
    <col min="5" max="5" width="12" style="165" customWidth="1"/>
    <col min="6" max="7" width="7.375" style="165" customWidth="1"/>
    <col min="8" max="8" width="12" style="165" customWidth="1"/>
    <col min="9" max="10" width="7.375" style="165" customWidth="1"/>
    <col min="11" max="11" width="12" style="165" customWidth="1"/>
    <col min="12" max="13" width="7.375" style="165" customWidth="1"/>
    <col min="14" max="14" width="9" style="165"/>
    <col min="15" max="15" width="12" style="165" customWidth="1"/>
    <col min="16" max="19" width="9" style="165"/>
    <col min="20" max="20" width="9.25" style="165" bestFit="1" customWidth="1"/>
    <col min="21" max="21" width="12" style="165" customWidth="1"/>
    <col min="22" max="24" width="9" style="165"/>
    <col min="25" max="25" width="8" style="165" customWidth="1"/>
    <col min="26" max="26" width="12" style="165" customWidth="1"/>
    <col min="27" max="30" width="9" style="165"/>
    <col min="31" max="31" width="12" style="165" customWidth="1"/>
    <col min="32" max="16384" width="9" style="165"/>
  </cols>
  <sheetData>
    <row r="1" spans="1:34" ht="15">
      <c r="A1" s="283" t="s">
        <v>263</v>
      </c>
      <c r="B1" s="284"/>
      <c r="C1" s="284"/>
      <c r="D1" s="285"/>
      <c r="E1" s="283" t="s">
        <v>264</v>
      </c>
      <c r="F1" s="284"/>
      <c r="G1" s="285"/>
      <c r="H1" s="283" t="s">
        <v>265</v>
      </c>
      <c r="I1" s="284"/>
      <c r="J1" s="285"/>
      <c r="K1" s="283" t="s">
        <v>266</v>
      </c>
      <c r="L1" s="284"/>
      <c r="M1" s="285"/>
      <c r="O1" s="283" t="s">
        <v>263</v>
      </c>
      <c r="P1" s="284"/>
      <c r="Q1" s="284"/>
      <c r="R1" s="285"/>
      <c r="U1" s="283" t="s">
        <v>264</v>
      </c>
      <c r="V1" s="284"/>
      <c r="W1" s="285"/>
      <c r="Z1" s="283" t="s">
        <v>265</v>
      </c>
      <c r="AA1" s="284"/>
      <c r="AB1" s="285"/>
      <c r="AE1" s="283" t="s">
        <v>266</v>
      </c>
      <c r="AF1" s="284"/>
      <c r="AG1" s="285"/>
    </row>
    <row r="2" spans="1:34" ht="15.75" thickBot="1">
      <c r="A2" s="166" t="s">
        <v>267</v>
      </c>
      <c r="B2" s="167" t="s">
        <v>268</v>
      </c>
      <c r="C2" s="167" t="s">
        <v>269</v>
      </c>
      <c r="D2" s="168" t="s">
        <v>270</v>
      </c>
      <c r="E2" s="166" t="s">
        <v>267</v>
      </c>
      <c r="F2" s="167" t="s">
        <v>269</v>
      </c>
      <c r="G2" s="168" t="s">
        <v>270</v>
      </c>
      <c r="H2" s="166" t="s">
        <v>267</v>
      </c>
      <c r="I2" s="167" t="s">
        <v>269</v>
      </c>
      <c r="J2" s="168" t="s">
        <v>270</v>
      </c>
      <c r="K2" s="166" t="s">
        <v>267</v>
      </c>
      <c r="L2" s="167" t="s">
        <v>271</v>
      </c>
      <c r="M2" s="168" t="s">
        <v>270</v>
      </c>
      <c r="O2" s="166" t="s">
        <v>267</v>
      </c>
      <c r="P2" s="167" t="s">
        <v>268</v>
      </c>
      <c r="Q2" s="167" t="s">
        <v>269</v>
      </c>
      <c r="R2" s="168" t="s">
        <v>270</v>
      </c>
      <c r="S2" s="165" t="s">
        <v>272</v>
      </c>
      <c r="U2" s="166" t="s">
        <v>267</v>
      </c>
      <c r="V2" s="167" t="s">
        <v>269</v>
      </c>
      <c r="W2" s="168" t="s">
        <v>270</v>
      </c>
      <c r="X2" s="165" t="s">
        <v>272</v>
      </c>
      <c r="Z2" s="166" t="s">
        <v>267</v>
      </c>
      <c r="AA2" s="167" t="s">
        <v>269</v>
      </c>
      <c r="AB2" s="168" t="s">
        <v>270</v>
      </c>
      <c r="AC2" s="165" t="s">
        <v>272</v>
      </c>
      <c r="AE2" s="166" t="s">
        <v>267</v>
      </c>
      <c r="AF2" s="167" t="s">
        <v>271</v>
      </c>
      <c r="AG2" s="168" t="s">
        <v>270</v>
      </c>
      <c r="AH2" s="165" t="s">
        <v>272</v>
      </c>
    </row>
    <row r="3" spans="1:34" ht="15">
      <c r="A3" s="169" t="str">
        <f>CONCATENATE("U",B3,"X",C3,"X",ROUND(D3,2))</f>
        <v>U50X25X1,2</v>
      </c>
      <c r="B3" s="170">
        <v>50</v>
      </c>
      <c r="C3" s="170">
        <v>25</v>
      </c>
      <c r="D3" s="171">
        <v>1.2</v>
      </c>
      <c r="E3" s="169" t="str">
        <f>CONCATENATE("L",F3,"X",ROUND(G3,2))</f>
        <v>L30X2</v>
      </c>
      <c r="F3" s="170">
        <v>30</v>
      </c>
      <c r="G3" s="171">
        <v>2</v>
      </c>
      <c r="H3" s="169" t="str">
        <f>CONCATENATE("2L",I3,"X",ROUND(J3,2))</f>
        <v>2L30X2</v>
      </c>
      <c r="I3" s="170">
        <v>30</v>
      </c>
      <c r="J3" s="172">
        <v>2</v>
      </c>
      <c r="K3" s="169" t="str">
        <f>CONCATENATE("TB",ROUNDUP(L3,1),"X",M3)</f>
        <v>TB19,1X2</v>
      </c>
      <c r="L3" s="170">
        <v>19.05</v>
      </c>
      <c r="M3" s="171">
        <v>2</v>
      </c>
      <c r="O3" s="169" t="str">
        <f t="shared" ref="O3:O66" si="0">CONCATENATE("U",P3,"X",Q3,"X",ROUND(R3,2))</f>
        <v>U50X25X1,2</v>
      </c>
      <c r="P3" s="170">
        <v>50</v>
      </c>
      <c r="Q3" s="170">
        <v>25</v>
      </c>
      <c r="R3" s="171">
        <v>1.2</v>
      </c>
      <c r="S3" s="173" t="e">
        <f t="shared" ref="S3:S34" si="1">PropriedadesUFF(P3,Q3,R3,$S$2)</f>
        <v>#VALUE!</v>
      </c>
      <c r="T3" s="174"/>
      <c r="U3" s="169" t="str">
        <f t="shared" ref="U3:U66" si="2">CONCATENATE("L",V3,"X",ROUND(W3,2))</f>
        <v>L30X2</v>
      </c>
      <c r="V3" s="170">
        <v>30</v>
      </c>
      <c r="W3" s="171">
        <v>2</v>
      </c>
      <c r="X3" s="173" t="e">
        <f t="shared" ref="X3:X34" si="3">PropriedadesLFF(V3,W3,$X$2)</f>
        <v>#VALUE!</v>
      </c>
      <c r="Y3" s="174"/>
      <c r="Z3" s="169" t="str">
        <f t="shared" ref="Z3:Z66" si="4">CONCATENATE("2L",AA3,"X",ROUND(AB3,2))</f>
        <v>2L30X2</v>
      </c>
      <c r="AA3" s="170">
        <v>30</v>
      </c>
      <c r="AB3" s="171">
        <v>2</v>
      </c>
      <c r="AC3" s="173" t="e">
        <f>PropriedadesLLFF(AA3,AB3,$AC$2)</f>
        <v>#VALUE!</v>
      </c>
      <c r="AE3" s="169" t="str">
        <f t="shared" ref="AE3:AE66" si="5">CONCATENATE("TB",ROUNDUP(AF3,1),"X",AG3)</f>
        <v>TB19,1X2</v>
      </c>
      <c r="AF3" s="170">
        <v>19.05</v>
      </c>
      <c r="AG3" s="171">
        <v>2</v>
      </c>
      <c r="AH3" s="173" t="e">
        <f t="shared" ref="AH3:AH34" si="6">PropriedadesTBC(AF3,AG3,$AH$2)</f>
        <v>#VALUE!</v>
      </c>
    </row>
    <row r="4" spans="1:34" ht="15">
      <c r="A4" s="175" t="str">
        <f t="shared" ref="A4:A67" si="7">CONCATENATE("U",B4,"X",C4,"X",ROUND(D4,2))</f>
        <v>U50X25X1,5</v>
      </c>
      <c r="B4" s="176">
        <v>50</v>
      </c>
      <c r="C4" s="176">
        <v>25</v>
      </c>
      <c r="D4" s="177">
        <v>1.5</v>
      </c>
      <c r="E4" s="175" t="str">
        <f t="shared" ref="E4:E67" si="8">CONCATENATE("L",F4,"X",ROUND(G4,2))</f>
        <v>L30X2,25</v>
      </c>
      <c r="F4" s="176">
        <v>30</v>
      </c>
      <c r="G4" s="177">
        <v>2.25</v>
      </c>
      <c r="H4" s="175" t="str">
        <f t="shared" ref="H4:H67" si="9">CONCATENATE("2L",I4,"X",ROUND(J4,2))</f>
        <v>2L30X2,25</v>
      </c>
      <c r="I4" s="176">
        <v>30</v>
      </c>
      <c r="J4" s="178">
        <v>2.25</v>
      </c>
      <c r="K4" s="175" t="str">
        <f t="shared" ref="K4:K67" si="10">CONCATENATE("TB",ROUNDUP(L4,1),"X",M4)</f>
        <v>TB22,3X2</v>
      </c>
      <c r="L4" s="176">
        <v>22.23</v>
      </c>
      <c r="M4" s="177">
        <v>2</v>
      </c>
      <c r="O4" s="175" t="str">
        <f t="shared" si="0"/>
        <v>U50X25X1,5</v>
      </c>
      <c r="P4" s="176">
        <v>50</v>
      </c>
      <c r="Q4" s="176">
        <v>25</v>
      </c>
      <c r="R4" s="177">
        <v>1.5</v>
      </c>
      <c r="S4" s="173" t="e">
        <f t="shared" si="1"/>
        <v>#VALUE!</v>
      </c>
      <c r="T4" s="174"/>
      <c r="U4" s="175" t="str">
        <f t="shared" si="2"/>
        <v>L30X2,25</v>
      </c>
      <c r="V4" s="176">
        <v>30</v>
      </c>
      <c r="W4" s="177">
        <v>2.25</v>
      </c>
      <c r="X4" s="173" t="e">
        <f t="shared" si="3"/>
        <v>#VALUE!</v>
      </c>
      <c r="Y4" s="174"/>
      <c r="Z4" s="175" t="str">
        <f t="shared" si="4"/>
        <v>2L30X2,25</v>
      </c>
      <c r="AA4" s="176">
        <v>30</v>
      </c>
      <c r="AB4" s="177">
        <v>2.25</v>
      </c>
      <c r="AC4" s="173" t="e">
        <f t="shared" ref="AC4:AC34" si="11">PropriedadesLLFF(AA4,AB4,$AC$2)</f>
        <v>#VALUE!</v>
      </c>
      <c r="AE4" s="175" t="str">
        <f t="shared" si="5"/>
        <v>TB22,3X2</v>
      </c>
      <c r="AF4" s="176">
        <v>22.23</v>
      </c>
      <c r="AG4" s="177">
        <v>2</v>
      </c>
      <c r="AH4" s="173" t="e">
        <f t="shared" si="6"/>
        <v>#VALUE!</v>
      </c>
    </row>
    <row r="5" spans="1:34" ht="15">
      <c r="A5" s="175" t="str">
        <f t="shared" si="7"/>
        <v>U50X25X2</v>
      </c>
      <c r="B5" s="176">
        <v>50</v>
      </c>
      <c r="C5" s="176">
        <v>25</v>
      </c>
      <c r="D5" s="177">
        <v>2</v>
      </c>
      <c r="E5" s="175" t="str">
        <f t="shared" si="8"/>
        <v>L30X2,65</v>
      </c>
      <c r="F5" s="176">
        <v>30</v>
      </c>
      <c r="G5" s="177">
        <v>2.65</v>
      </c>
      <c r="H5" s="175" t="str">
        <f t="shared" si="9"/>
        <v>2L30X2,65</v>
      </c>
      <c r="I5" s="176">
        <v>30</v>
      </c>
      <c r="J5" s="178">
        <v>2.65</v>
      </c>
      <c r="K5" s="175" t="str">
        <f t="shared" si="10"/>
        <v>TB22,3X2,25</v>
      </c>
      <c r="L5" s="176">
        <v>22.23</v>
      </c>
      <c r="M5" s="177">
        <v>2.25</v>
      </c>
      <c r="O5" s="175" t="str">
        <f t="shared" si="0"/>
        <v>U75X40X1,2</v>
      </c>
      <c r="P5" s="176">
        <v>75</v>
      </c>
      <c r="Q5" s="176">
        <v>40</v>
      </c>
      <c r="R5" s="177">
        <v>1.2</v>
      </c>
      <c r="S5" s="173" t="e">
        <f t="shared" si="1"/>
        <v>#VALUE!</v>
      </c>
      <c r="T5" s="174"/>
      <c r="U5" s="175" t="str">
        <f t="shared" si="2"/>
        <v>L30X2,65</v>
      </c>
      <c r="V5" s="176">
        <v>30</v>
      </c>
      <c r="W5" s="177">
        <v>2.65</v>
      </c>
      <c r="X5" s="173" t="e">
        <f t="shared" si="3"/>
        <v>#VALUE!</v>
      </c>
      <c r="Y5" s="174"/>
      <c r="Z5" s="175" t="str">
        <f t="shared" si="4"/>
        <v>2L30X2,65</v>
      </c>
      <c r="AA5" s="176">
        <v>30</v>
      </c>
      <c r="AB5" s="177">
        <v>2.65</v>
      </c>
      <c r="AC5" s="173" t="e">
        <f t="shared" si="11"/>
        <v>#VALUE!</v>
      </c>
      <c r="AE5" s="175" t="str">
        <f t="shared" si="5"/>
        <v>TB22,3X2,25</v>
      </c>
      <c r="AF5" s="176">
        <v>22.23</v>
      </c>
      <c r="AG5" s="177">
        <v>2.25</v>
      </c>
      <c r="AH5" s="173" t="e">
        <f t="shared" si="6"/>
        <v>#VALUE!</v>
      </c>
    </row>
    <row r="6" spans="1:34" ht="15">
      <c r="A6" s="175" t="str">
        <f t="shared" si="7"/>
        <v>U50X25X2,25</v>
      </c>
      <c r="B6" s="176">
        <v>50</v>
      </c>
      <c r="C6" s="176">
        <v>25</v>
      </c>
      <c r="D6" s="177">
        <v>2.25</v>
      </c>
      <c r="E6" s="175" t="str">
        <f t="shared" si="8"/>
        <v>L30X3</v>
      </c>
      <c r="F6" s="176">
        <v>30</v>
      </c>
      <c r="G6" s="177">
        <v>3</v>
      </c>
      <c r="H6" s="175" t="str">
        <f t="shared" si="9"/>
        <v>2L30X3</v>
      </c>
      <c r="I6" s="176">
        <v>30</v>
      </c>
      <c r="J6" s="178">
        <v>3</v>
      </c>
      <c r="K6" s="175" t="str">
        <f t="shared" si="10"/>
        <v>TB22,3X2,65</v>
      </c>
      <c r="L6" s="176">
        <v>22.23</v>
      </c>
      <c r="M6" s="177">
        <v>2.65</v>
      </c>
      <c r="O6" s="175" t="str">
        <f t="shared" si="0"/>
        <v>U50X25X2</v>
      </c>
      <c r="P6" s="176">
        <v>50</v>
      </c>
      <c r="Q6" s="176">
        <v>25</v>
      </c>
      <c r="R6" s="177">
        <v>2</v>
      </c>
      <c r="S6" s="173" t="e">
        <f t="shared" si="1"/>
        <v>#VALUE!</v>
      </c>
      <c r="T6" s="174"/>
      <c r="U6" s="175" t="str">
        <f t="shared" si="2"/>
        <v>L40X2</v>
      </c>
      <c r="V6" s="176">
        <v>40</v>
      </c>
      <c r="W6" s="177">
        <v>2</v>
      </c>
      <c r="X6" s="173" t="e">
        <f t="shared" si="3"/>
        <v>#VALUE!</v>
      </c>
      <c r="Y6" s="174"/>
      <c r="Z6" s="175" t="str">
        <f t="shared" si="4"/>
        <v>2L40X2</v>
      </c>
      <c r="AA6" s="176">
        <v>40</v>
      </c>
      <c r="AB6" s="177">
        <v>2</v>
      </c>
      <c r="AC6" s="173" t="e">
        <f t="shared" si="11"/>
        <v>#VALUE!</v>
      </c>
      <c r="AE6" s="175" t="str">
        <f t="shared" si="5"/>
        <v>TB25,4X2</v>
      </c>
      <c r="AF6" s="176">
        <v>25.4</v>
      </c>
      <c r="AG6" s="177">
        <v>2</v>
      </c>
      <c r="AH6" s="173" t="e">
        <f t="shared" si="6"/>
        <v>#VALUE!</v>
      </c>
    </row>
    <row r="7" spans="1:34" ht="15">
      <c r="A7" s="175" t="str">
        <f t="shared" si="7"/>
        <v>U50X25X2,65</v>
      </c>
      <c r="B7" s="176">
        <v>50</v>
      </c>
      <c r="C7" s="176">
        <v>25</v>
      </c>
      <c r="D7" s="177">
        <v>2.65</v>
      </c>
      <c r="E7" s="175" t="str">
        <f t="shared" si="8"/>
        <v>L40X2</v>
      </c>
      <c r="F7" s="176">
        <v>40</v>
      </c>
      <c r="G7" s="177">
        <v>2</v>
      </c>
      <c r="H7" s="175" t="str">
        <f t="shared" si="9"/>
        <v>2L40X2</v>
      </c>
      <c r="I7" s="176">
        <v>40</v>
      </c>
      <c r="J7" s="178">
        <v>2</v>
      </c>
      <c r="K7" s="175" t="str">
        <f t="shared" si="10"/>
        <v>TB22,3X3</v>
      </c>
      <c r="L7" s="176">
        <v>22.23</v>
      </c>
      <c r="M7" s="177">
        <v>3</v>
      </c>
      <c r="O7" s="175" t="str">
        <f t="shared" si="0"/>
        <v>U50X25X2,25</v>
      </c>
      <c r="P7" s="176">
        <v>50</v>
      </c>
      <c r="Q7" s="176">
        <v>25</v>
      </c>
      <c r="R7" s="177">
        <v>2.25</v>
      </c>
      <c r="S7" s="173" t="e">
        <f t="shared" si="1"/>
        <v>#VALUE!</v>
      </c>
      <c r="T7" s="174"/>
      <c r="U7" s="175" t="str">
        <f t="shared" si="2"/>
        <v>L30X3</v>
      </c>
      <c r="V7" s="176">
        <v>30</v>
      </c>
      <c r="W7" s="177">
        <v>3</v>
      </c>
      <c r="X7" s="173" t="e">
        <f t="shared" si="3"/>
        <v>#VALUE!</v>
      </c>
      <c r="Y7" s="174"/>
      <c r="Z7" s="175" t="str">
        <f t="shared" si="4"/>
        <v>2L30X3</v>
      </c>
      <c r="AA7" s="176">
        <v>30</v>
      </c>
      <c r="AB7" s="177">
        <v>3</v>
      </c>
      <c r="AC7" s="173" t="e">
        <f t="shared" si="11"/>
        <v>#VALUE!</v>
      </c>
      <c r="AE7" s="175" t="str">
        <f t="shared" si="5"/>
        <v>TB22,3X2,65</v>
      </c>
      <c r="AF7" s="176">
        <v>22.23</v>
      </c>
      <c r="AG7" s="177">
        <v>2.65</v>
      </c>
      <c r="AH7" s="173" t="e">
        <f t="shared" si="6"/>
        <v>#VALUE!</v>
      </c>
    </row>
    <row r="8" spans="1:34" ht="15">
      <c r="A8" s="175" t="str">
        <f t="shared" si="7"/>
        <v>U50X25X3</v>
      </c>
      <c r="B8" s="176">
        <v>50</v>
      </c>
      <c r="C8" s="176">
        <v>25</v>
      </c>
      <c r="D8" s="177">
        <v>3</v>
      </c>
      <c r="E8" s="175" t="str">
        <f t="shared" si="8"/>
        <v>L40X2,25</v>
      </c>
      <c r="F8" s="176">
        <v>40</v>
      </c>
      <c r="G8" s="177">
        <v>2.25</v>
      </c>
      <c r="H8" s="175" t="str">
        <f t="shared" si="9"/>
        <v>2L40X2,25</v>
      </c>
      <c r="I8" s="176">
        <v>40</v>
      </c>
      <c r="J8" s="178">
        <v>2.25</v>
      </c>
      <c r="K8" s="175" t="str">
        <f t="shared" si="10"/>
        <v>TB25,4X2</v>
      </c>
      <c r="L8" s="176">
        <v>25.4</v>
      </c>
      <c r="M8" s="177">
        <v>2</v>
      </c>
      <c r="O8" s="175" t="str">
        <f t="shared" si="0"/>
        <v>U100X40X1,2</v>
      </c>
      <c r="P8" s="176">
        <v>100</v>
      </c>
      <c r="Q8" s="176">
        <v>40</v>
      </c>
      <c r="R8" s="177">
        <v>1.2</v>
      </c>
      <c r="S8" s="173" t="e">
        <f t="shared" si="1"/>
        <v>#VALUE!</v>
      </c>
      <c r="T8" s="174"/>
      <c r="U8" s="175" t="str">
        <f t="shared" si="2"/>
        <v>L40X2,25</v>
      </c>
      <c r="V8" s="176">
        <v>40</v>
      </c>
      <c r="W8" s="177">
        <v>2.25</v>
      </c>
      <c r="X8" s="173" t="e">
        <f t="shared" si="3"/>
        <v>#VALUE!</v>
      </c>
      <c r="Y8" s="174"/>
      <c r="Z8" s="175" t="str">
        <f t="shared" si="4"/>
        <v>2L40X2,25</v>
      </c>
      <c r="AA8" s="176">
        <v>40</v>
      </c>
      <c r="AB8" s="177">
        <v>2.25</v>
      </c>
      <c r="AC8" s="173" t="e">
        <f t="shared" si="11"/>
        <v>#VALUE!</v>
      </c>
      <c r="AE8" s="175" t="str">
        <f t="shared" si="5"/>
        <v>TB25,4X2,25</v>
      </c>
      <c r="AF8" s="176">
        <v>25.4</v>
      </c>
      <c r="AG8" s="177">
        <v>2.25</v>
      </c>
      <c r="AH8" s="173" t="e">
        <f t="shared" si="6"/>
        <v>#VALUE!</v>
      </c>
    </row>
    <row r="9" spans="1:34" ht="15">
      <c r="A9" s="175" t="str">
        <f t="shared" si="7"/>
        <v>U75X40X1,2</v>
      </c>
      <c r="B9" s="176">
        <v>75</v>
      </c>
      <c r="C9" s="176">
        <v>40</v>
      </c>
      <c r="D9" s="177">
        <v>1.2</v>
      </c>
      <c r="E9" s="175" t="str">
        <f t="shared" si="8"/>
        <v>L40X2,65</v>
      </c>
      <c r="F9" s="176">
        <v>40</v>
      </c>
      <c r="G9" s="177">
        <v>2.65</v>
      </c>
      <c r="H9" s="175" t="str">
        <f t="shared" si="9"/>
        <v>2L40X2,65</v>
      </c>
      <c r="I9" s="176">
        <v>40</v>
      </c>
      <c r="J9" s="178">
        <v>2.65</v>
      </c>
      <c r="K9" s="175" t="str">
        <f t="shared" si="10"/>
        <v>TB25,4X2,25</v>
      </c>
      <c r="L9" s="176">
        <v>25.4</v>
      </c>
      <c r="M9" s="177">
        <v>2.25</v>
      </c>
      <c r="O9" s="175" t="str">
        <f t="shared" si="0"/>
        <v>U75X40X1,5</v>
      </c>
      <c r="P9" s="176">
        <v>75</v>
      </c>
      <c r="Q9" s="176">
        <v>40</v>
      </c>
      <c r="R9" s="177">
        <v>1.5</v>
      </c>
      <c r="S9" s="173" t="e">
        <f t="shared" si="1"/>
        <v>#VALUE!</v>
      </c>
      <c r="T9" s="174"/>
      <c r="U9" s="175" t="str">
        <f t="shared" si="2"/>
        <v>L50X2</v>
      </c>
      <c r="V9" s="176">
        <v>50</v>
      </c>
      <c r="W9" s="177">
        <v>2</v>
      </c>
      <c r="X9" s="173" t="e">
        <f t="shared" si="3"/>
        <v>#VALUE!</v>
      </c>
      <c r="Y9" s="174"/>
      <c r="Z9" s="175" t="str">
        <f t="shared" si="4"/>
        <v>2L50X2</v>
      </c>
      <c r="AA9" s="176">
        <v>50</v>
      </c>
      <c r="AB9" s="177">
        <v>2</v>
      </c>
      <c r="AC9" s="173" t="e">
        <f t="shared" si="11"/>
        <v>#VALUE!</v>
      </c>
      <c r="AE9" s="175" t="str">
        <f t="shared" si="5"/>
        <v>TB28,6X2</v>
      </c>
      <c r="AF9" s="176">
        <v>28.6</v>
      </c>
      <c r="AG9" s="177">
        <v>2</v>
      </c>
      <c r="AH9" s="173" t="e">
        <f t="shared" si="6"/>
        <v>#VALUE!</v>
      </c>
    </row>
    <row r="10" spans="1:34" ht="15">
      <c r="A10" s="175" t="str">
        <f t="shared" si="7"/>
        <v>U75X40X1,5</v>
      </c>
      <c r="B10" s="176">
        <v>75</v>
      </c>
      <c r="C10" s="176">
        <v>40</v>
      </c>
      <c r="D10" s="177">
        <v>1.5</v>
      </c>
      <c r="E10" s="175" t="str">
        <f t="shared" si="8"/>
        <v>L40X3</v>
      </c>
      <c r="F10" s="176">
        <v>40</v>
      </c>
      <c r="G10" s="177">
        <v>3</v>
      </c>
      <c r="H10" s="175" t="str">
        <f t="shared" si="9"/>
        <v>2L40X3</v>
      </c>
      <c r="I10" s="176">
        <v>40</v>
      </c>
      <c r="J10" s="178">
        <v>3</v>
      </c>
      <c r="K10" s="175" t="str">
        <f t="shared" si="10"/>
        <v>TB25,4X2,65</v>
      </c>
      <c r="L10" s="176">
        <v>25.4</v>
      </c>
      <c r="M10" s="177">
        <v>2.65</v>
      </c>
      <c r="O10" s="175" t="str">
        <f t="shared" si="0"/>
        <v>U100X50X1,2</v>
      </c>
      <c r="P10" s="176">
        <v>100</v>
      </c>
      <c r="Q10" s="176">
        <v>50</v>
      </c>
      <c r="R10" s="177">
        <v>1.2</v>
      </c>
      <c r="S10" s="173" t="e">
        <f t="shared" si="1"/>
        <v>#VALUE!</v>
      </c>
      <c r="T10" s="174"/>
      <c r="U10" s="175" t="str">
        <f t="shared" si="2"/>
        <v>L40X2,65</v>
      </c>
      <c r="V10" s="176">
        <v>40</v>
      </c>
      <c r="W10" s="177">
        <v>2.65</v>
      </c>
      <c r="X10" s="173" t="e">
        <f t="shared" si="3"/>
        <v>#VALUE!</v>
      </c>
      <c r="Y10" s="174"/>
      <c r="Z10" s="175" t="str">
        <f t="shared" si="4"/>
        <v>2L40X2,65</v>
      </c>
      <c r="AA10" s="176">
        <v>40</v>
      </c>
      <c r="AB10" s="177">
        <v>2.65</v>
      </c>
      <c r="AC10" s="173" t="e">
        <f t="shared" si="11"/>
        <v>#VALUE!</v>
      </c>
      <c r="AE10" s="175" t="str">
        <f t="shared" si="5"/>
        <v>TB22,3X3</v>
      </c>
      <c r="AF10" s="176">
        <v>22.23</v>
      </c>
      <c r="AG10" s="177">
        <v>3</v>
      </c>
      <c r="AH10" s="173" t="e">
        <f t="shared" si="6"/>
        <v>#VALUE!</v>
      </c>
    </row>
    <row r="11" spans="1:34" ht="15">
      <c r="A11" s="175" t="str">
        <f t="shared" si="7"/>
        <v>U75X40X2</v>
      </c>
      <c r="B11" s="176">
        <v>75</v>
      </c>
      <c r="C11" s="176">
        <v>40</v>
      </c>
      <c r="D11" s="177">
        <v>2</v>
      </c>
      <c r="E11" s="175" t="str">
        <f t="shared" si="8"/>
        <v>L50X2</v>
      </c>
      <c r="F11" s="176">
        <v>50</v>
      </c>
      <c r="G11" s="177">
        <v>2</v>
      </c>
      <c r="H11" s="175" t="str">
        <f t="shared" si="9"/>
        <v>2L50X2</v>
      </c>
      <c r="I11" s="176">
        <v>50</v>
      </c>
      <c r="J11" s="178">
        <v>2</v>
      </c>
      <c r="K11" s="175" t="str">
        <f t="shared" si="10"/>
        <v>TB25,4X3</v>
      </c>
      <c r="L11" s="176">
        <v>25.4</v>
      </c>
      <c r="M11" s="177">
        <v>3</v>
      </c>
      <c r="O11" s="175" t="str">
        <f t="shared" si="0"/>
        <v>U50X25X2,65</v>
      </c>
      <c r="P11" s="176">
        <v>50</v>
      </c>
      <c r="Q11" s="176">
        <v>25</v>
      </c>
      <c r="R11" s="177">
        <v>2.65</v>
      </c>
      <c r="S11" s="173" t="e">
        <f t="shared" si="1"/>
        <v>#VALUE!</v>
      </c>
      <c r="T11" s="174"/>
      <c r="U11" s="175" t="str">
        <f t="shared" si="2"/>
        <v>L50X2,25</v>
      </c>
      <c r="V11" s="176">
        <v>50</v>
      </c>
      <c r="W11" s="177">
        <v>2.25</v>
      </c>
      <c r="X11" s="173" t="e">
        <f t="shared" si="3"/>
        <v>#VALUE!</v>
      </c>
      <c r="Y11" s="174"/>
      <c r="Z11" s="175" t="str">
        <f t="shared" si="4"/>
        <v>2L50X2,25</v>
      </c>
      <c r="AA11" s="176">
        <v>50</v>
      </c>
      <c r="AB11" s="177">
        <v>2.25</v>
      </c>
      <c r="AC11" s="173" t="e">
        <f t="shared" si="11"/>
        <v>#VALUE!</v>
      </c>
      <c r="AE11" s="175" t="str">
        <f t="shared" si="5"/>
        <v>TB28,6X2,25</v>
      </c>
      <c r="AF11" s="176">
        <v>28.58</v>
      </c>
      <c r="AG11" s="177">
        <v>2.25</v>
      </c>
      <c r="AH11" s="173" t="e">
        <f t="shared" si="6"/>
        <v>#VALUE!</v>
      </c>
    </row>
    <row r="12" spans="1:34" ht="15">
      <c r="A12" s="175" t="str">
        <f t="shared" si="7"/>
        <v>U75X40X2,25</v>
      </c>
      <c r="B12" s="176">
        <v>75</v>
      </c>
      <c r="C12" s="176">
        <v>40</v>
      </c>
      <c r="D12" s="177">
        <v>2.25</v>
      </c>
      <c r="E12" s="175" t="str">
        <f t="shared" si="8"/>
        <v>L50X2,25</v>
      </c>
      <c r="F12" s="176">
        <v>50</v>
      </c>
      <c r="G12" s="177">
        <v>2.25</v>
      </c>
      <c r="H12" s="175" t="str">
        <f t="shared" si="9"/>
        <v>2L50X2,25</v>
      </c>
      <c r="I12" s="176">
        <v>50</v>
      </c>
      <c r="J12" s="178">
        <v>2.25</v>
      </c>
      <c r="K12" s="175" t="str">
        <f t="shared" si="10"/>
        <v>TB28,6X2</v>
      </c>
      <c r="L12" s="176">
        <v>28.6</v>
      </c>
      <c r="M12" s="177">
        <v>2</v>
      </c>
      <c r="O12" s="175" t="str">
        <f t="shared" si="0"/>
        <v>U100X40X1,5</v>
      </c>
      <c r="P12" s="176">
        <v>100</v>
      </c>
      <c r="Q12" s="176">
        <v>40</v>
      </c>
      <c r="R12" s="177">
        <v>1.5</v>
      </c>
      <c r="S12" s="173" t="e">
        <f t="shared" si="1"/>
        <v>#VALUE!</v>
      </c>
      <c r="T12" s="174"/>
      <c r="U12" s="175" t="str">
        <f t="shared" si="2"/>
        <v>L40X3</v>
      </c>
      <c r="V12" s="176">
        <v>40</v>
      </c>
      <c r="W12" s="177">
        <v>3</v>
      </c>
      <c r="X12" s="173" t="e">
        <f t="shared" si="3"/>
        <v>#VALUE!</v>
      </c>
      <c r="Y12" s="174"/>
      <c r="Z12" s="175" t="str">
        <f t="shared" si="4"/>
        <v>2L40X3</v>
      </c>
      <c r="AA12" s="176">
        <v>40</v>
      </c>
      <c r="AB12" s="177">
        <v>3</v>
      </c>
      <c r="AC12" s="173" t="e">
        <f t="shared" si="11"/>
        <v>#VALUE!</v>
      </c>
      <c r="AE12" s="175" t="str">
        <f t="shared" si="5"/>
        <v>TB31,8X2</v>
      </c>
      <c r="AF12" s="176">
        <v>31.75</v>
      </c>
      <c r="AG12" s="177">
        <v>2</v>
      </c>
      <c r="AH12" s="173" t="e">
        <f t="shared" si="6"/>
        <v>#VALUE!</v>
      </c>
    </row>
    <row r="13" spans="1:34" ht="15">
      <c r="A13" s="175" t="str">
        <f t="shared" si="7"/>
        <v>U75X40X2,65</v>
      </c>
      <c r="B13" s="176">
        <v>75</v>
      </c>
      <c r="C13" s="176">
        <v>40</v>
      </c>
      <c r="D13" s="177">
        <v>2.65</v>
      </c>
      <c r="E13" s="175" t="str">
        <f t="shared" si="8"/>
        <v>L50X2,65</v>
      </c>
      <c r="F13" s="176">
        <v>50</v>
      </c>
      <c r="G13" s="177">
        <v>2.65</v>
      </c>
      <c r="H13" s="175" t="str">
        <f t="shared" si="9"/>
        <v>2L50X2,65</v>
      </c>
      <c r="I13" s="176">
        <v>50</v>
      </c>
      <c r="J13" s="178">
        <v>2.65</v>
      </c>
      <c r="K13" s="175" t="str">
        <f t="shared" si="10"/>
        <v>TB28,6X2,25</v>
      </c>
      <c r="L13" s="176">
        <v>28.58</v>
      </c>
      <c r="M13" s="177">
        <v>2.25</v>
      </c>
      <c r="O13" s="175" t="str">
        <f t="shared" si="0"/>
        <v>U125X50X1,2</v>
      </c>
      <c r="P13" s="176">
        <v>125</v>
      </c>
      <c r="Q13" s="176">
        <v>50</v>
      </c>
      <c r="R13" s="177">
        <v>1.2</v>
      </c>
      <c r="S13" s="173" t="e">
        <f t="shared" si="1"/>
        <v>#VALUE!</v>
      </c>
      <c r="T13" s="174"/>
      <c r="U13" s="175" t="str">
        <f t="shared" si="2"/>
        <v>L60X2</v>
      </c>
      <c r="V13" s="176">
        <v>60</v>
      </c>
      <c r="W13" s="177">
        <v>2</v>
      </c>
      <c r="X13" s="173" t="e">
        <f t="shared" si="3"/>
        <v>#VALUE!</v>
      </c>
      <c r="Y13" s="174"/>
      <c r="Z13" s="175" t="str">
        <f t="shared" si="4"/>
        <v>2L60X2</v>
      </c>
      <c r="AA13" s="176">
        <v>60</v>
      </c>
      <c r="AB13" s="177">
        <v>2</v>
      </c>
      <c r="AC13" s="173" t="e">
        <f t="shared" si="11"/>
        <v>#VALUE!</v>
      </c>
      <c r="AE13" s="175" t="str">
        <f t="shared" si="5"/>
        <v>TB25,4X2,65</v>
      </c>
      <c r="AF13" s="176">
        <v>25.4</v>
      </c>
      <c r="AG13" s="177">
        <v>2.65</v>
      </c>
      <c r="AH13" s="173" t="e">
        <f t="shared" si="6"/>
        <v>#VALUE!</v>
      </c>
    </row>
    <row r="14" spans="1:34" ht="15">
      <c r="A14" s="175" t="str">
        <f t="shared" si="7"/>
        <v>U75X40X3</v>
      </c>
      <c r="B14" s="176">
        <v>75</v>
      </c>
      <c r="C14" s="176">
        <v>40</v>
      </c>
      <c r="D14" s="177">
        <v>3</v>
      </c>
      <c r="E14" s="175" t="str">
        <f t="shared" si="8"/>
        <v>L50X3</v>
      </c>
      <c r="F14" s="176">
        <v>50</v>
      </c>
      <c r="G14" s="177">
        <v>3</v>
      </c>
      <c r="H14" s="175" t="str">
        <f t="shared" si="9"/>
        <v>2L50X3</v>
      </c>
      <c r="I14" s="176">
        <v>50</v>
      </c>
      <c r="J14" s="178">
        <v>3</v>
      </c>
      <c r="K14" s="175" t="str">
        <f t="shared" si="10"/>
        <v>TB28,6X2,65</v>
      </c>
      <c r="L14" s="176">
        <v>28.58</v>
      </c>
      <c r="M14" s="177">
        <v>2.65</v>
      </c>
      <c r="O14" s="175" t="str">
        <f t="shared" si="0"/>
        <v>U50X25X3</v>
      </c>
      <c r="P14" s="176">
        <v>50</v>
      </c>
      <c r="Q14" s="176">
        <v>25</v>
      </c>
      <c r="R14" s="177">
        <v>3</v>
      </c>
      <c r="S14" s="173" t="e">
        <f t="shared" si="1"/>
        <v>#VALUE!</v>
      </c>
      <c r="T14" s="174"/>
      <c r="U14" s="175" t="str">
        <f t="shared" si="2"/>
        <v>L50X2,65</v>
      </c>
      <c r="V14" s="176">
        <v>50</v>
      </c>
      <c r="W14" s="177">
        <v>2.65</v>
      </c>
      <c r="X14" s="173" t="e">
        <f t="shared" si="3"/>
        <v>#VALUE!</v>
      </c>
      <c r="Y14" s="174"/>
      <c r="Z14" s="175" t="str">
        <f t="shared" si="4"/>
        <v>2L50X2,65</v>
      </c>
      <c r="AA14" s="176">
        <v>50</v>
      </c>
      <c r="AB14" s="177">
        <v>2.65</v>
      </c>
      <c r="AC14" s="173" t="e">
        <f t="shared" si="11"/>
        <v>#VALUE!</v>
      </c>
      <c r="AE14" s="175" t="str">
        <f t="shared" si="5"/>
        <v>TB35X2</v>
      </c>
      <c r="AF14" s="176">
        <v>34.93</v>
      </c>
      <c r="AG14" s="177">
        <v>2</v>
      </c>
      <c r="AH14" s="173" t="e">
        <f t="shared" si="6"/>
        <v>#VALUE!</v>
      </c>
    </row>
    <row r="15" spans="1:34" ht="15">
      <c r="A15" s="175" t="str">
        <f t="shared" si="7"/>
        <v>U75X40X3,35</v>
      </c>
      <c r="B15" s="176">
        <v>75</v>
      </c>
      <c r="C15" s="176">
        <v>40</v>
      </c>
      <c r="D15" s="177">
        <v>3.35</v>
      </c>
      <c r="E15" s="175" t="str">
        <f t="shared" si="8"/>
        <v>L50X3,35</v>
      </c>
      <c r="F15" s="176">
        <v>50</v>
      </c>
      <c r="G15" s="177">
        <v>3.35</v>
      </c>
      <c r="H15" s="175" t="str">
        <f t="shared" si="9"/>
        <v>2L50X3,35</v>
      </c>
      <c r="I15" s="176">
        <v>50</v>
      </c>
      <c r="J15" s="178">
        <v>3.35</v>
      </c>
      <c r="K15" s="175" t="str">
        <f t="shared" si="10"/>
        <v>TB28,6X3</v>
      </c>
      <c r="L15" s="176">
        <v>28.58</v>
      </c>
      <c r="M15" s="177">
        <v>3</v>
      </c>
      <c r="O15" s="175" t="str">
        <f t="shared" si="0"/>
        <v>U100X50X1,5</v>
      </c>
      <c r="P15" s="176">
        <v>100</v>
      </c>
      <c r="Q15" s="176">
        <v>50</v>
      </c>
      <c r="R15" s="177">
        <v>1.5</v>
      </c>
      <c r="S15" s="173" t="e">
        <f t="shared" si="1"/>
        <v>#VALUE!</v>
      </c>
      <c r="T15" s="174"/>
      <c r="U15" s="175" t="str">
        <f t="shared" si="2"/>
        <v>L60X2,25</v>
      </c>
      <c r="V15" s="176">
        <v>60</v>
      </c>
      <c r="W15" s="177">
        <v>2.25</v>
      </c>
      <c r="X15" s="173" t="e">
        <f t="shared" si="3"/>
        <v>#VALUE!</v>
      </c>
      <c r="Y15" s="174"/>
      <c r="Z15" s="175" t="str">
        <f t="shared" si="4"/>
        <v>2L60X2,25</v>
      </c>
      <c r="AA15" s="176">
        <v>60</v>
      </c>
      <c r="AB15" s="177">
        <v>2.25</v>
      </c>
      <c r="AC15" s="173" t="e">
        <f t="shared" si="11"/>
        <v>#VALUE!</v>
      </c>
      <c r="AE15" s="175" t="str">
        <f t="shared" si="5"/>
        <v>TB31,8X2,25</v>
      </c>
      <c r="AF15" s="176">
        <v>31.75</v>
      </c>
      <c r="AG15" s="177">
        <v>2.25</v>
      </c>
      <c r="AH15" s="173" t="e">
        <f t="shared" si="6"/>
        <v>#VALUE!</v>
      </c>
    </row>
    <row r="16" spans="1:34" ht="15">
      <c r="A16" s="175" t="str">
        <f t="shared" si="7"/>
        <v>U75X40X3,75</v>
      </c>
      <c r="B16" s="176">
        <v>75</v>
      </c>
      <c r="C16" s="176">
        <v>40</v>
      </c>
      <c r="D16" s="177">
        <v>3.75</v>
      </c>
      <c r="E16" s="175" t="str">
        <f t="shared" si="8"/>
        <v>L50X3,75</v>
      </c>
      <c r="F16" s="176">
        <v>50</v>
      </c>
      <c r="G16" s="177">
        <v>3.75</v>
      </c>
      <c r="H16" s="175" t="str">
        <f t="shared" si="9"/>
        <v>2L50X3,75</v>
      </c>
      <c r="I16" s="176">
        <v>50</v>
      </c>
      <c r="J16" s="178">
        <v>3.75</v>
      </c>
      <c r="K16" s="175" t="str">
        <f t="shared" si="10"/>
        <v>TB28,6X3,35</v>
      </c>
      <c r="L16" s="176">
        <v>28.58</v>
      </c>
      <c r="M16" s="177">
        <v>3.35</v>
      </c>
      <c r="O16" s="175" t="str">
        <f t="shared" si="0"/>
        <v>U75X40X2</v>
      </c>
      <c r="P16" s="176">
        <v>75</v>
      </c>
      <c r="Q16" s="176">
        <v>40</v>
      </c>
      <c r="R16" s="177">
        <v>2</v>
      </c>
      <c r="S16" s="173" t="e">
        <f t="shared" si="1"/>
        <v>#VALUE!</v>
      </c>
      <c r="T16" s="174"/>
      <c r="U16" s="175" t="str">
        <f t="shared" si="2"/>
        <v>L50X3</v>
      </c>
      <c r="V16" s="176">
        <v>50</v>
      </c>
      <c r="W16" s="177">
        <v>3</v>
      </c>
      <c r="X16" s="173" t="e">
        <f t="shared" si="3"/>
        <v>#VALUE!</v>
      </c>
      <c r="Y16" s="174"/>
      <c r="Z16" s="175" t="str">
        <f t="shared" si="4"/>
        <v>2L50X3</v>
      </c>
      <c r="AA16" s="176">
        <v>50</v>
      </c>
      <c r="AB16" s="177">
        <v>3</v>
      </c>
      <c r="AC16" s="173" t="e">
        <f t="shared" si="11"/>
        <v>#VALUE!</v>
      </c>
      <c r="AE16" s="175" t="str">
        <f t="shared" si="5"/>
        <v>TB25,4X3</v>
      </c>
      <c r="AF16" s="176">
        <v>25.4</v>
      </c>
      <c r="AG16" s="177">
        <v>3</v>
      </c>
      <c r="AH16" s="173" t="e">
        <f t="shared" si="6"/>
        <v>#VALUE!</v>
      </c>
    </row>
    <row r="17" spans="1:34" ht="15">
      <c r="A17" s="175" t="str">
        <f t="shared" si="7"/>
        <v>U75X40X4,25</v>
      </c>
      <c r="B17" s="176">
        <v>75</v>
      </c>
      <c r="C17" s="176">
        <v>40</v>
      </c>
      <c r="D17" s="177">
        <v>4.25</v>
      </c>
      <c r="E17" s="175" t="str">
        <f t="shared" si="8"/>
        <v>L50X4,25</v>
      </c>
      <c r="F17" s="176">
        <v>50</v>
      </c>
      <c r="G17" s="177">
        <v>4.25</v>
      </c>
      <c r="H17" s="175" t="str">
        <f t="shared" si="9"/>
        <v>2L50X4,25</v>
      </c>
      <c r="I17" s="176">
        <v>50</v>
      </c>
      <c r="J17" s="178">
        <v>4.25</v>
      </c>
      <c r="K17" s="175" t="str">
        <f t="shared" si="10"/>
        <v>TB28,6X3,75</v>
      </c>
      <c r="L17" s="176">
        <v>28.58</v>
      </c>
      <c r="M17" s="177">
        <v>3.75</v>
      </c>
      <c r="O17" s="175" t="str">
        <f t="shared" si="0"/>
        <v>U125X50X1,5</v>
      </c>
      <c r="P17" s="176">
        <v>125</v>
      </c>
      <c r="Q17" s="176">
        <v>50</v>
      </c>
      <c r="R17" s="177">
        <v>1.5</v>
      </c>
      <c r="S17" s="173" t="e">
        <f t="shared" si="1"/>
        <v>#VALUE!</v>
      </c>
      <c r="T17" s="174"/>
      <c r="U17" s="175" t="str">
        <f t="shared" si="2"/>
        <v>L60X2,65</v>
      </c>
      <c r="V17" s="176">
        <v>60</v>
      </c>
      <c r="W17" s="177">
        <v>2.65</v>
      </c>
      <c r="X17" s="173" t="e">
        <f t="shared" si="3"/>
        <v>#VALUE!</v>
      </c>
      <c r="Y17" s="174"/>
      <c r="Z17" s="175" t="str">
        <f t="shared" si="4"/>
        <v>2L60X2,65</v>
      </c>
      <c r="AA17" s="176">
        <v>60</v>
      </c>
      <c r="AB17" s="177">
        <v>2.65</v>
      </c>
      <c r="AC17" s="173" t="e">
        <f t="shared" si="11"/>
        <v>#VALUE!</v>
      </c>
      <c r="AE17" s="175" t="str">
        <f t="shared" si="5"/>
        <v>TB28,6X2,65</v>
      </c>
      <c r="AF17" s="176">
        <v>28.58</v>
      </c>
      <c r="AG17" s="177">
        <v>2.65</v>
      </c>
      <c r="AH17" s="173" t="e">
        <f t="shared" si="6"/>
        <v>#VALUE!</v>
      </c>
    </row>
    <row r="18" spans="1:34" ht="15">
      <c r="A18" s="175" t="str">
        <f t="shared" si="7"/>
        <v>U75X40X4,75</v>
      </c>
      <c r="B18" s="176">
        <v>75</v>
      </c>
      <c r="C18" s="176">
        <v>40</v>
      </c>
      <c r="D18" s="177">
        <v>4.75</v>
      </c>
      <c r="E18" s="175" t="str">
        <f t="shared" si="8"/>
        <v>L50X4,75</v>
      </c>
      <c r="F18" s="176">
        <v>50</v>
      </c>
      <c r="G18" s="177">
        <v>4.75</v>
      </c>
      <c r="H18" s="175" t="str">
        <f t="shared" si="9"/>
        <v>2L50X4,75</v>
      </c>
      <c r="I18" s="176">
        <v>50</v>
      </c>
      <c r="J18" s="178">
        <v>4.75</v>
      </c>
      <c r="K18" s="175" t="str">
        <f t="shared" si="10"/>
        <v>TB31,8X2</v>
      </c>
      <c r="L18" s="176">
        <v>31.75</v>
      </c>
      <c r="M18" s="177">
        <v>2</v>
      </c>
      <c r="O18" s="175" t="str">
        <f t="shared" si="0"/>
        <v>U75X40X2,25</v>
      </c>
      <c r="P18" s="176">
        <v>75</v>
      </c>
      <c r="Q18" s="176">
        <v>40</v>
      </c>
      <c r="R18" s="177">
        <v>2.25</v>
      </c>
      <c r="S18" s="173" t="e">
        <f t="shared" si="1"/>
        <v>#VALUE!</v>
      </c>
      <c r="T18" s="174"/>
      <c r="U18" s="175" t="str">
        <f t="shared" si="2"/>
        <v>L50X3,35</v>
      </c>
      <c r="V18" s="176">
        <v>50</v>
      </c>
      <c r="W18" s="177">
        <v>3.35</v>
      </c>
      <c r="X18" s="173" t="e">
        <f t="shared" si="3"/>
        <v>#VALUE!</v>
      </c>
      <c r="Y18" s="174"/>
      <c r="Z18" s="175" t="str">
        <f t="shared" si="4"/>
        <v>2L50X3,35</v>
      </c>
      <c r="AA18" s="176">
        <v>50</v>
      </c>
      <c r="AB18" s="177">
        <v>3.35</v>
      </c>
      <c r="AC18" s="173" t="e">
        <f t="shared" si="11"/>
        <v>#VALUE!</v>
      </c>
      <c r="AE18" s="175" t="str">
        <f t="shared" si="5"/>
        <v>TB38,1X2</v>
      </c>
      <c r="AF18" s="176">
        <v>38.1</v>
      </c>
      <c r="AG18" s="177">
        <v>2</v>
      </c>
      <c r="AH18" s="173" t="e">
        <f t="shared" si="6"/>
        <v>#VALUE!</v>
      </c>
    </row>
    <row r="19" spans="1:34" ht="15">
      <c r="A19" s="175" t="str">
        <f t="shared" si="7"/>
        <v>U100X40X1,2</v>
      </c>
      <c r="B19" s="176">
        <v>100</v>
      </c>
      <c r="C19" s="176">
        <v>40</v>
      </c>
      <c r="D19" s="177">
        <v>1.2</v>
      </c>
      <c r="E19" s="175" t="str">
        <f t="shared" si="8"/>
        <v>L50X6,3</v>
      </c>
      <c r="F19" s="176">
        <v>50</v>
      </c>
      <c r="G19" s="177">
        <v>6.3</v>
      </c>
      <c r="H19" s="175" t="str">
        <f t="shared" si="9"/>
        <v>2L50X6,3</v>
      </c>
      <c r="I19" s="176">
        <v>50</v>
      </c>
      <c r="J19" s="178">
        <v>6.3</v>
      </c>
      <c r="K19" s="175" t="str">
        <f t="shared" si="10"/>
        <v>TB31,8X2,25</v>
      </c>
      <c r="L19" s="176">
        <v>31.75</v>
      </c>
      <c r="M19" s="177">
        <v>2.25</v>
      </c>
      <c r="O19" s="175" t="str">
        <f t="shared" si="0"/>
        <v>U100X40X2</v>
      </c>
      <c r="P19" s="176">
        <v>100</v>
      </c>
      <c r="Q19" s="176">
        <v>40</v>
      </c>
      <c r="R19" s="177">
        <v>2</v>
      </c>
      <c r="S19" s="173" t="e">
        <f t="shared" si="1"/>
        <v>#VALUE!</v>
      </c>
      <c r="T19" s="174"/>
      <c r="U19" s="175" t="str">
        <f t="shared" si="2"/>
        <v>L60X3</v>
      </c>
      <c r="V19" s="176">
        <v>60</v>
      </c>
      <c r="W19" s="177">
        <v>3</v>
      </c>
      <c r="X19" s="173" t="e">
        <f t="shared" si="3"/>
        <v>#VALUE!</v>
      </c>
      <c r="Y19" s="174"/>
      <c r="Z19" s="175" t="str">
        <f t="shared" si="4"/>
        <v>2L60X3</v>
      </c>
      <c r="AA19" s="176">
        <v>60</v>
      </c>
      <c r="AB19" s="177">
        <v>3</v>
      </c>
      <c r="AC19" s="173" t="e">
        <f t="shared" si="11"/>
        <v>#VALUE!</v>
      </c>
      <c r="AE19" s="175" t="str">
        <f t="shared" si="5"/>
        <v>TB35X2,25</v>
      </c>
      <c r="AF19" s="176">
        <v>34.93</v>
      </c>
      <c r="AG19" s="177">
        <v>2.25</v>
      </c>
      <c r="AH19" s="173" t="e">
        <f t="shared" si="6"/>
        <v>#VALUE!</v>
      </c>
    </row>
    <row r="20" spans="1:34" ht="15">
      <c r="A20" s="175" t="str">
        <f t="shared" si="7"/>
        <v>U100X40X1,5</v>
      </c>
      <c r="B20" s="176">
        <v>100</v>
      </c>
      <c r="C20" s="176">
        <v>40</v>
      </c>
      <c r="D20" s="177">
        <v>1.5</v>
      </c>
      <c r="E20" s="175" t="str">
        <f t="shared" si="8"/>
        <v>L60X2</v>
      </c>
      <c r="F20" s="176">
        <v>60</v>
      </c>
      <c r="G20" s="177">
        <v>2</v>
      </c>
      <c r="H20" s="175" t="str">
        <f t="shared" si="9"/>
        <v>2L60X2</v>
      </c>
      <c r="I20" s="176">
        <v>60</v>
      </c>
      <c r="J20" s="178">
        <v>2</v>
      </c>
      <c r="K20" s="175" t="str">
        <f t="shared" si="10"/>
        <v>TB31,8X2,65</v>
      </c>
      <c r="L20" s="176">
        <v>31.75</v>
      </c>
      <c r="M20" s="177">
        <v>2.65</v>
      </c>
      <c r="O20" s="175" t="str">
        <f t="shared" si="0"/>
        <v>U100X50X2</v>
      </c>
      <c r="P20" s="176">
        <v>100</v>
      </c>
      <c r="Q20" s="176">
        <v>50</v>
      </c>
      <c r="R20" s="177">
        <v>2</v>
      </c>
      <c r="S20" s="173" t="e">
        <f t="shared" si="1"/>
        <v>#VALUE!</v>
      </c>
      <c r="T20" s="174"/>
      <c r="U20" s="175" t="str">
        <f t="shared" si="2"/>
        <v>L50X3,75</v>
      </c>
      <c r="V20" s="176">
        <v>50</v>
      </c>
      <c r="W20" s="177">
        <v>3.75</v>
      </c>
      <c r="X20" s="173" t="e">
        <f t="shared" si="3"/>
        <v>#VALUE!</v>
      </c>
      <c r="Y20" s="174"/>
      <c r="Z20" s="175" t="str">
        <f t="shared" si="4"/>
        <v>2L50X3,75</v>
      </c>
      <c r="AA20" s="176">
        <v>50</v>
      </c>
      <c r="AB20" s="177">
        <v>3.75</v>
      </c>
      <c r="AC20" s="173" t="e">
        <f t="shared" si="11"/>
        <v>#VALUE!</v>
      </c>
      <c r="AE20" s="175" t="str">
        <f t="shared" si="5"/>
        <v>TB28,6X3</v>
      </c>
      <c r="AF20" s="176">
        <v>28.58</v>
      </c>
      <c r="AG20" s="177">
        <v>3</v>
      </c>
      <c r="AH20" s="173" t="e">
        <f t="shared" si="6"/>
        <v>#VALUE!</v>
      </c>
    </row>
    <row r="21" spans="1:34" ht="15">
      <c r="A21" s="175" t="str">
        <f t="shared" si="7"/>
        <v>U100X40X2</v>
      </c>
      <c r="B21" s="176">
        <v>100</v>
      </c>
      <c r="C21" s="176">
        <v>40</v>
      </c>
      <c r="D21" s="177">
        <v>2</v>
      </c>
      <c r="E21" s="175" t="str">
        <f t="shared" si="8"/>
        <v>L60X2,25</v>
      </c>
      <c r="F21" s="176">
        <v>60</v>
      </c>
      <c r="G21" s="177">
        <v>2.25</v>
      </c>
      <c r="H21" s="175" t="str">
        <f t="shared" si="9"/>
        <v>2L60X2,25</v>
      </c>
      <c r="I21" s="176">
        <v>60</v>
      </c>
      <c r="J21" s="178">
        <v>2.25</v>
      </c>
      <c r="K21" s="175" t="str">
        <f t="shared" si="10"/>
        <v>TB31,8X3</v>
      </c>
      <c r="L21" s="176">
        <v>31.75</v>
      </c>
      <c r="M21" s="177">
        <v>3</v>
      </c>
      <c r="O21" s="175" t="str">
        <f t="shared" si="0"/>
        <v>U75X40X2,65</v>
      </c>
      <c r="P21" s="176">
        <v>75</v>
      </c>
      <c r="Q21" s="176">
        <v>40</v>
      </c>
      <c r="R21" s="177">
        <v>2.65</v>
      </c>
      <c r="S21" s="173" t="e">
        <f t="shared" si="1"/>
        <v>#VALUE!</v>
      </c>
      <c r="T21" s="174"/>
      <c r="U21" s="175" t="str">
        <f t="shared" si="2"/>
        <v>L60X3,35</v>
      </c>
      <c r="V21" s="176">
        <v>60</v>
      </c>
      <c r="W21" s="177">
        <v>3.35</v>
      </c>
      <c r="X21" s="173" t="e">
        <f t="shared" si="3"/>
        <v>#VALUE!</v>
      </c>
      <c r="Y21" s="174"/>
      <c r="Z21" s="175" t="str">
        <f t="shared" si="4"/>
        <v>2L60X3,35</v>
      </c>
      <c r="AA21" s="176">
        <v>60</v>
      </c>
      <c r="AB21" s="177">
        <v>3.35</v>
      </c>
      <c r="AC21" s="173" t="e">
        <f t="shared" si="11"/>
        <v>#VALUE!</v>
      </c>
      <c r="AE21" s="175" t="str">
        <f t="shared" si="5"/>
        <v>TB31,8X2,65</v>
      </c>
      <c r="AF21" s="176">
        <v>31.75</v>
      </c>
      <c r="AG21" s="177">
        <v>2.65</v>
      </c>
      <c r="AH21" s="173" t="e">
        <f t="shared" si="6"/>
        <v>#VALUE!</v>
      </c>
    </row>
    <row r="22" spans="1:34" ht="15">
      <c r="A22" s="175" t="str">
        <f t="shared" si="7"/>
        <v>U100X40X2,25</v>
      </c>
      <c r="B22" s="176">
        <v>100</v>
      </c>
      <c r="C22" s="176">
        <v>40</v>
      </c>
      <c r="D22" s="177">
        <v>2.25</v>
      </c>
      <c r="E22" s="175" t="str">
        <f t="shared" si="8"/>
        <v>L60X2,65</v>
      </c>
      <c r="F22" s="176">
        <v>60</v>
      </c>
      <c r="G22" s="177">
        <v>2.65</v>
      </c>
      <c r="H22" s="175" t="str">
        <f t="shared" si="9"/>
        <v>2L60X2,65</v>
      </c>
      <c r="I22" s="176">
        <v>60</v>
      </c>
      <c r="J22" s="178">
        <v>2.65</v>
      </c>
      <c r="K22" s="175" t="str">
        <f t="shared" si="10"/>
        <v>TB31,8X3,35</v>
      </c>
      <c r="L22" s="176">
        <v>31.75</v>
      </c>
      <c r="M22" s="177">
        <v>3.35</v>
      </c>
      <c r="O22" s="175" t="str">
        <f t="shared" si="0"/>
        <v>U100X40X2,25</v>
      </c>
      <c r="P22" s="176">
        <v>100</v>
      </c>
      <c r="Q22" s="176">
        <v>40</v>
      </c>
      <c r="R22" s="177">
        <v>2.25</v>
      </c>
      <c r="S22" s="173" t="e">
        <f t="shared" si="1"/>
        <v>#VALUE!</v>
      </c>
      <c r="T22" s="174"/>
      <c r="U22" s="175" t="str">
        <f t="shared" si="2"/>
        <v>L50X4,25</v>
      </c>
      <c r="V22" s="176">
        <v>50</v>
      </c>
      <c r="W22" s="177">
        <v>4.25</v>
      </c>
      <c r="X22" s="173" t="e">
        <f t="shared" si="3"/>
        <v>#VALUE!</v>
      </c>
      <c r="Y22" s="174"/>
      <c r="Z22" s="175" t="str">
        <f t="shared" si="4"/>
        <v>2L50X4,25</v>
      </c>
      <c r="AA22" s="176">
        <v>50</v>
      </c>
      <c r="AB22" s="177">
        <v>4.25</v>
      </c>
      <c r="AC22" s="173" t="e">
        <f t="shared" si="11"/>
        <v>#VALUE!</v>
      </c>
      <c r="AE22" s="175" t="str">
        <f t="shared" si="5"/>
        <v>TB38,1X2,25</v>
      </c>
      <c r="AF22" s="176">
        <v>38.1</v>
      </c>
      <c r="AG22" s="177">
        <v>2.25</v>
      </c>
      <c r="AH22" s="173" t="e">
        <f t="shared" si="6"/>
        <v>#VALUE!</v>
      </c>
    </row>
    <row r="23" spans="1:34" ht="15">
      <c r="A23" s="175" t="str">
        <f t="shared" si="7"/>
        <v>U100X40X2,65</v>
      </c>
      <c r="B23" s="176">
        <v>100</v>
      </c>
      <c r="C23" s="176">
        <v>40</v>
      </c>
      <c r="D23" s="177">
        <v>2.65</v>
      </c>
      <c r="E23" s="175" t="str">
        <f t="shared" si="8"/>
        <v>L60X3</v>
      </c>
      <c r="F23" s="176">
        <v>60</v>
      </c>
      <c r="G23" s="177">
        <v>3</v>
      </c>
      <c r="H23" s="175" t="str">
        <f t="shared" si="9"/>
        <v>2L60X3</v>
      </c>
      <c r="I23" s="176">
        <v>60</v>
      </c>
      <c r="J23" s="178">
        <v>3</v>
      </c>
      <c r="K23" s="175" t="str">
        <f t="shared" si="10"/>
        <v>TB31,8X3,75</v>
      </c>
      <c r="L23" s="176">
        <v>31.75</v>
      </c>
      <c r="M23" s="177">
        <v>3.75</v>
      </c>
      <c r="O23" s="175" t="str">
        <f t="shared" si="0"/>
        <v>U100X50X2,25</v>
      </c>
      <c r="P23" s="176">
        <v>100</v>
      </c>
      <c r="Q23" s="176">
        <v>50</v>
      </c>
      <c r="R23" s="177">
        <v>2.25</v>
      </c>
      <c r="S23" s="173" t="e">
        <f t="shared" si="1"/>
        <v>#VALUE!</v>
      </c>
      <c r="T23" s="174"/>
      <c r="U23" s="175" t="str">
        <f t="shared" si="2"/>
        <v>L60X3,75</v>
      </c>
      <c r="V23" s="176">
        <v>60</v>
      </c>
      <c r="W23" s="177">
        <v>3.75</v>
      </c>
      <c r="X23" s="173" t="e">
        <f t="shared" si="3"/>
        <v>#VALUE!</v>
      </c>
      <c r="Y23" s="174"/>
      <c r="Z23" s="175" t="str">
        <f t="shared" si="4"/>
        <v>2L60X3,75</v>
      </c>
      <c r="AA23" s="176">
        <v>60</v>
      </c>
      <c r="AB23" s="177">
        <v>3.75</v>
      </c>
      <c r="AC23" s="173" t="e">
        <f t="shared" si="11"/>
        <v>#VALUE!</v>
      </c>
      <c r="AE23" s="175" t="str">
        <f t="shared" si="5"/>
        <v>TB28,6X3,35</v>
      </c>
      <c r="AF23" s="176">
        <v>28.58</v>
      </c>
      <c r="AG23" s="177">
        <v>3.35</v>
      </c>
      <c r="AH23" s="173" t="e">
        <f t="shared" si="6"/>
        <v>#VALUE!</v>
      </c>
    </row>
    <row r="24" spans="1:34" ht="15">
      <c r="A24" s="175" t="str">
        <f t="shared" si="7"/>
        <v>U100X40X3</v>
      </c>
      <c r="B24" s="176">
        <v>100</v>
      </c>
      <c r="C24" s="176">
        <v>40</v>
      </c>
      <c r="D24" s="177">
        <v>3</v>
      </c>
      <c r="E24" s="175" t="str">
        <f t="shared" si="8"/>
        <v>L60X3,35</v>
      </c>
      <c r="F24" s="176">
        <v>60</v>
      </c>
      <c r="G24" s="177">
        <v>3.35</v>
      </c>
      <c r="H24" s="175" t="str">
        <f t="shared" si="9"/>
        <v>2L60X3,35</v>
      </c>
      <c r="I24" s="176">
        <v>60</v>
      </c>
      <c r="J24" s="178">
        <v>3.35</v>
      </c>
      <c r="K24" s="175" t="str">
        <f t="shared" si="10"/>
        <v>TB35X2</v>
      </c>
      <c r="L24" s="176">
        <v>34.93</v>
      </c>
      <c r="M24" s="177">
        <v>2</v>
      </c>
      <c r="O24" s="175" t="str">
        <f t="shared" si="0"/>
        <v>U75X40X3</v>
      </c>
      <c r="P24" s="176">
        <v>75</v>
      </c>
      <c r="Q24" s="176">
        <v>40</v>
      </c>
      <c r="R24" s="177">
        <v>3</v>
      </c>
      <c r="S24" s="173" t="e">
        <f t="shared" si="1"/>
        <v>#VALUE!</v>
      </c>
      <c r="T24" s="174"/>
      <c r="U24" s="175" t="str">
        <f t="shared" si="2"/>
        <v>L50X4,75</v>
      </c>
      <c r="V24" s="176">
        <v>50</v>
      </c>
      <c r="W24" s="177">
        <v>4.75</v>
      </c>
      <c r="X24" s="173" t="e">
        <f t="shared" si="3"/>
        <v>#VALUE!</v>
      </c>
      <c r="Y24" s="174"/>
      <c r="Z24" s="175" t="str">
        <f t="shared" si="4"/>
        <v>2L50X4,75</v>
      </c>
      <c r="AA24" s="176">
        <v>50</v>
      </c>
      <c r="AB24" s="177">
        <v>4.75</v>
      </c>
      <c r="AC24" s="173" t="e">
        <f t="shared" si="11"/>
        <v>#VALUE!</v>
      </c>
      <c r="AE24" s="175" t="str">
        <f t="shared" si="5"/>
        <v>TB44,5X2</v>
      </c>
      <c r="AF24" s="176">
        <v>44.45</v>
      </c>
      <c r="AG24" s="177">
        <v>2</v>
      </c>
      <c r="AH24" s="173" t="e">
        <f t="shared" si="6"/>
        <v>#VALUE!</v>
      </c>
    </row>
    <row r="25" spans="1:34" ht="15">
      <c r="A25" s="175" t="str">
        <f t="shared" si="7"/>
        <v>U100X40X3,35</v>
      </c>
      <c r="B25" s="176">
        <v>100</v>
      </c>
      <c r="C25" s="176">
        <v>40</v>
      </c>
      <c r="D25" s="177">
        <v>3.35</v>
      </c>
      <c r="E25" s="175" t="str">
        <f t="shared" si="8"/>
        <v>L60X3,75</v>
      </c>
      <c r="F25" s="176">
        <v>60</v>
      </c>
      <c r="G25" s="177">
        <v>3.75</v>
      </c>
      <c r="H25" s="175" t="str">
        <f t="shared" si="9"/>
        <v>2L60X3,75</v>
      </c>
      <c r="I25" s="176">
        <v>60</v>
      </c>
      <c r="J25" s="178">
        <v>3.75</v>
      </c>
      <c r="K25" s="175" t="str">
        <f t="shared" si="10"/>
        <v>TB35X2,25</v>
      </c>
      <c r="L25" s="176">
        <v>34.93</v>
      </c>
      <c r="M25" s="177">
        <v>2.25</v>
      </c>
      <c r="O25" s="175" t="str">
        <f t="shared" si="0"/>
        <v>U125X50X2</v>
      </c>
      <c r="P25" s="176">
        <v>125</v>
      </c>
      <c r="Q25" s="176">
        <v>50</v>
      </c>
      <c r="R25" s="177">
        <v>2</v>
      </c>
      <c r="S25" s="173" t="e">
        <f t="shared" si="1"/>
        <v>#VALUE!</v>
      </c>
      <c r="T25" s="174"/>
      <c r="U25" s="175" t="str">
        <f t="shared" si="2"/>
        <v>L80X3</v>
      </c>
      <c r="V25" s="176">
        <v>80</v>
      </c>
      <c r="W25" s="177">
        <v>3</v>
      </c>
      <c r="X25" s="173" t="e">
        <f t="shared" si="3"/>
        <v>#VALUE!</v>
      </c>
      <c r="Y25" s="174"/>
      <c r="Z25" s="175" t="str">
        <f t="shared" si="4"/>
        <v>2L80X3</v>
      </c>
      <c r="AA25" s="176">
        <v>80</v>
      </c>
      <c r="AB25" s="177">
        <v>3</v>
      </c>
      <c r="AC25" s="173" t="e">
        <f t="shared" si="11"/>
        <v>#VALUE!</v>
      </c>
      <c r="AE25" s="175" t="str">
        <f t="shared" si="5"/>
        <v>TB35X2,65</v>
      </c>
      <c r="AF25" s="176">
        <v>34.93</v>
      </c>
      <c r="AG25" s="177">
        <v>2.65</v>
      </c>
      <c r="AH25" s="173" t="e">
        <f t="shared" si="6"/>
        <v>#VALUE!</v>
      </c>
    </row>
    <row r="26" spans="1:34" ht="15">
      <c r="A26" s="175" t="str">
        <f t="shared" si="7"/>
        <v>U100X40X3,75</v>
      </c>
      <c r="B26" s="176">
        <v>100</v>
      </c>
      <c r="C26" s="176">
        <v>40</v>
      </c>
      <c r="D26" s="177">
        <v>3.75</v>
      </c>
      <c r="E26" s="175" t="str">
        <f t="shared" si="8"/>
        <v>L60X4,25</v>
      </c>
      <c r="F26" s="176">
        <v>60</v>
      </c>
      <c r="G26" s="177">
        <v>4.25</v>
      </c>
      <c r="H26" s="175" t="str">
        <f t="shared" si="9"/>
        <v>2L60X4,25</v>
      </c>
      <c r="I26" s="176">
        <v>60</v>
      </c>
      <c r="J26" s="178">
        <v>4.25</v>
      </c>
      <c r="K26" s="175" t="str">
        <f t="shared" si="10"/>
        <v>TB35X2,65</v>
      </c>
      <c r="L26" s="176">
        <v>34.93</v>
      </c>
      <c r="M26" s="177">
        <v>2.65</v>
      </c>
      <c r="O26" s="175" t="str">
        <f t="shared" si="0"/>
        <v>U100X40X2,65</v>
      </c>
      <c r="P26" s="176">
        <v>100</v>
      </c>
      <c r="Q26" s="176">
        <v>40</v>
      </c>
      <c r="R26" s="177">
        <v>2.65</v>
      </c>
      <c r="S26" s="173" t="e">
        <f t="shared" si="1"/>
        <v>#VALUE!</v>
      </c>
      <c r="T26" s="174"/>
      <c r="U26" s="175" t="str">
        <f t="shared" si="2"/>
        <v>L60X4,25</v>
      </c>
      <c r="V26" s="176">
        <v>60</v>
      </c>
      <c r="W26" s="177">
        <v>4.25</v>
      </c>
      <c r="X26" s="173" t="e">
        <f t="shared" si="3"/>
        <v>#VALUE!</v>
      </c>
      <c r="Y26" s="174"/>
      <c r="Z26" s="175" t="str">
        <f t="shared" si="4"/>
        <v>2L60X4,25</v>
      </c>
      <c r="AA26" s="176">
        <v>60</v>
      </c>
      <c r="AB26" s="177">
        <v>4.25</v>
      </c>
      <c r="AC26" s="173" t="e">
        <f t="shared" si="11"/>
        <v>#VALUE!</v>
      </c>
      <c r="AE26" s="175" t="str">
        <f t="shared" si="5"/>
        <v>TB31,8X3</v>
      </c>
      <c r="AF26" s="176">
        <v>31.75</v>
      </c>
      <c r="AG26" s="177">
        <v>3</v>
      </c>
      <c r="AH26" s="173" t="e">
        <f t="shared" si="6"/>
        <v>#VALUE!</v>
      </c>
    </row>
    <row r="27" spans="1:34" ht="15">
      <c r="A27" s="175" t="str">
        <f t="shared" si="7"/>
        <v>U100X40X4,25</v>
      </c>
      <c r="B27" s="176">
        <v>100</v>
      </c>
      <c r="C27" s="176">
        <v>40</v>
      </c>
      <c r="D27" s="177">
        <v>4.25</v>
      </c>
      <c r="E27" s="175" t="str">
        <f t="shared" si="8"/>
        <v>L60X4,75</v>
      </c>
      <c r="F27" s="176">
        <v>60</v>
      </c>
      <c r="G27" s="177">
        <v>4.75</v>
      </c>
      <c r="H27" s="175" t="str">
        <f t="shared" si="9"/>
        <v>2L60X4,75</v>
      </c>
      <c r="I27" s="176">
        <v>60</v>
      </c>
      <c r="J27" s="178">
        <v>4.75</v>
      </c>
      <c r="K27" s="175" t="str">
        <f t="shared" si="10"/>
        <v>TB35X3</v>
      </c>
      <c r="L27" s="176">
        <v>34.93</v>
      </c>
      <c r="M27" s="177">
        <v>3</v>
      </c>
      <c r="O27" s="175" t="str">
        <f t="shared" si="0"/>
        <v>U75X40X3,35</v>
      </c>
      <c r="P27" s="176">
        <v>75</v>
      </c>
      <c r="Q27" s="176">
        <v>40</v>
      </c>
      <c r="R27" s="177">
        <v>3.35</v>
      </c>
      <c r="S27" s="173" t="e">
        <f t="shared" si="1"/>
        <v>#VALUE!</v>
      </c>
      <c r="T27" s="174"/>
      <c r="U27" s="175" t="str">
        <f t="shared" si="2"/>
        <v>L80X3,35</v>
      </c>
      <c r="V27" s="176">
        <v>80</v>
      </c>
      <c r="W27" s="177">
        <v>3.35</v>
      </c>
      <c r="X27" s="173" t="e">
        <f t="shared" si="3"/>
        <v>#VALUE!</v>
      </c>
      <c r="Y27" s="174"/>
      <c r="Z27" s="175" t="str">
        <f t="shared" si="4"/>
        <v>2L80X3,35</v>
      </c>
      <c r="AA27" s="176">
        <v>80</v>
      </c>
      <c r="AB27" s="177">
        <v>3.35</v>
      </c>
      <c r="AC27" s="173" t="e">
        <f t="shared" si="11"/>
        <v>#VALUE!</v>
      </c>
      <c r="AE27" s="175" t="str">
        <f t="shared" si="5"/>
        <v>TB28,6X3,75</v>
      </c>
      <c r="AF27" s="176">
        <v>28.58</v>
      </c>
      <c r="AG27" s="177">
        <v>3.75</v>
      </c>
      <c r="AH27" s="173" t="e">
        <f t="shared" si="6"/>
        <v>#VALUE!</v>
      </c>
    </row>
    <row r="28" spans="1:34" ht="15">
      <c r="A28" s="175" t="str">
        <f t="shared" si="7"/>
        <v>U100X40X4,75</v>
      </c>
      <c r="B28" s="176">
        <v>100</v>
      </c>
      <c r="C28" s="176">
        <v>40</v>
      </c>
      <c r="D28" s="177">
        <v>4.75</v>
      </c>
      <c r="E28" s="175" t="str">
        <f t="shared" si="8"/>
        <v>L60X6,3</v>
      </c>
      <c r="F28" s="176">
        <v>60</v>
      </c>
      <c r="G28" s="177">
        <v>6.3</v>
      </c>
      <c r="H28" s="175" t="str">
        <f t="shared" si="9"/>
        <v>2L60X6,3</v>
      </c>
      <c r="I28" s="176">
        <v>60</v>
      </c>
      <c r="J28" s="178">
        <v>6.3</v>
      </c>
      <c r="K28" s="175" t="str">
        <f t="shared" si="10"/>
        <v>TB35X3,35</v>
      </c>
      <c r="L28" s="176">
        <v>34.93</v>
      </c>
      <c r="M28" s="177">
        <v>3.35</v>
      </c>
      <c r="O28" s="175" t="str">
        <f t="shared" si="0"/>
        <v>U150X50X2</v>
      </c>
      <c r="P28" s="176">
        <v>150</v>
      </c>
      <c r="Q28" s="176">
        <v>50</v>
      </c>
      <c r="R28" s="177">
        <v>2</v>
      </c>
      <c r="S28" s="173" t="e">
        <f t="shared" si="1"/>
        <v>#VALUE!</v>
      </c>
      <c r="T28" s="174"/>
      <c r="U28" s="175" t="str">
        <f t="shared" si="2"/>
        <v>L60X4,75</v>
      </c>
      <c r="V28" s="176">
        <v>60</v>
      </c>
      <c r="W28" s="177">
        <v>4.75</v>
      </c>
      <c r="X28" s="173" t="e">
        <f t="shared" si="3"/>
        <v>#VALUE!</v>
      </c>
      <c r="Y28" s="174"/>
      <c r="Z28" s="175" t="str">
        <f t="shared" si="4"/>
        <v>2L60X4,75</v>
      </c>
      <c r="AA28" s="176">
        <v>60</v>
      </c>
      <c r="AB28" s="177">
        <v>4.75</v>
      </c>
      <c r="AC28" s="173" t="e">
        <f t="shared" si="11"/>
        <v>#VALUE!</v>
      </c>
      <c r="AE28" s="175" t="str">
        <f t="shared" si="5"/>
        <v>TB38,1X2,65</v>
      </c>
      <c r="AF28" s="176">
        <v>38.1</v>
      </c>
      <c r="AG28" s="177">
        <v>2.65</v>
      </c>
      <c r="AH28" s="173" t="e">
        <f t="shared" si="6"/>
        <v>#VALUE!</v>
      </c>
    </row>
    <row r="29" spans="1:34" ht="15">
      <c r="A29" s="175" t="str">
        <f t="shared" si="7"/>
        <v>U100X40X6,3</v>
      </c>
      <c r="B29" s="176">
        <v>100</v>
      </c>
      <c r="C29" s="176">
        <v>40</v>
      </c>
      <c r="D29" s="177">
        <v>6.3</v>
      </c>
      <c r="E29" s="175" t="str">
        <f t="shared" si="8"/>
        <v>L80X3</v>
      </c>
      <c r="F29" s="176">
        <v>80</v>
      </c>
      <c r="G29" s="177">
        <v>3</v>
      </c>
      <c r="H29" s="175" t="str">
        <f t="shared" si="9"/>
        <v>2L80X3</v>
      </c>
      <c r="I29" s="176">
        <v>80</v>
      </c>
      <c r="J29" s="178">
        <v>3</v>
      </c>
      <c r="K29" s="175" t="str">
        <f t="shared" si="10"/>
        <v>TB35X3,75</v>
      </c>
      <c r="L29" s="176">
        <v>34.93</v>
      </c>
      <c r="M29" s="177">
        <v>3.75</v>
      </c>
      <c r="O29" s="175" t="str">
        <f t="shared" si="0"/>
        <v>U125X50X2,25</v>
      </c>
      <c r="P29" s="176">
        <v>125</v>
      </c>
      <c r="Q29" s="176">
        <v>50</v>
      </c>
      <c r="R29" s="177">
        <v>2.25</v>
      </c>
      <c r="S29" s="173" t="e">
        <f t="shared" si="1"/>
        <v>#VALUE!</v>
      </c>
      <c r="T29" s="174"/>
      <c r="U29" s="175" t="str">
        <f t="shared" si="2"/>
        <v>L50X6,3</v>
      </c>
      <c r="V29" s="176">
        <v>50</v>
      </c>
      <c r="W29" s="177">
        <v>6.3</v>
      </c>
      <c r="X29" s="173" t="e">
        <f t="shared" si="3"/>
        <v>#VALUE!</v>
      </c>
      <c r="Y29" s="174"/>
      <c r="Z29" s="175" t="str">
        <f t="shared" si="4"/>
        <v>2L50X6,3</v>
      </c>
      <c r="AA29" s="176">
        <v>50</v>
      </c>
      <c r="AB29" s="177">
        <v>6.3</v>
      </c>
      <c r="AC29" s="173" t="e">
        <f t="shared" si="11"/>
        <v>#VALUE!</v>
      </c>
      <c r="AE29" s="175" t="str">
        <f t="shared" si="5"/>
        <v>TB44,5X2,25</v>
      </c>
      <c r="AF29" s="176">
        <v>44.45</v>
      </c>
      <c r="AG29" s="177">
        <v>2.25</v>
      </c>
      <c r="AH29" s="173" t="e">
        <f t="shared" si="6"/>
        <v>#VALUE!</v>
      </c>
    </row>
    <row r="30" spans="1:34" ht="15">
      <c r="A30" s="175" t="str">
        <f t="shared" si="7"/>
        <v>U100X50X1,2</v>
      </c>
      <c r="B30" s="176">
        <v>100</v>
      </c>
      <c r="C30" s="176">
        <v>50</v>
      </c>
      <c r="D30" s="177">
        <v>1.2</v>
      </c>
      <c r="E30" s="175" t="str">
        <f t="shared" si="8"/>
        <v>L80X3,35</v>
      </c>
      <c r="F30" s="176">
        <v>80</v>
      </c>
      <c r="G30" s="177">
        <v>3.35</v>
      </c>
      <c r="H30" s="175" t="str">
        <f t="shared" si="9"/>
        <v>2L80X3,35</v>
      </c>
      <c r="I30" s="176">
        <v>80</v>
      </c>
      <c r="J30" s="178">
        <v>3.35</v>
      </c>
      <c r="K30" s="175" t="str">
        <f t="shared" si="10"/>
        <v>TB38,1X2</v>
      </c>
      <c r="L30" s="176">
        <v>38.1</v>
      </c>
      <c r="M30" s="177">
        <v>2</v>
      </c>
      <c r="O30" s="175" t="str">
        <f t="shared" si="0"/>
        <v>U100X50X2,65</v>
      </c>
      <c r="P30" s="176">
        <v>100</v>
      </c>
      <c r="Q30" s="176">
        <v>50</v>
      </c>
      <c r="R30" s="177">
        <v>2.65</v>
      </c>
      <c r="S30" s="173" t="e">
        <f t="shared" si="1"/>
        <v>#VALUE!</v>
      </c>
      <c r="T30" s="174"/>
      <c r="U30" s="175" t="str">
        <f t="shared" si="2"/>
        <v>L80X3,75</v>
      </c>
      <c r="V30" s="176">
        <v>80</v>
      </c>
      <c r="W30" s="177">
        <v>3.75</v>
      </c>
      <c r="X30" s="173" t="e">
        <f t="shared" si="3"/>
        <v>#VALUE!</v>
      </c>
      <c r="Y30" s="174"/>
      <c r="Z30" s="175" t="str">
        <f t="shared" si="4"/>
        <v>2L80X3,75</v>
      </c>
      <c r="AA30" s="176">
        <v>80</v>
      </c>
      <c r="AB30" s="177">
        <v>3.75</v>
      </c>
      <c r="AC30" s="173" t="e">
        <f t="shared" si="11"/>
        <v>#VALUE!</v>
      </c>
      <c r="AE30" s="175" t="str">
        <f t="shared" si="5"/>
        <v>TB31,8X3,35</v>
      </c>
      <c r="AF30" s="176">
        <v>31.75</v>
      </c>
      <c r="AG30" s="177">
        <v>3.35</v>
      </c>
      <c r="AH30" s="173" t="e">
        <f t="shared" si="6"/>
        <v>#VALUE!</v>
      </c>
    </row>
    <row r="31" spans="1:34" ht="15">
      <c r="A31" s="175" t="str">
        <f t="shared" si="7"/>
        <v>U100X50X1,5</v>
      </c>
      <c r="B31" s="176">
        <v>100</v>
      </c>
      <c r="C31" s="176">
        <v>50</v>
      </c>
      <c r="D31" s="177">
        <v>1.5</v>
      </c>
      <c r="E31" s="175" t="str">
        <f t="shared" si="8"/>
        <v>L80X3,75</v>
      </c>
      <c r="F31" s="176">
        <v>80</v>
      </c>
      <c r="G31" s="177">
        <v>3.75</v>
      </c>
      <c r="H31" s="175" t="str">
        <f t="shared" si="9"/>
        <v>2L80X3,75</v>
      </c>
      <c r="I31" s="176">
        <v>80</v>
      </c>
      <c r="J31" s="178">
        <v>3.75</v>
      </c>
      <c r="K31" s="175" t="str">
        <f t="shared" si="10"/>
        <v>TB38,1X2,25</v>
      </c>
      <c r="L31" s="176">
        <v>38.1</v>
      </c>
      <c r="M31" s="177">
        <v>2.25</v>
      </c>
      <c r="O31" s="175" t="str">
        <f t="shared" si="0"/>
        <v>U100X40X3</v>
      </c>
      <c r="P31" s="176">
        <v>100</v>
      </c>
      <c r="Q31" s="176">
        <v>40</v>
      </c>
      <c r="R31" s="177">
        <v>3</v>
      </c>
      <c r="S31" s="173" t="e">
        <f t="shared" si="1"/>
        <v>#VALUE!</v>
      </c>
      <c r="T31" s="174"/>
      <c r="U31" s="175" t="str">
        <f t="shared" si="2"/>
        <v>L80X4,25</v>
      </c>
      <c r="V31" s="176">
        <v>80</v>
      </c>
      <c r="W31" s="177">
        <v>4.25</v>
      </c>
      <c r="X31" s="173" t="e">
        <f t="shared" si="3"/>
        <v>#VALUE!</v>
      </c>
      <c r="Y31" s="174"/>
      <c r="Z31" s="175" t="str">
        <f t="shared" si="4"/>
        <v>2L80X4,25</v>
      </c>
      <c r="AA31" s="176">
        <v>80</v>
      </c>
      <c r="AB31" s="177">
        <v>4.25</v>
      </c>
      <c r="AC31" s="173" t="e">
        <f t="shared" si="11"/>
        <v>#VALUE!</v>
      </c>
      <c r="AE31" s="175" t="str">
        <f t="shared" si="5"/>
        <v>TB35X3</v>
      </c>
      <c r="AF31" s="176">
        <v>34.93</v>
      </c>
      <c r="AG31" s="177">
        <v>3</v>
      </c>
      <c r="AH31" s="173" t="e">
        <f t="shared" si="6"/>
        <v>#VALUE!</v>
      </c>
    </row>
    <row r="32" spans="1:34" ht="15">
      <c r="A32" s="175" t="str">
        <f t="shared" si="7"/>
        <v>U100X50X2</v>
      </c>
      <c r="B32" s="176">
        <v>100</v>
      </c>
      <c r="C32" s="176">
        <v>50</v>
      </c>
      <c r="D32" s="177">
        <v>2</v>
      </c>
      <c r="E32" s="175" t="str">
        <f t="shared" si="8"/>
        <v>L80X4,25</v>
      </c>
      <c r="F32" s="176">
        <v>80</v>
      </c>
      <c r="G32" s="177">
        <v>4.25</v>
      </c>
      <c r="H32" s="175" t="str">
        <f t="shared" si="9"/>
        <v>2L80X4,25</v>
      </c>
      <c r="I32" s="176">
        <v>80</v>
      </c>
      <c r="J32" s="178">
        <v>4.25</v>
      </c>
      <c r="K32" s="175" t="str">
        <f t="shared" si="10"/>
        <v>TB38,1X2,65</v>
      </c>
      <c r="L32" s="176">
        <v>38.1</v>
      </c>
      <c r="M32" s="177">
        <v>2.65</v>
      </c>
      <c r="O32" s="175" t="str">
        <f t="shared" si="0"/>
        <v>U75X40X3,75</v>
      </c>
      <c r="P32" s="176">
        <v>75</v>
      </c>
      <c r="Q32" s="176">
        <v>40</v>
      </c>
      <c r="R32" s="177">
        <v>3.75</v>
      </c>
      <c r="S32" s="173" t="e">
        <f t="shared" si="1"/>
        <v>#VALUE!</v>
      </c>
      <c r="T32" s="174"/>
      <c r="U32" s="175" t="str">
        <f t="shared" si="2"/>
        <v>L60X6,3</v>
      </c>
      <c r="V32" s="176">
        <v>60</v>
      </c>
      <c r="W32" s="177">
        <v>6.3</v>
      </c>
      <c r="X32" s="173" t="e">
        <f t="shared" si="3"/>
        <v>#VALUE!</v>
      </c>
      <c r="Y32" s="174"/>
      <c r="Z32" s="175" t="str">
        <f t="shared" si="4"/>
        <v>2L60X6,3</v>
      </c>
      <c r="AA32" s="176">
        <v>60</v>
      </c>
      <c r="AB32" s="177">
        <v>6.3</v>
      </c>
      <c r="AC32" s="173" t="e">
        <f t="shared" si="11"/>
        <v>#VALUE!</v>
      </c>
      <c r="AE32" s="175" t="str">
        <f t="shared" si="5"/>
        <v>TB50,8X2</v>
      </c>
      <c r="AF32" s="176">
        <v>50.8</v>
      </c>
      <c r="AG32" s="177">
        <v>2</v>
      </c>
      <c r="AH32" s="173" t="e">
        <f t="shared" si="6"/>
        <v>#VALUE!</v>
      </c>
    </row>
    <row r="33" spans="1:34" ht="15">
      <c r="A33" s="175" t="str">
        <f t="shared" si="7"/>
        <v>U100X50X2,25</v>
      </c>
      <c r="B33" s="176">
        <v>100</v>
      </c>
      <c r="C33" s="176">
        <v>50</v>
      </c>
      <c r="D33" s="177">
        <v>2.25</v>
      </c>
      <c r="E33" s="175" t="str">
        <f t="shared" si="8"/>
        <v>L80X4,75</v>
      </c>
      <c r="F33" s="176">
        <v>80</v>
      </c>
      <c r="G33" s="177">
        <v>4.75</v>
      </c>
      <c r="H33" s="175" t="str">
        <f t="shared" si="9"/>
        <v>2L80X4,75</v>
      </c>
      <c r="I33" s="176">
        <v>80</v>
      </c>
      <c r="J33" s="178">
        <v>4.75</v>
      </c>
      <c r="K33" s="175" t="str">
        <f t="shared" si="10"/>
        <v>TB38,1X3</v>
      </c>
      <c r="L33" s="176">
        <v>38.1</v>
      </c>
      <c r="M33" s="177">
        <v>3</v>
      </c>
      <c r="O33" s="175" t="str">
        <f t="shared" si="0"/>
        <v>U150X50X2,25</v>
      </c>
      <c r="P33" s="176">
        <v>150</v>
      </c>
      <c r="Q33" s="176">
        <v>50</v>
      </c>
      <c r="R33" s="177">
        <v>2.25</v>
      </c>
      <c r="S33" s="173" t="e">
        <f t="shared" si="1"/>
        <v>#VALUE!</v>
      </c>
      <c r="T33" s="174"/>
      <c r="U33" s="175" t="str">
        <f t="shared" si="2"/>
        <v>L80X4,75</v>
      </c>
      <c r="V33" s="176">
        <v>80</v>
      </c>
      <c r="W33" s="177">
        <v>4.75</v>
      </c>
      <c r="X33" s="173" t="e">
        <f t="shared" si="3"/>
        <v>#VALUE!</v>
      </c>
      <c r="Y33" s="174"/>
      <c r="Z33" s="175" t="str">
        <f t="shared" si="4"/>
        <v>2L80X4,75</v>
      </c>
      <c r="AA33" s="176">
        <v>80</v>
      </c>
      <c r="AB33" s="177">
        <v>4.75</v>
      </c>
      <c r="AC33" s="173" t="e">
        <f t="shared" si="11"/>
        <v>#VALUE!</v>
      </c>
      <c r="AE33" s="175" t="str">
        <f t="shared" si="5"/>
        <v>TB31,8X3,75</v>
      </c>
      <c r="AF33" s="176">
        <v>31.75</v>
      </c>
      <c r="AG33" s="177">
        <v>3.75</v>
      </c>
      <c r="AH33" s="173" t="e">
        <f t="shared" si="6"/>
        <v>#VALUE!</v>
      </c>
    </row>
    <row r="34" spans="1:34" ht="15">
      <c r="A34" s="175" t="str">
        <f t="shared" si="7"/>
        <v>U100X50X2,65</v>
      </c>
      <c r="B34" s="176">
        <v>100</v>
      </c>
      <c r="C34" s="176">
        <v>50</v>
      </c>
      <c r="D34" s="177">
        <v>2.65</v>
      </c>
      <c r="E34" s="175" t="str">
        <f t="shared" si="8"/>
        <v>L80X6,3</v>
      </c>
      <c r="F34" s="176">
        <v>80</v>
      </c>
      <c r="G34" s="177">
        <v>6.3</v>
      </c>
      <c r="H34" s="175" t="str">
        <f t="shared" si="9"/>
        <v>2L80X6,3</v>
      </c>
      <c r="I34" s="176">
        <v>80</v>
      </c>
      <c r="J34" s="178">
        <v>6.3</v>
      </c>
      <c r="K34" s="175" t="str">
        <f t="shared" si="10"/>
        <v>TB38,1X3,35</v>
      </c>
      <c r="L34" s="176">
        <v>38.1</v>
      </c>
      <c r="M34" s="177">
        <v>3.35</v>
      </c>
      <c r="O34" s="175" t="str">
        <f t="shared" si="0"/>
        <v>U100X40X3,35</v>
      </c>
      <c r="P34" s="176">
        <v>100</v>
      </c>
      <c r="Q34" s="176">
        <v>40</v>
      </c>
      <c r="R34" s="177">
        <v>3.35</v>
      </c>
      <c r="S34" s="173" t="e">
        <f t="shared" si="1"/>
        <v>#VALUE!</v>
      </c>
      <c r="T34" s="174"/>
      <c r="U34" s="175" t="str">
        <f t="shared" si="2"/>
        <v>L100X3,75</v>
      </c>
      <c r="V34" s="176">
        <v>100</v>
      </c>
      <c r="W34" s="177">
        <v>3.75</v>
      </c>
      <c r="X34" s="173" t="e">
        <f t="shared" si="3"/>
        <v>#VALUE!</v>
      </c>
      <c r="Y34" s="174"/>
      <c r="Z34" s="175" t="str">
        <f t="shared" si="4"/>
        <v>2L100X3,75</v>
      </c>
      <c r="AA34" s="176">
        <v>100</v>
      </c>
      <c r="AB34" s="177">
        <v>3.75</v>
      </c>
      <c r="AC34" s="173" t="e">
        <f t="shared" si="11"/>
        <v>#VALUE!</v>
      </c>
      <c r="AE34" s="175" t="str">
        <f t="shared" si="5"/>
        <v>TB38,1X3</v>
      </c>
      <c r="AF34" s="176">
        <v>38.1</v>
      </c>
      <c r="AG34" s="177">
        <v>3</v>
      </c>
      <c r="AH34" s="173" t="e">
        <f t="shared" si="6"/>
        <v>#VALUE!</v>
      </c>
    </row>
    <row r="35" spans="1:34" ht="15">
      <c r="A35" s="175" t="str">
        <f t="shared" si="7"/>
        <v>U100X50X3</v>
      </c>
      <c r="B35" s="176">
        <v>100</v>
      </c>
      <c r="C35" s="176">
        <v>50</v>
      </c>
      <c r="D35" s="177">
        <v>3</v>
      </c>
      <c r="E35" s="175" t="str">
        <f t="shared" si="8"/>
        <v>L80X8</v>
      </c>
      <c r="F35" s="176">
        <v>80</v>
      </c>
      <c r="G35" s="177">
        <v>8</v>
      </c>
      <c r="H35" s="175" t="str">
        <f t="shared" si="9"/>
        <v>2L80X8</v>
      </c>
      <c r="I35" s="176">
        <v>80</v>
      </c>
      <c r="J35" s="178">
        <v>8</v>
      </c>
      <c r="K35" s="175" t="str">
        <f t="shared" si="10"/>
        <v>TB38,1X3,75</v>
      </c>
      <c r="L35" s="176">
        <v>38.1</v>
      </c>
      <c r="M35" s="177">
        <v>3.75</v>
      </c>
      <c r="O35" s="175" t="str">
        <f t="shared" si="0"/>
        <v>U100X50X3</v>
      </c>
      <c r="P35" s="176">
        <v>100</v>
      </c>
      <c r="Q35" s="176">
        <v>50</v>
      </c>
      <c r="R35" s="177">
        <v>3</v>
      </c>
      <c r="S35" s="173" t="e">
        <f t="shared" ref="S35:S66" si="12">PropriedadesUFF(P35,Q35,R35,$S$2)</f>
        <v>#VALUE!</v>
      </c>
      <c r="T35" s="174"/>
      <c r="U35" s="175" t="str">
        <f t="shared" si="2"/>
        <v>L100X4,25</v>
      </c>
      <c r="V35" s="176">
        <v>100</v>
      </c>
      <c r="W35" s="177">
        <v>4.25</v>
      </c>
      <c r="X35" s="173" t="e">
        <f t="shared" ref="X35:X66" si="13">PropriedadesLFF(V35,W35,$X$2)</f>
        <v>#VALUE!</v>
      </c>
      <c r="Y35" s="174"/>
      <c r="Z35" s="175" t="str">
        <f t="shared" si="4"/>
        <v>2L100X4,25</v>
      </c>
      <c r="AA35" s="176">
        <v>100</v>
      </c>
      <c r="AB35" s="177">
        <v>4.25</v>
      </c>
      <c r="AC35" s="173" t="e">
        <f t="shared" ref="AC35:AC66" si="14">PropriedadesLLFF(AA35,AB35,$AC$2)</f>
        <v>#VALUE!</v>
      </c>
      <c r="AE35" s="175" t="str">
        <f t="shared" si="5"/>
        <v>TB35X3,35</v>
      </c>
      <c r="AF35" s="176">
        <v>34.93</v>
      </c>
      <c r="AG35" s="177">
        <v>3.35</v>
      </c>
      <c r="AH35" s="173" t="e">
        <f t="shared" ref="AH35:AH66" si="15">PropriedadesTBC(AF35,AG35,$AH$2)</f>
        <v>#VALUE!</v>
      </c>
    </row>
    <row r="36" spans="1:34" ht="15">
      <c r="A36" s="175" t="str">
        <f t="shared" si="7"/>
        <v>U100X50X3,35</v>
      </c>
      <c r="B36" s="176">
        <v>100</v>
      </c>
      <c r="C36" s="176">
        <v>50</v>
      </c>
      <c r="D36" s="177">
        <v>3.35</v>
      </c>
      <c r="E36" s="175" t="str">
        <f t="shared" si="8"/>
        <v>L100X3,75</v>
      </c>
      <c r="F36" s="176">
        <v>100</v>
      </c>
      <c r="G36" s="177">
        <v>3.75</v>
      </c>
      <c r="H36" s="175" t="str">
        <f t="shared" si="9"/>
        <v>2L100X3,75</v>
      </c>
      <c r="I36" s="176">
        <v>100</v>
      </c>
      <c r="J36" s="178">
        <v>3.75</v>
      </c>
      <c r="K36" s="175" t="str">
        <f t="shared" si="10"/>
        <v>TB38,1X4,25</v>
      </c>
      <c r="L36" s="176">
        <v>38.1</v>
      </c>
      <c r="M36" s="177">
        <v>4.25</v>
      </c>
      <c r="O36" s="175" t="str">
        <f t="shared" si="0"/>
        <v>U125X50X2,65</v>
      </c>
      <c r="P36" s="176">
        <v>125</v>
      </c>
      <c r="Q36" s="176">
        <v>50</v>
      </c>
      <c r="R36" s="177">
        <v>2.65</v>
      </c>
      <c r="S36" s="173" t="e">
        <f t="shared" si="12"/>
        <v>#VALUE!</v>
      </c>
      <c r="T36" s="174"/>
      <c r="U36" s="175" t="str">
        <f t="shared" si="2"/>
        <v>L100X4,75</v>
      </c>
      <c r="V36" s="176">
        <v>100</v>
      </c>
      <c r="W36" s="177">
        <v>4.75</v>
      </c>
      <c r="X36" s="173" t="e">
        <f t="shared" si="13"/>
        <v>#VALUE!</v>
      </c>
      <c r="Y36" s="174"/>
      <c r="Z36" s="175" t="str">
        <f t="shared" si="4"/>
        <v>2L100X4,75</v>
      </c>
      <c r="AA36" s="176">
        <v>100</v>
      </c>
      <c r="AB36" s="177">
        <v>4.75</v>
      </c>
      <c r="AC36" s="173" t="e">
        <f t="shared" si="14"/>
        <v>#VALUE!</v>
      </c>
      <c r="AE36" s="175" t="str">
        <f t="shared" si="5"/>
        <v>TB50,8X2,25</v>
      </c>
      <c r="AF36" s="176">
        <v>50.8</v>
      </c>
      <c r="AG36" s="177">
        <v>2.25</v>
      </c>
      <c r="AH36" s="173" t="e">
        <f t="shared" si="15"/>
        <v>#VALUE!</v>
      </c>
    </row>
    <row r="37" spans="1:34" ht="15">
      <c r="A37" s="175" t="str">
        <f t="shared" si="7"/>
        <v>U100X50X3,75</v>
      </c>
      <c r="B37" s="176">
        <v>100</v>
      </c>
      <c r="C37" s="176">
        <v>50</v>
      </c>
      <c r="D37" s="177">
        <v>3.75</v>
      </c>
      <c r="E37" s="175" t="str">
        <f t="shared" si="8"/>
        <v>L100X4,25</v>
      </c>
      <c r="F37" s="176">
        <v>100</v>
      </c>
      <c r="G37" s="177">
        <v>4.25</v>
      </c>
      <c r="H37" s="175" t="str">
        <f t="shared" si="9"/>
        <v>2L100X4,25</v>
      </c>
      <c r="I37" s="176">
        <v>100</v>
      </c>
      <c r="J37" s="178">
        <v>4.25</v>
      </c>
      <c r="K37" s="175" t="str">
        <f t="shared" si="10"/>
        <v>TB38,1X4,5</v>
      </c>
      <c r="L37" s="176">
        <v>38.1</v>
      </c>
      <c r="M37" s="177">
        <v>4.5</v>
      </c>
      <c r="O37" s="175" t="str">
        <f t="shared" si="0"/>
        <v>U200X50X2</v>
      </c>
      <c r="P37" s="176">
        <v>200</v>
      </c>
      <c r="Q37" s="176">
        <v>50</v>
      </c>
      <c r="R37" s="177">
        <v>2</v>
      </c>
      <c r="S37" s="173" t="e">
        <f t="shared" si="12"/>
        <v>#VALUE!</v>
      </c>
      <c r="T37" s="174"/>
      <c r="U37" s="175" t="str">
        <f t="shared" si="2"/>
        <v>L80X6,3</v>
      </c>
      <c r="V37" s="176">
        <v>80</v>
      </c>
      <c r="W37" s="177">
        <v>6.3</v>
      </c>
      <c r="X37" s="173" t="e">
        <f t="shared" si="13"/>
        <v>#VALUE!</v>
      </c>
      <c r="Y37" s="174"/>
      <c r="Z37" s="175" t="str">
        <f t="shared" si="4"/>
        <v>2L80X6,3</v>
      </c>
      <c r="AA37" s="176">
        <v>80</v>
      </c>
      <c r="AB37" s="177">
        <v>6.3</v>
      </c>
      <c r="AC37" s="173" t="e">
        <f t="shared" si="14"/>
        <v>#VALUE!</v>
      </c>
      <c r="AE37" s="175" t="str">
        <f t="shared" si="5"/>
        <v>TB57,2X2</v>
      </c>
      <c r="AF37" s="176">
        <v>57.15</v>
      </c>
      <c r="AG37" s="177">
        <v>2</v>
      </c>
      <c r="AH37" s="173" t="e">
        <f t="shared" si="15"/>
        <v>#VALUE!</v>
      </c>
    </row>
    <row r="38" spans="1:34" ht="15">
      <c r="A38" s="175" t="str">
        <f t="shared" si="7"/>
        <v>U100X50X4,25</v>
      </c>
      <c r="B38" s="176">
        <v>100</v>
      </c>
      <c r="C38" s="176">
        <v>50</v>
      </c>
      <c r="D38" s="177">
        <v>4.25</v>
      </c>
      <c r="E38" s="175" t="str">
        <f t="shared" si="8"/>
        <v>L100X4,75</v>
      </c>
      <c r="F38" s="176">
        <v>100</v>
      </c>
      <c r="G38" s="177">
        <v>4.75</v>
      </c>
      <c r="H38" s="175" t="str">
        <f t="shared" si="9"/>
        <v>2L100X4,75</v>
      </c>
      <c r="I38" s="176">
        <v>100</v>
      </c>
      <c r="J38" s="178">
        <v>4.75</v>
      </c>
      <c r="K38" s="175" t="str">
        <f t="shared" si="10"/>
        <v>TB38,1X4,75</v>
      </c>
      <c r="L38" s="176">
        <v>38.1</v>
      </c>
      <c r="M38" s="177">
        <v>4.75</v>
      </c>
      <c r="O38" s="175" t="str">
        <f t="shared" si="0"/>
        <v>U75X40X4,25</v>
      </c>
      <c r="P38" s="176">
        <v>75</v>
      </c>
      <c r="Q38" s="176">
        <v>40</v>
      </c>
      <c r="R38" s="177">
        <v>4.25</v>
      </c>
      <c r="S38" s="173" t="e">
        <f t="shared" si="12"/>
        <v>#VALUE!</v>
      </c>
      <c r="T38" s="174"/>
      <c r="U38" s="175" t="str">
        <f t="shared" si="2"/>
        <v>L125X4,75</v>
      </c>
      <c r="V38" s="176">
        <v>125</v>
      </c>
      <c r="W38" s="177">
        <v>4.75</v>
      </c>
      <c r="X38" s="173" t="e">
        <f t="shared" si="13"/>
        <v>#VALUE!</v>
      </c>
      <c r="Y38" s="174"/>
      <c r="Z38" s="175" t="str">
        <f t="shared" si="4"/>
        <v>2L125X4,75</v>
      </c>
      <c r="AA38" s="176">
        <v>125</v>
      </c>
      <c r="AB38" s="177">
        <v>4.75</v>
      </c>
      <c r="AC38" s="173" t="e">
        <f t="shared" si="14"/>
        <v>#VALUE!</v>
      </c>
      <c r="AE38" s="175" t="str">
        <f t="shared" si="5"/>
        <v>TB44,5X2,65</v>
      </c>
      <c r="AF38" s="176">
        <v>44.45</v>
      </c>
      <c r="AG38" s="177">
        <v>2.65</v>
      </c>
      <c r="AH38" s="173" t="e">
        <f t="shared" si="15"/>
        <v>#VALUE!</v>
      </c>
    </row>
    <row r="39" spans="1:34" ht="15">
      <c r="A39" s="175" t="str">
        <f t="shared" si="7"/>
        <v>U100X50X4,75</v>
      </c>
      <c r="B39" s="176">
        <v>100</v>
      </c>
      <c r="C39" s="176">
        <v>50</v>
      </c>
      <c r="D39" s="177">
        <v>4.75</v>
      </c>
      <c r="E39" s="175" t="str">
        <f t="shared" si="8"/>
        <v>L100X6,3</v>
      </c>
      <c r="F39" s="176">
        <v>100</v>
      </c>
      <c r="G39" s="177">
        <v>6.3</v>
      </c>
      <c r="H39" s="175" t="str">
        <f t="shared" si="9"/>
        <v>2L100X6,3</v>
      </c>
      <c r="I39" s="176">
        <v>100</v>
      </c>
      <c r="J39" s="178">
        <v>6.3</v>
      </c>
      <c r="K39" s="175" t="str">
        <f t="shared" si="10"/>
        <v>TB44,5X2</v>
      </c>
      <c r="L39" s="176">
        <v>44.45</v>
      </c>
      <c r="M39" s="177">
        <v>2</v>
      </c>
      <c r="O39" s="175" t="str">
        <f t="shared" si="0"/>
        <v>U100X40X3,75</v>
      </c>
      <c r="P39" s="176">
        <v>100</v>
      </c>
      <c r="Q39" s="176">
        <v>40</v>
      </c>
      <c r="R39" s="177">
        <v>3.75</v>
      </c>
      <c r="S39" s="173" t="e">
        <f t="shared" si="12"/>
        <v>#VALUE!</v>
      </c>
      <c r="T39" s="174"/>
      <c r="U39" s="175" t="str">
        <f t="shared" si="2"/>
        <v>L80X8</v>
      </c>
      <c r="V39" s="176">
        <v>80</v>
      </c>
      <c r="W39" s="177">
        <v>8</v>
      </c>
      <c r="X39" s="173" t="e">
        <f t="shared" si="13"/>
        <v>#VALUE!</v>
      </c>
      <c r="Y39" s="174"/>
      <c r="Z39" s="175" t="str">
        <f t="shared" si="4"/>
        <v>2L80X8</v>
      </c>
      <c r="AA39" s="176">
        <v>80</v>
      </c>
      <c r="AB39" s="177">
        <v>8</v>
      </c>
      <c r="AC39" s="173" t="e">
        <f t="shared" si="14"/>
        <v>#VALUE!</v>
      </c>
      <c r="AE39" s="175" t="str">
        <f t="shared" si="5"/>
        <v>TB38,1X3,35</v>
      </c>
      <c r="AF39" s="176">
        <v>38.1</v>
      </c>
      <c r="AG39" s="177">
        <v>3.35</v>
      </c>
      <c r="AH39" s="173" t="e">
        <f t="shared" si="15"/>
        <v>#VALUE!</v>
      </c>
    </row>
    <row r="40" spans="1:34" ht="15">
      <c r="A40" s="175" t="str">
        <f t="shared" si="7"/>
        <v>U100X50X6,3</v>
      </c>
      <c r="B40" s="176">
        <v>100</v>
      </c>
      <c r="C40" s="176">
        <v>50</v>
      </c>
      <c r="D40" s="177">
        <v>6.3</v>
      </c>
      <c r="E40" s="175" t="str">
        <f t="shared" si="8"/>
        <v>L100X8</v>
      </c>
      <c r="F40" s="176">
        <v>100</v>
      </c>
      <c r="G40" s="177">
        <v>8</v>
      </c>
      <c r="H40" s="175" t="str">
        <f t="shared" si="9"/>
        <v>2L100X8</v>
      </c>
      <c r="I40" s="176">
        <v>100</v>
      </c>
      <c r="J40" s="178">
        <v>8</v>
      </c>
      <c r="K40" s="175" t="str">
        <f t="shared" si="10"/>
        <v>TB44,5X2,25</v>
      </c>
      <c r="L40" s="176">
        <v>44.45</v>
      </c>
      <c r="M40" s="177">
        <v>2.25</v>
      </c>
      <c r="O40" s="175" t="str">
        <f t="shared" si="0"/>
        <v>U100X50X3,35</v>
      </c>
      <c r="P40" s="176">
        <v>100</v>
      </c>
      <c r="Q40" s="176">
        <v>50</v>
      </c>
      <c r="R40" s="177">
        <v>3.35</v>
      </c>
      <c r="S40" s="173" t="e">
        <f t="shared" si="12"/>
        <v>#VALUE!</v>
      </c>
      <c r="T40" s="174"/>
      <c r="U40" s="175" t="str">
        <f t="shared" si="2"/>
        <v>L100X6,3</v>
      </c>
      <c r="V40" s="176">
        <v>100</v>
      </c>
      <c r="W40" s="177">
        <v>6.3</v>
      </c>
      <c r="X40" s="173" t="e">
        <f t="shared" si="13"/>
        <v>#VALUE!</v>
      </c>
      <c r="Y40" s="174"/>
      <c r="Z40" s="175" t="str">
        <f t="shared" si="4"/>
        <v>2L100X6,3</v>
      </c>
      <c r="AA40" s="176">
        <v>100</v>
      </c>
      <c r="AB40" s="177">
        <v>6.3</v>
      </c>
      <c r="AC40" s="173" t="e">
        <f t="shared" si="14"/>
        <v>#VALUE!</v>
      </c>
      <c r="AE40" s="175" t="str">
        <f t="shared" si="5"/>
        <v>TB35X3,75</v>
      </c>
      <c r="AF40" s="176">
        <v>34.93</v>
      </c>
      <c r="AG40" s="177">
        <v>3.75</v>
      </c>
      <c r="AH40" s="173" t="e">
        <f t="shared" si="15"/>
        <v>#VALUE!</v>
      </c>
    </row>
    <row r="41" spans="1:34" ht="15">
      <c r="A41" s="175" t="str">
        <f t="shared" si="7"/>
        <v>U100X75X2,65</v>
      </c>
      <c r="B41" s="176">
        <v>100</v>
      </c>
      <c r="C41" s="176">
        <v>75</v>
      </c>
      <c r="D41" s="177">
        <v>2.65</v>
      </c>
      <c r="E41" s="175" t="str">
        <f t="shared" si="8"/>
        <v>L100X9,5</v>
      </c>
      <c r="F41" s="176">
        <v>100</v>
      </c>
      <c r="G41" s="177">
        <v>9.5</v>
      </c>
      <c r="H41" s="175" t="str">
        <f t="shared" si="9"/>
        <v>2L100X9,5</v>
      </c>
      <c r="I41" s="176">
        <v>100</v>
      </c>
      <c r="J41" s="178">
        <v>9.5</v>
      </c>
      <c r="K41" s="175" t="str">
        <f t="shared" si="10"/>
        <v>TB44,5X2,65</v>
      </c>
      <c r="L41" s="176">
        <v>44.45</v>
      </c>
      <c r="M41" s="177">
        <v>2.65</v>
      </c>
      <c r="O41" s="175" t="str">
        <f t="shared" si="0"/>
        <v>U100X75X2,65</v>
      </c>
      <c r="P41" s="176">
        <v>100</v>
      </c>
      <c r="Q41" s="176">
        <v>75</v>
      </c>
      <c r="R41" s="177">
        <v>2.65</v>
      </c>
      <c r="S41" s="173" t="e">
        <f t="shared" si="12"/>
        <v>#VALUE!</v>
      </c>
      <c r="T41" s="174"/>
      <c r="U41" s="175" t="str">
        <f t="shared" si="2"/>
        <v>L150X4,75</v>
      </c>
      <c r="V41" s="176">
        <v>150</v>
      </c>
      <c r="W41" s="177">
        <v>4.75</v>
      </c>
      <c r="X41" s="173" t="e">
        <f t="shared" si="13"/>
        <v>#VALUE!</v>
      </c>
      <c r="Y41" s="174"/>
      <c r="Z41" s="175" t="str">
        <f t="shared" si="4"/>
        <v>2L150X4,75</v>
      </c>
      <c r="AA41" s="176">
        <v>150</v>
      </c>
      <c r="AB41" s="177">
        <v>4.75</v>
      </c>
      <c r="AC41" s="173" t="e">
        <f t="shared" si="14"/>
        <v>#VALUE!</v>
      </c>
      <c r="AE41" s="175" t="str">
        <f t="shared" si="5"/>
        <v>TB63,5X2</v>
      </c>
      <c r="AF41" s="176">
        <v>63.5</v>
      </c>
      <c r="AG41" s="177">
        <v>2</v>
      </c>
      <c r="AH41" s="173" t="e">
        <f t="shared" si="15"/>
        <v>#VALUE!</v>
      </c>
    </row>
    <row r="42" spans="1:34" ht="15">
      <c r="A42" s="175" t="str">
        <f t="shared" si="7"/>
        <v>U100X75X3</v>
      </c>
      <c r="B42" s="176">
        <v>100</v>
      </c>
      <c r="C42" s="176">
        <v>75</v>
      </c>
      <c r="D42" s="177">
        <v>3</v>
      </c>
      <c r="E42" s="175" t="str">
        <f t="shared" si="8"/>
        <v>L100X12,5</v>
      </c>
      <c r="F42" s="176">
        <v>100</v>
      </c>
      <c r="G42" s="177">
        <v>12.5</v>
      </c>
      <c r="H42" s="175" t="str">
        <f t="shared" si="9"/>
        <v>2L100X12,5</v>
      </c>
      <c r="I42" s="176">
        <v>100</v>
      </c>
      <c r="J42" s="178">
        <v>12.5</v>
      </c>
      <c r="K42" s="175" t="str">
        <f t="shared" si="10"/>
        <v>TB44,5X3</v>
      </c>
      <c r="L42" s="176">
        <v>44.45</v>
      </c>
      <c r="M42" s="177">
        <v>3</v>
      </c>
      <c r="O42" s="175" t="str">
        <f t="shared" si="0"/>
        <v>U150X50X2,65</v>
      </c>
      <c r="P42" s="176">
        <v>150</v>
      </c>
      <c r="Q42" s="176">
        <v>50</v>
      </c>
      <c r="R42" s="177">
        <v>2.65</v>
      </c>
      <c r="S42" s="173" t="e">
        <f t="shared" si="12"/>
        <v>#VALUE!</v>
      </c>
      <c r="T42" s="174"/>
      <c r="U42" s="175" t="str">
        <f t="shared" si="2"/>
        <v>L100X8</v>
      </c>
      <c r="V42" s="176">
        <v>100</v>
      </c>
      <c r="W42" s="177">
        <v>8</v>
      </c>
      <c r="X42" s="173" t="e">
        <f t="shared" si="13"/>
        <v>#VALUE!</v>
      </c>
      <c r="Y42" s="174"/>
      <c r="Z42" s="175" t="str">
        <f t="shared" si="4"/>
        <v>2L100X8</v>
      </c>
      <c r="AA42" s="176">
        <v>100</v>
      </c>
      <c r="AB42" s="177">
        <v>8</v>
      </c>
      <c r="AC42" s="173" t="e">
        <f t="shared" si="14"/>
        <v>#VALUE!</v>
      </c>
      <c r="AE42" s="175" t="str">
        <f t="shared" si="5"/>
        <v>TB57,2X2,25</v>
      </c>
      <c r="AF42" s="176">
        <v>57.15</v>
      </c>
      <c r="AG42" s="177">
        <v>2.25</v>
      </c>
      <c r="AH42" s="173" t="e">
        <f t="shared" si="15"/>
        <v>#VALUE!</v>
      </c>
    </row>
    <row r="43" spans="1:34" ht="15">
      <c r="A43" s="175" t="str">
        <f t="shared" si="7"/>
        <v>U100X75X3,35</v>
      </c>
      <c r="B43" s="176">
        <v>100</v>
      </c>
      <c r="C43" s="176">
        <v>75</v>
      </c>
      <c r="D43" s="177">
        <v>3.35</v>
      </c>
      <c r="E43" s="175" t="str">
        <f t="shared" si="8"/>
        <v>L125X4,75</v>
      </c>
      <c r="F43" s="176">
        <v>125</v>
      </c>
      <c r="G43" s="177">
        <v>4.75</v>
      </c>
      <c r="H43" s="175" t="str">
        <f t="shared" si="9"/>
        <v>2L125X4,75</v>
      </c>
      <c r="I43" s="176">
        <v>125</v>
      </c>
      <c r="J43" s="178">
        <v>4.75</v>
      </c>
      <c r="K43" s="175" t="str">
        <f t="shared" si="10"/>
        <v>TB44,5X3,35</v>
      </c>
      <c r="L43" s="176">
        <v>44.45</v>
      </c>
      <c r="M43" s="177">
        <v>3.35</v>
      </c>
      <c r="O43" s="175" t="str">
        <f t="shared" si="0"/>
        <v>U125X50X3</v>
      </c>
      <c r="P43" s="176">
        <v>125</v>
      </c>
      <c r="Q43" s="176">
        <v>50</v>
      </c>
      <c r="R43" s="177">
        <v>3</v>
      </c>
      <c r="S43" s="173" t="e">
        <f t="shared" si="12"/>
        <v>#VALUE!</v>
      </c>
      <c r="T43" s="174"/>
      <c r="U43" s="175" t="str">
        <f t="shared" si="2"/>
        <v>L125X6,3</v>
      </c>
      <c r="V43" s="176">
        <v>125</v>
      </c>
      <c r="W43" s="177">
        <v>6.3</v>
      </c>
      <c r="X43" s="173" t="e">
        <f t="shared" si="13"/>
        <v>#VALUE!</v>
      </c>
      <c r="Y43" s="174"/>
      <c r="Z43" s="175" t="str">
        <f t="shared" si="4"/>
        <v>2L125X6,3</v>
      </c>
      <c r="AA43" s="176">
        <v>125</v>
      </c>
      <c r="AB43" s="177">
        <v>6.3</v>
      </c>
      <c r="AC43" s="173" t="e">
        <f t="shared" si="14"/>
        <v>#VALUE!</v>
      </c>
      <c r="AE43" s="175" t="str">
        <f t="shared" si="5"/>
        <v>TB44,5X3</v>
      </c>
      <c r="AF43" s="176">
        <v>44.45</v>
      </c>
      <c r="AG43" s="177">
        <v>3</v>
      </c>
      <c r="AH43" s="173" t="e">
        <f t="shared" si="15"/>
        <v>#VALUE!</v>
      </c>
    </row>
    <row r="44" spans="1:34" ht="15">
      <c r="A44" s="175" t="str">
        <f t="shared" si="7"/>
        <v>U100X75X3,75</v>
      </c>
      <c r="B44" s="176">
        <v>100</v>
      </c>
      <c r="C44" s="176">
        <v>75</v>
      </c>
      <c r="D44" s="177">
        <v>3.75</v>
      </c>
      <c r="E44" s="175" t="str">
        <f t="shared" si="8"/>
        <v>L125X6,3</v>
      </c>
      <c r="F44" s="176">
        <v>125</v>
      </c>
      <c r="G44" s="177">
        <v>6.3</v>
      </c>
      <c r="H44" s="175" t="str">
        <f t="shared" si="9"/>
        <v>2L125X6,3</v>
      </c>
      <c r="I44" s="176">
        <v>125</v>
      </c>
      <c r="J44" s="178">
        <v>6.3</v>
      </c>
      <c r="K44" s="175" t="str">
        <f t="shared" si="10"/>
        <v>TB44,5X3,75</v>
      </c>
      <c r="L44" s="176">
        <v>44.45</v>
      </c>
      <c r="M44" s="177">
        <v>3.75</v>
      </c>
      <c r="O44" s="175" t="str">
        <f t="shared" si="0"/>
        <v>U200X50X2,25</v>
      </c>
      <c r="P44" s="176">
        <v>200</v>
      </c>
      <c r="Q44" s="176">
        <v>50</v>
      </c>
      <c r="R44" s="177">
        <v>2.25</v>
      </c>
      <c r="S44" s="173" t="e">
        <f t="shared" si="12"/>
        <v>#VALUE!</v>
      </c>
      <c r="T44" s="174"/>
      <c r="U44" s="175" t="str">
        <f t="shared" si="2"/>
        <v>L175X4,75</v>
      </c>
      <c r="V44" s="176">
        <v>175</v>
      </c>
      <c r="W44" s="177">
        <v>4.75</v>
      </c>
      <c r="X44" s="173" t="e">
        <f t="shared" si="13"/>
        <v>#VALUE!</v>
      </c>
      <c r="Y44" s="174"/>
      <c r="Z44" s="175" t="str">
        <f t="shared" si="4"/>
        <v>2L175X4,75</v>
      </c>
      <c r="AA44" s="176">
        <v>175</v>
      </c>
      <c r="AB44" s="177">
        <v>4.75</v>
      </c>
      <c r="AC44" s="173" t="e">
        <f t="shared" si="14"/>
        <v>#VALUE!</v>
      </c>
      <c r="AE44" s="175" t="str">
        <f t="shared" si="5"/>
        <v>TB50,8X2,65</v>
      </c>
      <c r="AF44" s="176">
        <v>50.8</v>
      </c>
      <c r="AG44" s="177">
        <v>2.65</v>
      </c>
      <c r="AH44" s="173" t="e">
        <f t="shared" si="15"/>
        <v>#VALUE!</v>
      </c>
    </row>
    <row r="45" spans="1:34" ht="15">
      <c r="A45" s="175" t="str">
        <f t="shared" si="7"/>
        <v>U100X75X4,25</v>
      </c>
      <c r="B45" s="176">
        <v>100</v>
      </c>
      <c r="C45" s="176">
        <v>75</v>
      </c>
      <c r="D45" s="177">
        <v>4.25</v>
      </c>
      <c r="E45" s="175" t="str">
        <f t="shared" si="8"/>
        <v>L125X8</v>
      </c>
      <c r="F45" s="176">
        <v>125</v>
      </c>
      <c r="G45" s="177">
        <v>8</v>
      </c>
      <c r="H45" s="175" t="str">
        <f t="shared" si="9"/>
        <v>2L125X8</v>
      </c>
      <c r="I45" s="176">
        <v>125</v>
      </c>
      <c r="J45" s="178">
        <v>8</v>
      </c>
      <c r="K45" s="175" t="str">
        <f t="shared" si="10"/>
        <v>TB44,5X4,25</v>
      </c>
      <c r="L45" s="176">
        <v>44.45</v>
      </c>
      <c r="M45" s="177">
        <v>4.25</v>
      </c>
      <c r="O45" s="175" t="str">
        <f t="shared" si="0"/>
        <v>U75X40X4,75</v>
      </c>
      <c r="P45" s="176">
        <v>75</v>
      </c>
      <c r="Q45" s="176">
        <v>40</v>
      </c>
      <c r="R45" s="177">
        <v>4.75</v>
      </c>
      <c r="S45" s="173" t="e">
        <f t="shared" si="12"/>
        <v>#VALUE!</v>
      </c>
      <c r="T45" s="174"/>
      <c r="U45" s="175" t="str">
        <f t="shared" si="2"/>
        <v>L100X9,5</v>
      </c>
      <c r="V45" s="176">
        <v>100</v>
      </c>
      <c r="W45" s="177">
        <v>9.5</v>
      </c>
      <c r="X45" s="173" t="e">
        <f t="shared" si="13"/>
        <v>#VALUE!</v>
      </c>
      <c r="Y45" s="174"/>
      <c r="Z45" s="175" t="str">
        <f t="shared" si="4"/>
        <v>2L100X9,5</v>
      </c>
      <c r="AA45" s="176">
        <v>100</v>
      </c>
      <c r="AB45" s="177">
        <v>9.5</v>
      </c>
      <c r="AC45" s="173" t="e">
        <f t="shared" si="14"/>
        <v>#VALUE!</v>
      </c>
      <c r="AE45" s="175" t="str">
        <f t="shared" si="5"/>
        <v>TB38,1X3,75</v>
      </c>
      <c r="AF45" s="176">
        <v>38.1</v>
      </c>
      <c r="AG45" s="177">
        <v>3.75</v>
      </c>
      <c r="AH45" s="173" t="e">
        <f t="shared" si="15"/>
        <v>#VALUE!</v>
      </c>
    </row>
    <row r="46" spans="1:34" ht="15">
      <c r="A46" s="175" t="str">
        <f t="shared" si="7"/>
        <v>U100X75X4,75</v>
      </c>
      <c r="B46" s="176">
        <v>100</v>
      </c>
      <c r="C46" s="176">
        <v>75</v>
      </c>
      <c r="D46" s="177">
        <v>4.75</v>
      </c>
      <c r="E46" s="175" t="str">
        <f t="shared" si="8"/>
        <v>L125X9,5</v>
      </c>
      <c r="F46" s="176">
        <v>125</v>
      </c>
      <c r="G46" s="177">
        <v>9.5</v>
      </c>
      <c r="H46" s="175" t="str">
        <f t="shared" si="9"/>
        <v>2L125X9,5</v>
      </c>
      <c r="I46" s="176">
        <v>125</v>
      </c>
      <c r="J46" s="178">
        <v>9.5</v>
      </c>
      <c r="K46" s="175" t="str">
        <f t="shared" si="10"/>
        <v>TB44,5X4,5</v>
      </c>
      <c r="L46" s="176">
        <v>44.45</v>
      </c>
      <c r="M46" s="177">
        <v>4.5</v>
      </c>
      <c r="O46" s="175" t="str">
        <f t="shared" si="0"/>
        <v>U100X50X3,75</v>
      </c>
      <c r="P46" s="176">
        <v>100</v>
      </c>
      <c r="Q46" s="176">
        <v>50</v>
      </c>
      <c r="R46" s="177">
        <v>3.75</v>
      </c>
      <c r="S46" s="173" t="e">
        <f t="shared" si="12"/>
        <v>#VALUE!</v>
      </c>
      <c r="T46" s="174"/>
      <c r="U46" s="175" t="str">
        <f t="shared" si="2"/>
        <v>L150X6,3</v>
      </c>
      <c r="V46" s="176">
        <v>150</v>
      </c>
      <c r="W46" s="177">
        <v>6.3</v>
      </c>
      <c r="X46" s="173" t="e">
        <f t="shared" si="13"/>
        <v>#VALUE!</v>
      </c>
      <c r="Y46" s="174"/>
      <c r="Z46" s="175" t="str">
        <f t="shared" si="4"/>
        <v>2L150X6,3</v>
      </c>
      <c r="AA46" s="176">
        <v>150</v>
      </c>
      <c r="AB46" s="177">
        <v>6.3</v>
      </c>
      <c r="AC46" s="173" t="e">
        <f t="shared" si="14"/>
        <v>#VALUE!</v>
      </c>
      <c r="AE46" s="175" t="str">
        <f t="shared" si="5"/>
        <v>TB44,5X3,35</v>
      </c>
      <c r="AF46" s="176">
        <v>44.45</v>
      </c>
      <c r="AG46" s="177">
        <v>3.35</v>
      </c>
      <c r="AH46" s="173" t="e">
        <f t="shared" si="15"/>
        <v>#VALUE!</v>
      </c>
    </row>
    <row r="47" spans="1:34" ht="15">
      <c r="A47" s="175" t="str">
        <f t="shared" si="7"/>
        <v>U100X75X6,3</v>
      </c>
      <c r="B47" s="176">
        <v>100</v>
      </c>
      <c r="C47" s="176">
        <v>75</v>
      </c>
      <c r="D47" s="177">
        <v>6.3</v>
      </c>
      <c r="E47" s="175" t="str">
        <f t="shared" si="8"/>
        <v>L125X12,5</v>
      </c>
      <c r="F47" s="176">
        <v>125</v>
      </c>
      <c r="G47" s="177">
        <v>12.5</v>
      </c>
      <c r="H47" s="175" t="str">
        <f t="shared" si="9"/>
        <v>2L125X12,5</v>
      </c>
      <c r="I47" s="176">
        <v>125</v>
      </c>
      <c r="J47" s="178">
        <v>12.5</v>
      </c>
      <c r="K47" s="175" t="str">
        <f t="shared" si="10"/>
        <v>TB44,5X4,75</v>
      </c>
      <c r="L47" s="176">
        <v>44.45</v>
      </c>
      <c r="M47" s="177">
        <v>4.75</v>
      </c>
      <c r="O47" s="175" t="str">
        <f t="shared" si="0"/>
        <v>U100X40X4,25</v>
      </c>
      <c r="P47" s="176">
        <v>100</v>
      </c>
      <c r="Q47" s="176">
        <v>40</v>
      </c>
      <c r="R47" s="177">
        <v>4.25</v>
      </c>
      <c r="S47" s="173" t="e">
        <f t="shared" si="12"/>
        <v>#VALUE!</v>
      </c>
      <c r="T47" s="174"/>
      <c r="U47" s="175" t="str">
        <f t="shared" si="2"/>
        <v>L200X4,75</v>
      </c>
      <c r="V47" s="176">
        <v>200</v>
      </c>
      <c r="W47" s="177">
        <v>4.75</v>
      </c>
      <c r="X47" s="173" t="e">
        <f t="shared" si="13"/>
        <v>#VALUE!</v>
      </c>
      <c r="Y47" s="174"/>
      <c r="Z47" s="175" t="str">
        <f t="shared" si="4"/>
        <v>2L200X4,75</v>
      </c>
      <c r="AA47" s="176">
        <v>200</v>
      </c>
      <c r="AB47" s="177">
        <v>4.75</v>
      </c>
      <c r="AC47" s="173" t="e">
        <f t="shared" si="14"/>
        <v>#VALUE!</v>
      </c>
      <c r="AE47" s="175" t="str">
        <f t="shared" si="5"/>
        <v>TB63,5X2,25</v>
      </c>
      <c r="AF47" s="176">
        <v>63.5</v>
      </c>
      <c r="AG47" s="177">
        <v>2.25</v>
      </c>
      <c r="AH47" s="173" t="e">
        <f t="shared" si="15"/>
        <v>#VALUE!</v>
      </c>
    </row>
    <row r="48" spans="1:34" ht="15">
      <c r="A48" s="175" t="str">
        <f t="shared" si="7"/>
        <v>U100X75X8</v>
      </c>
      <c r="B48" s="176">
        <v>100</v>
      </c>
      <c r="C48" s="176">
        <v>75</v>
      </c>
      <c r="D48" s="177">
        <v>8</v>
      </c>
      <c r="E48" s="175" t="str">
        <f t="shared" si="8"/>
        <v>L125X16</v>
      </c>
      <c r="F48" s="176">
        <v>125</v>
      </c>
      <c r="G48" s="177">
        <v>16</v>
      </c>
      <c r="H48" s="175" t="str">
        <f t="shared" si="9"/>
        <v>2L125X16</v>
      </c>
      <c r="I48" s="176">
        <v>125</v>
      </c>
      <c r="J48" s="178">
        <v>16</v>
      </c>
      <c r="K48" s="175" t="str">
        <f t="shared" si="10"/>
        <v>TB50,8X2</v>
      </c>
      <c r="L48" s="176">
        <v>50.8</v>
      </c>
      <c r="M48" s="177">
        <v>2</v>
      </c>
      <c r="O48" s="175" t="str">
        <f t="shared" si="0"/>
        <v>U125X75X2,65</v>
      </c>
      <c r="P48" s="176">
        <v>125</v>
      </c>
      <c r="Q48" s="176">
        <v>75</v>
      </c>
      <c r="R48" s="177">
        <v>2.65</v>
      </c>
      <c r="S48" s="173" t="e">
        <f t="shared" si="12"/>
        <v>#VALUE!</v>
      </c>
      <c r="T48" s="174"/>
      <c r="U48" s="175" t="str">
        <f t="shared" si="2"/>
        <v>L125X8</v>
      </c>
      <c r="V48" s="176">
        <v>125</v>
      </c>
      <c r="W48" s="177">
        <v>8</v>
      </c>
      <c r="X48" s="173" t="e">
        <f t="shared" si="13"/>
        <v>#VALUE!</v>
      </c>
      <c r="Y48" s="174"/>
      <c r="Z48" s="175" t="str">
        <f t="shared" si="4"/>
        <v>2L125X8</v>
      </c>
      <c r="AA48" s="176">
        <v>125</v>
      </c>
      <c r="AB48" s="177">
        <v>8</v>
      </c>
      <c r="AC48" s="173" t="e">
        <f t="shared" si="14"/>
        <v>#VALUE!</v>
      </c>
      <c r="AE48" s="175" t="str">
        <f t="shared" si="5"/>
        <v>TB50,8X3</v>
      </c>
      <c r="AF48" s="176">
        <v>50.8</v>
      </c>
      <c r="AG48" s="177">
        <v>3</v>
      </c>
      <c r="AH48" s="173" t="e">
        <f t="shared" si="15"/>
        <v>#VALUE!</v>
      </c>
    </row>
    <row r="49" spans="1:34" ht="15">
      <c r="A49" s="175" t="str">
        <f t="shared" si="7"/>
        <v>U125X50X1,2</v>
      </c>
      <c r="B49" s="176">
        <v>125</v>
      </c>
      <c r="C49" s="176">
        <v>50</v>
      </c>
      <c r="D49" s="177">
        <v>1.2</v>
      </c>
      <c r="E49" s="175" t="str">
        <f t="shared" si="8"/>
        <v>L150X4,75</v>
      </c>
      <c r="F49" s="176">
        <v>150</v>
      </c>
      <c r="G49" s="177">
        <v>4.75</v>
      </c>
      <c r="H49" s="175" t="str">
        <f t="shared" si="9"/>
        <v>2L150X4,75</v>
      </c>
      <c r="I49" s="176">
        <v>150</v>
      </c>
      <c r="J49" s="178">
        <v>4.75</v>
      </c>
      <c r="K49" s="175" t="str">
        <f t="shared" si="10"/>
        <v>TB50,8X2,25</v>
      </c>
      <c r="L49" s="176">
        <v>50.8</v>
      </c>
      <c r="M49" s="177">
        <v>2.25</v>
      </c>
      <c r="O49" s="175" t="str">
        <f t="shared" si="0"/>
        <v>U125X50X3,35</v>
      </c>
      <c r="P49" s="176">
        <v>125</v>
      </c>
      <c r="Q49" s="176">
        <v>50</v>
      </c>
      <c r="R49" s="177">
        <v>3.35</v>
      </c>
      <c r="S49" s="173" t="e">
        <f t="shared" si="12"/>
        <v>#VALUE!</v>
      </c>
      <c r="T49" s="174"/>
      <c r="U49" s="175" t="str">
        <f t="shared" si="2"/>
        <v>L175X6,3</v>
      </c>
      <c r="V49" s="176">
        <v>175</v>
      </c>
      <c r="W49" s="177">
        <v>6.3</v>
      </c>
      <c r="X49" s="173" t="e">
        <f t="shared" si="13"/>
        <v>#VALUE!</v>
      </c>
      <c r="Y49" s="174"/>
      <c r="Z49" s="175" t="str">
        <f t="shared" si="4"/>
        <v>2L175X6,3</v>
      </c>
      <c r="AA49" s="176">
        <v>175</v>
      </c>
      <c r="AB49" s="177">
        <v>6.3</v>
      </c>
      <c r="AC49" s="173" t="e">
        <f t="shared" si="14"/>
        <v>#VALUE!</v>
      </c>
      <c r="AE49" s="175" t="str">
        <f t="shared" si="5"/>
        <v>TB38,1X4,25</v>
      </c>
      <c r="AF49" s="176">
        <v>38.1</v>
      </c>
      <c r="AG49" s="177">
        <v>4.25</v>
      </c>
      <c r="AH49" s="173" t="e">
        <f t="shared" si="15"/>
        <v>#VALUE!</v>
      </c>
    </row>
    <row r="50" spans="1:34" ht="15">
      <c r="A50" s="175" t="str">
        <f t="shared" si="7"/>
        <v>U125X50X1,5</v>
      </c>
      <c r="B50" s="176">
        <v>125</v>
      </c>
      <c r="C50" s="176">
        <v>50</v>
      </c>
      <c r="D50" s="177">
        <v>1.5</v>
      </c>
      <c r="E50" s="175" t="str">
        <f t="shared" si="8"/>
        <v>L150X6,3</v>
      </c>
      <c r="F50" s="176">
        <v>150</v>
      </c>
      <c r="G50" s="177">
        <v>6.3</v>
      </c>
      <c r="H50" s="175" t="str">
        <f t="shared" si="9"/>
        <v>2L150X6,3</v>
      </c>
      <c r="I50" s="176">
        <v>150</v>
      </c>
      <c r="J50" s="178">
        <v>6.3</v>
      </c>
      <c r="K50" s="175" t="str">
        <f t="shared" si="10"/>
        <v>TB50,8X2,65</v>
      </c>
      <c r="L50" s="176">
        <v>50.8</v>
      </c>
      <c r="M50" s="177">
        <v>2.65</v>
      </c>
      <c r="O50" s="175" t="str">
        <f t="shared" si="0"/>
        <v>U100X75X3</v>
      </c>
      <c r="P50" s="176">
        <v>100</v>
      </c>
      <c r="Q50" s="176">
        <v>75</v>
      </c>
      <c r="R50" s="177">
        <v>3</v>
      </c>
      <c r="S50" s="173" t="e">
        <f t="shared" si="12"/>
        <v>#VALUE!</v>
      </c>
      <c r="T50" s="174"/>
      <c r="U50" s="175" t="str">
        <f t="shared" si="2"/>
        <v>L125X9,5</v>
      </c>
      <c r="V50" s="176">
        <v>125</v>
      </c>
      <c r="W50" s="177">
        <v>9.5</v>
      </c>
      <c r="X50" s="173" t="e">
        <f t="shared" si="13"/>
        <v>#VALUE!</v>
      </c>
      <c r="Y50" s="174"/>
      <c r="Z50" s="175" t="str">
        <f t="shared" si="4"/>
        <v>2L125X9,5</v>
      </c>
      <c r="AA50" s="176">
        <v>125</v>
      </c>
      <c r="AB50" s="177">
        <v>9.5</v>
      </c>
      <c r="AC50" s="173" t="e">
        <f t="shared" si="14"/>
        <v>#VALUE!</v>
      </c>
      <c r="AE50" s="175" t="str">
        <f t="shared" si="5"/>
        <v>TB57,2X2,65</v>
      </c>
      <c r="AF50" s="176">
        <v>57.15</v>
      </c>
      <c r="AG50" s="177">
        <v>2.65</v>
      </c>
      <c r="AH50" s="173" t="e">
        <f t="shared" si="15"/>
        <v>#VALUE!</v>
      </c>
    </row>
    <row r="51" spans="1:34" ht="15">
      <c r="A51" s="175" t="str">
        <f t="shared" si="7"/>
        <v>U125X50X2</v>
      </c>
      <c r="B51" s="176">
        <v>125</v>
      </c>
      <c r="C51" s="176">
        <v>50</v>
      </c>
      <c r="D51" s="177">
        <v>2</v>
      </c>
      <c r="E51" s="175" t="str">
        <f t="shared" si="8"/>
        <v>L150X8</v>
      </c>
      <c r="F51" s="176">
        <v>150</v>
      </c>
      <c r="G51" s="177">
        <v>8</v>
      </c>
      <c r="H51" s="175" t="str">
        <f t="shared" si="9"/>
        <v>2L150X8</v>
      </c>
      <c r="I51" s="176">
        <v>150</v>
      </c>
      <c r="J51" s="178">
        <v>8</v>
      </c>
      <c r="K51" s="175" t="str">
        <f t="shared" si="10"/>
        <v>TB50,8X3</v>
      </c>
      <c r="L51" s="176">
        <v>50.8</v>
      </c>
      <c r="M51" s="177">
        <v>3</v>
      </c>
      <c r="O51" s="175" t="str">
        <f t="shared" si="0"/>
        <v>U150X50X3</v>
      </c>
      <c r="P51" s="176">
        <v>150</v>
      </c>
      <c r="Q51" s="176">
        <v>50</v>
      </c>
      <c r="R51" s="177">
        <v>3</v>
      </c>
      <c r="S51" s="173" t="e">
        <f t="shared" si="12"/>
        <v>#VALUE!</v>
      </c>
      <c r="T51" s="174"/>
      <c r="U51" s="175" t="str">
        <f t="shared" si="2"/>
        <v>L100X12,5</v>
      </c>
      <c r="V51" s="176">
        <v>100</v>
      </c>
      <c r="W51" s="177">
        <v>12.5</v>
      </c>
      <c r="X51" s="173" t="e">
        <f t="shared" si="13"/>
        <v>#VALUE!</v>
      </c>
      <c r="Y51" s="174"/>
      <c r="Z51" s="175" t="str">
        <f t="shared" si="4"/>
        <v>2L100X12,5</v>
      </c>
      <c r="AA51" s="176">
        <v>100</v>
      </c>
      <c r="AB51" s="177">
        <v>12.5</v>
      </c>
      <c r="AC51" s="173" t="e">
        <f t="shared" si="14"/>
        <v>#VALUE!</v>
      </c>
      <c r="AE51" s="175" t="str">
        <f t="shared" si="5"/>
        <v>TB76,2X2</v>
      </c>
      <c r="AF51" s="176">
        <v>76.2</v>
      </c>
      <c r="AG51" s="177">
        <v>2</v>
      </c>
      <c r="AH51" s="173" t="e">
        <f t="shared" si="15"/>
        <v>#VALUE!</v>
      </c>
    </row>
    <row r="52" spans="1:34" ht="15">
      <c r="A52" s="175" t="str">
        <f t="shared" si="7"/>
        <v>U125X50X2,25</v>
      </c>
      <c r="B52" s="176">
        <v>125</v>
      </c>
      <c r="C52" s="176">
        <v>50</v>
      </c>
      <c r="D52" s="177">
        <v>2.25</v>
      </c>
      <c r="E52" s="175" t="str">
        <f t="shared" si="8"/>
        <v>L150X9,5</v>
      </c>
      <c r="F52" s="176">
        <v>150</v>
      </c>
      <c r="G52" s="177">
        <v>9.5</v>
      </c>
      <c r="H52" s="175" t="str">
        <f t="shared" si="9"/>
        <v>2L150X9,5</v>
      </c>
      <c r="I52" s="176">
        <v>150</v>
      </c>
      <c r="J52" s="178">
        <v>9.5</v>
      </c>
      <c r="K52" s="175" t="str">
        <f t="shared" si="10"/>
        <v>TB50,8X3,35</v>
      </c>
      <c r="L52" s="176">
        <v>50.8</v>
      </c>
      <c r="M52" s="177">
        <v>3.35</v>
      </c>
      <c r="O52" s="175" t="str">
        <f t="shared" si="0"/>
        <v>U150X75X2,65</v>
      </c>
      <c r="P52" s="176">
        <v>150</v>
      </c>
      <c r="Q52" s="176">
        <v>75</v>
      </c>
      <c r="R52" s="177">
        <v>2.65</v>
      </c>
      <c r="S52" s="173" t="e">
        <f t="shared" si="12"/>
        <v>#VALUE!</v>
      </c>
      <c r="T52" s="174"/>
      <c r="U52" s="175" t="str">
        <f t="shared" si="2"/>
        <v>L150X8</v>
      </c>
      <c r="V52" s="176">
        <v>150</v>
      </c>
      <c r="W52" s="177">
        <v>8</v>
      </c>
      <c r="X52" s="173" t="e">
        <f t="shared" si="13"/>
        <v>#VALUE!</v>
      </c>
      <c r="Y52" s="174"/>
      <c r="Z52" s="175" t="str">
        <f t="shared" si="4"/>
        <v>2L150X8</v>
      </c>
      <c r="AA52" s="176">
        <v>150</v>
      </c>
      <c r="AB52" s="177">
        <v>8</v>
      </c>
      <c r="AC52" s="173" t="e">
        <f t="shared" si="14"/>
        <v>#VALUE!</v>
      </c>
      <c r="AE52" s="175" t="str">
        <f t="shared" si="5"/>
        <v>TB38,1X4,5</v>
      </c>
      <c r="AF52" s="176">
        <v>38.1</v>
      </c>
      <c r="AG52" s="177">
        <v>4.5</v>
      </c>
      <c r="AH52" s="173" t="e">
        <f t="shared" si="15"/>
        <v>#VALUE!</v>
      </c>
    </row>
    <row r="53" spans="1:34" ht="15">
      <c r="A53" s="175" t="str">
        <f t="shared" si="7"/>
        <v>U125X50X2,65</v>
      </c>
      <c r="B53" s="176">
        <v>125</v>
      </c>
      <c r="C53" s="176">
        <v>50</v>
      </c>
      <c r="D53" s="177">
        <v>2.65</v>
      </c>
      <c r="E53" s="175" t="str">
        <f t="shared" si="8"/>
        <v>L150X12,5</v>
      </c>
      <c r="F53" s="176">
        <v>150</v>
      </c>
      <c r="G53" s="177">
        <v>12.5</v>
      </c>
      <c r="H53" s="175" t="str">
        <f t="shared" si="9"/>
        <v>2L150X12,5</v>
      </c>
      <c r="I53" s="176">
        <v>150</v>
      </c>
      <c r="J53" s="178">
        <v>12.5</v>
      </c>
      <c r="K53" s="175" t="str">
        <f t="shared" si="10"/>
        <v>TB50,8X3,75</v>
      </c>
      <c r="L53" s="176">
        <v>50.8</v>
      </c>
      <c r="M53" s="177">
        <v>3.75</v>
      </c>
      <c r="O53" s="175" t="str">
        <f t="shared" si="0"/>
        <v>U200X50X2,65</v>
      </c>
      <c r="P53" s="176">
        <v>200</v>
      </c>
      <c r="Q53" s="176">
        <v>50</v>
      </c>
      <c r="R53" s="177">
        <v>2.65</v>
      </c>
      <c r="S53" s="173" t="e">
        <f t="shared" si="12"/>
        <v>#VALUE!</v>
      </c>
      <c r="T53" s="174"/>
      <c r="U53" s="175" t="str">
        <f t="shared" si="2"/>
        <v>L200X6,3</v>
      </c>
      <c r="V53" s="176">
        <v>200</v>
      </c>
      <c r="W53" s="177">
        <v>6.3</v>
      </c>
      <c r="X53" s="173" t="e">
        <f t="shared" si="13"/>
        <v>#VALUE!</v>
      </c>
      <c r="Y53" s="174"/>
      <c r="Z53" s="175" t="str">
        <f t="shared" si="4"/>
        <v>2L200X6,3</v>
      </c>
      <c r="AA53" s="176">
        <v>200</v>
      </c>
      <c r="AB53" s="177">
        <v>6.3</v>
      </c>
      <c r="AC53" s="173" t="e">
        <f t="shared" si="14"/>
        <v>#VALUE!</v>
      </c>
      <c r="AE53" s="175" t="str">
        <f t="shared" si="5"/>
        <v>TB44,5X3,75</v>
      </c>
      <c r="AF53" s="176">
        <v>44.45</v>
      </c>
      <c r="AG53" s="177">
        <v>3.75</v>
      </c>
      <c r="AH53" s="173" t="e">
        <f t="shared" si="15"/>
        <v>#VALUE!</v>
      </c>
    </row>
    <row r="54" spans="1:34" ht="15">
      <c r="A54" s="175" t="str">
        <f t="shared" si="7"/>
        <v>U125X50X3</v>
      </c>
      <c r="B54" s="176">
        <v>125</v>
      </c>
      <c r="C54" s="176">
        <v>50</v>
      </c>
      <c r="D54" s="177">
        <v>3</v>
      </c>
      <c r="E54" s="175" t="str">
        <f t="shared" si="8"/>
        <v>L150X16</v>
      </c>
      <c r="F54" s="176">
        <v>150</v>
      </c>
      <c r="G54" s="177">
        <v>16</v>
      </c>
      <c r="H54" s="175" t="str">
        <f t="shared" si="9"/>
        <v>2L150X16</v>
      </c>
      <c r="I54" s="176">
        <v>150</v>
      </c>
      <c r="J54" s="178">
        <v>16</v>
      </c>
      <c r="K54" s="175" t="str">
        <f t="shared" si="10"/>
        <v>TB50,8X4,25</v>
      </c>
      <c r="L54" s="176">
        <v>50.8</v>
      </c>
      <c r="M54" s="177">
        <v>4.25</v>
      </c>
      <c r="O54" s="175" t="str">
        <f t="shared" si="0"/>
        <v>U100X40X4,75</v>
      </c>
      <c r="P54" s="176">
        <v>100</v>
      </c>
      <c r="Q54" s="176">
        <v>40</v>
      </c>
      <c r="R54" s="177">
        <v>4.75</v>
      </c>
      <c r="S54" s="173" t="e">
        <f t="shared" si="12"/>
        <v>#VALUE!</v>
      </c>
      <c r="T54" s="174"/>
      <c r="U54" s="175" t="str">
        <f t="shared" si="2"/>
        <v>L175X8</v>
      </c>
      <c r="V54" s="176">
        <v>175</v>
      </c>
      <c r="W54" s="177">
        <v>8</v>
      </c>
      <c r="X54" s="173" t="e">
        <f t="shared" si="13"/>
        <v>#VALUE!</v>
      </c>
      <c r="Y54" s="174"/>
      <c r="Z54" s="175" t="str">
        <f t="shared" si="4"/>
        <v>2L175X8</v>
      </c>
      <c r="AA54" s="176">
        <v>175</v>
      </c>
      <c r="AB54" s="177">
        <v>8</v>
      </c>
      <c r="AC54" s="173" t="e">
        <f t="shared" si="14"/>
        <v>#VALUE!</v>
      </c>
      <c r="AE54" s="175" t="str">
        <f t="shared" si="5"/>
        <v>TB38,1X4,75</v>
      </c>
      <c r="AF54" s="176">
        <v>38.1</v>
      </c>
      <c r="AG54" s="177">
        <v>4.75</v>
      </c>
      <c r="AH54" s="173" t="e">
        <f t="shared" si="15"/>
        <v>#VALUE!</v>
      </c>
    </row>
    <row r="55" spans="1:34" ht="15">
      <c r="A55" s="175" t="str">
        <f t="shared" si="7"/>
        <v>U125X50X3,35</v>
      </c>
      <c r="B55" s="176">
        <v>125</v>
      </c>
      <c r="C55" s="176">
        <v>50</v>
      </c>
      <c r="D55" s="177">
        <v>3.35</v>
      </c>
      <c r="E55" s="175" t="str">
        <f t="shared" si="8"/>
        <v>L175X4,75</v>
      </c>
      <c r="F55" s="176">
        <v>175</v>
      </c>
      <c r="G55" s="177">
        <v>4.75</v>
      </c>
      <c r="H55" s="175" t="str">
        <f t="shared" si="9"/>
        <v>2L175X4,75</v>
      </c>
      <c r="I55" s="176">
        <v>175</v>
      </c>
      <c r="J55" s="178">
        <v>4.75</v>
      </c>
      <c r="K55" s="175" t="str">
        <f t="shared" si="10"/>
        <v>TB50,8X4,5</v>
      </c>
      <c r="L55" s="176">
        <v>50.8</v>
      </c>
      <c r="M55" s="177">
        <v>4.5</v>
      </c>
      <c r="O55" s="175" t="str">
        <f t="shared" si="0"/>
        <v>U100X50X4,25</v>
      </c>
      <c r="P55" s="176">
        <v>100</v>
      </c>
      <c r="Q55" s="176">
        <v>50</v>
      </c>
      <c r="R55" s="177">
        <v>4.25</v>
      </c>
      <c r="S55" s="173" t="e">
        <f t="shared" si="12"/>
        <v>#VALUE!</v>
      </c>
      <c r="T55" s="174"/>
      <c r="U55" s="175" t="str">
        <f t="shared" si="2"/>
        <v>L150X9,5</v>
      </c>
      <c r="V55" s="176">
        <v>150</v>
      </c>
      <c r="W55" s="177">
        <v>9.5</v>
      </c>
      <c r="X55" s="173" t="e">
        <f t="shared" si="13"/>
        <v>#VALUE!</v>
      </c>
      <c r="Y55" s="174"/>
      <c r="Z55" s="175" t="str">
        <f t="shared" si="4"/>
        <v>2L150X9,5</v>
      </c>
      <c r="AA55" s="176">
        <v>150</v>
      </c>
      <c r="AB55" s="177">
        <v>9.5</v>
      </c>
      <c r="AC55" s="173" t="e">
        <f t="shared" si="14"/>
        <v>#VALUE!</v>
      </c>
      <c r="AE55" s="175" t="str">
        <f t="shared" si="5"/>
        <v>TB50,8X3,35</v>
      </c>
      <c r="AF55" s="176">
        <v>50.8</v>
      </c>
      <c r="AG55" s="177">
        <v>3.35</v>
      </c>
      <c r="AH55" s="173" t="e">
        <f t="shared" si="15"/>
        <v>#VALUE!</v>
      </c>
    </row>
    <row r="56" spans="1:34" ht="15">
      <c r="A56" s="175" t="str">
        <f t="shared" si="7"/>
        <v>U125X50X3,75</v>
      </c>
      <c r="B56" s="176">
        <v>125</v>
      </c>
      <c r="C56" s="176">
        <v>50</v>
      </c>
      <c r="D56" s="177">
        <v>3.75</v>
      </c>
      <c r="E56" s="175" t="str">
        <f t="shared" si="8"/>
        <v>L175X6,3</v>
      </c>
      <c r="F56" s="176">
        <v>175</v>
      </c>
      <c r="G56" s="177">
        <v>6.3</v>
      </c>
      <c r="H56" s="175" t="str">
        <f t="shared" si="9"/>
        <v>2L175X6,3</v>
      </c>
      <c r="I56" s="176">
        <v>175</v>
      </c>
      <c r="J56" s="178">
        <v>6.3</v>
      </c>
      <c r="K56" s="175" t="str">
        <f t="shared" si="10"/>
        <v>TB50,8X4,75</v>
      </c>
      <c r="L56" s="176">
        <v>50.8</v>
      </c>
      <c r="M56" s="177">
        <v>4.75</v>
      </c>
      <c r="O56" s="175" t="str">
        <f t="shared" si="0"/>
        <v>U125X75X3</v>
      </c>
      <c r="P56" s="176">
        <v>125</v>
      </c>
      <c r="Q56" s="176">
        <v>75</v>
      </c>
      <c r="R56" s="177">
        <v>3</v>
      </c>
      <c r="S56" s="173" t="e">
        <f t="shared" si="12"/>
        <v>#VALUE!</v>
      </c>
      <c r="T56" s="174"/>
      <c r="U56" s="175" t="str">
        <f t="shared" si="2"/>
        <v>L125X12,5</v>
      </c>
      <c r="V56" s="176">
        <v>125</v>
      </c>
      <c r="W56" s="177">
        <v>12.5</v>
      </c>
      <c r="X56" s="173" t="e">
        <f t="shared" si="13"/>
        <v>#VALUE!</v>
      </c>
      <c r="Y56" s="174"/>
      <c r="Z56" s="175" t="str">
        <f t="shared" si="4"/>
        <v>2L125X12,5</v>
      </c>
      <c r="AA56" s="176">
        <v>125</v>
      </c>
      <c r="AB56" s="177">
        <v>12.5</v>
      </c>
      <c r="AC56" s="173" t="e">
        <f t="shared" si="14"/>
        <v>#VALUE!</v>
      </c>
      <c r="AE56" s="175" t="str">
        <f t="shared" si="5"/>
        <v>TB63,5X2,65</v>
      </c>
      <c r="AF56" s="176">
        <v>63.5</v>
      </c>
      <c r="AG56" s="177">
        <v>2.65</v>
      </c>
      <c r="AH56" s="173" t="e">
        <f t="shared" si="15"/>
        <v>#VALUE!</v>
      </c>
    </row>
    <row r="57" spans="1:34" ht="15">
      <c r="A57" s="175" t="str">
        <f t="shared" si="7"/>
        <v>U125X50X4,25</v>
      </c>
      <c r="B57" s="176">
        <v>125</v>
      </c>
      <c r="C57" s="176">
        <v>50</v>
      </c>
      <c r="D57" s="177">
        <v>4.25</v>
      </c>
      <c r="E57" s="175" t="str">
        <f t="shared" si="8"/>
        <v>L175X8</v>
      </c>
      <c r="F57" s="176">
        <v>175</v>
      </c>
      <c r="G57" s="177">
        <v>8</v>
      </c>
      <c r="H57" s="175" t="str">
        <f t="shared" si="9"/>
        <v>2L175X8</v>
      </c>
      <c r="I57" s="176">
        <v>175</v>
      </c>
      <c r="J57" s="178">
        <v>8</v>
      </c>
      <c r="K57" s="175" t="str">
        <f t="shared" si="10"/>
        <v>TB50,8X5</v>
      </c>
      <c r="L57" s="176">
        <v>50.8</v>
      </c>
      <c r="M57" s="177">
        <v>5</v>
      </c>
      <c r="O57" s="175" t="str">
        <f t="shared" si="0"/>
        <v>U125X50X3,75</v>
      </c>
      <c r="P57" s="176">
        <v>125</v>
      </c>
      <c r="Q57" s="176">
        <v>50</v>
      </c>
      <c r="R57" s="177">
        <v>3.75</v>
      </c>
      <c r="S57" s="173" t="e">
        <f t="shared" si="12"/>
        <v>#VALUE!</v>
      </c>
      <c r="T57" s="174"/>
      <c r="U57" s="175" t="str">
        <f t="shared" si="2"/>
        <v>L200X8</v>
      </c>
      <c r="V57" s="176">
        <v>200</v>
      </c>
      <c r="W57" s="177">
        <v>8</v>
      </c>
      <c r="X57" s="173" t="e">
        <f t="shared" si="13"/>
        <v>#VALUE!</v>
      </c>
      <c r="Y57" s="174"/>
      <c r="Z57" s="175" t="str">
        <f t="shared" si="4"/>
        <v>2L200X8</v>
      </c>
      <c r="AA57" s="176">
        <v>200</v>
      </c>
      <c r="AB57" s="177">
        <v>8</v>
      </c>
      <c r="AC57" s="173" t="e">
        <f t="shared" si="14"/>
        <v>#VALUE!</v>
      </c>
      <c r="AE57" s="175" t="str">
        <f t="shared" si="5"/>
        <v>TB57,2X3</v>
      </c>
      <c r="AF57" s="176">
        <v>57.15</v>
      </c>
      <c r="AG57" s="177">
        <v>3</v>
      </c>
      <c r="AH57" s="173" t="e">
        <f t="shared" si="15"/>
        <v>#VALUE!</v>
      </c>
    </row>
    <row r="58" spans="1:34" ht="15">
      <c r="A58" s="175" t="str">
        <f t="shared" si="7"/>
        <v>U125X50X4,75</v>
      </c>
      <c r="B58" s="176">
        <v>125</v>
      </c>
      <c r="C58" s="176">
        <v>50</v>
      </c>
      <c r="D58" s="177">
        <v>4.75</v>
      </c>
      <c r="E58" s="175" t="str">
        <f t="shared" si="8"/>
        <v>L175X9,5</v>
      </c>
      <c r="F58" s="176">
        <v>175</v>
      </c>
      <c r="G58" s="177">
        <v>9.5</v>
      </c>
      <c r="H58" s="175" t="str">
        <f t="shared" si="9"/>
        <v>2L175X9,5</v>
      </c>
      <c r="I58" s="176">
        <v>175</v>
      </c>
      <c r="J58" s="178">
        <v>9.5</v>
      </c>
      <c r="K58" s="175" t="str">
        <f t="shared" si="10"/>
        <v>TB50,8X5,4</v>
      </c>
      <c r="L58" s="176">
        <v>50.8</v>
      </c>
      <c r="M58" s="177">
        <v>5.4</v>
      </c>
      <c r="O58" s="175" t="str">
        <f t="shared" si="0"/>
        <v>U100X75X3,35</v>
      </c>
      <c r="P58" s="176">
        <v>100</v>
      </c>
      <c r="Q58" s="176">
        <v>75</v>
      </c>
      <c r="R58" s="177">
        <v>3.35</v>
      </c>
      <c r="S58" s="173" t="e">
        <f t="shared" si="12"/>
        <v>#VALUE!</v>
      </c>
      <c r="T58" s="174"/>
      <c r="U58" s="175" t="str">
        <f t="shared" si="2"/>
        <v>L175X9,5</v>
      </c>
      <c r="V58" s="176">
        <v>175</v>
      </c>
      <c r="W58" s="177">
        <v>9.5</v>
      </c>
      <c r="X58" s="173" t="e">
        <f t="shared" si="13"/>
        <v>#VALUE!</v>
      </c>
      <c r="Y58" s="174"/>
      <c r="Z58" s="175" t="str">
        <f t="shared" si="4"/>
        <v>2L175X9,5</v>
      </c>
      <c r="AA58" s="176">
        <v>175</v>
      </c>
      <c r="AB58" s="177">
        <v>9.5</v>
      </c>
      <c r="AC58" s="173" t="e">
        <f t="shared" si="14"/>
        <v>#VALUE!</v>
      </c>
      <c r="AE58" s="175" t="str">
        <f t="shared" si="5"/>
        <v>TB76,2X2,25</v>
      </c>
      <c r="AF58" s="176">
        <v>76.2</v>
      </c>
      <c r="AG58" s="177">
        <v>2.25</v>
      </c>
      <c r="AH58" s="173" t="e">
        <f t="shared" si="15"/>
        <v>#VALUE!</v>
      </c>
    </row>
    <row r="59" spans="1:34" ht="15">
      <c r="A59" s="175" t="str">
        <f t="shared" si="7"/>
        <v>U125X50X6,3</v>
      </c>
      <c r="B59" s="176">
        <v>125</v>
      </c>
      <c r="C59" s="176">
        <v>50</v>
      </c>
      <c r="D59" s="177">
        <v>6.3</v>
      </c>
      <c r="E59" s="175" t="str">
        <f t="shared" si="8"/>
        <v>L175X12,5</v>
      </c>
      <c r="F59" s="176">
        <v>175</v>
      </c>
      <c r="G59" s="177">
        <v>12.5</v>
      </c>
      <c r="H59" s="175" t="str">
        <f t="shared" si="9"/>
        <v>2L175X12,5</v>
      </c>
      <c r="I59" s="176">
        <v>175</v>
      </c>
      <c r="J59" s="178">
        <v>12.5</v>
      </c>
      <c r="K59" s="175" t="str">
        <f t="shared" si="10"/>
        <v>TB50,8X5,6</v>
      </c>
      <c r="L59" s="176">
        <v>50.8</v>
      </c>
      <c r="M59" s="177">
        <v>5.6</v>
      </c>
      <c r="O59" s="175" t="str">
        <f t="shared" si="0"/>
        <v>U150X50X3,35</v>
      </c>
      <c r="P59" s="176">
        <v>150</v>
      </c>
      <c r="Q59" s="176">
        <v>50</v>
      </c>
      <c r="R59" s="177">
        <v>3.35</v>
      </c>
      <c r="S59" s="173" t="e">
        <f t="shared" si="12"/>
        <v>#VALUE!</v>
      </c>
      <c r="T59" s="174"/>
      <c r="U59" s="175" t="str">
        <f t="shared" si="2"/>
        <v>L150X12,5</v>
      </c>
      <c r="V59" s="176">
        <v>150</v>
      </c>
      <c r="W59" s="177">
        <v>12.5</v>
      </c>
      <c r="X59" s="173" t="e">
        <f t="shared" si="13"/>
        <v>#VALUE!</v>
      </c>
      <c r="Y59" s="174"/>
      <c r="Z59" s="175" t="str">
        <f t="shared" si="4"/>
        <v>2L150X12,5</v>
      </c>
      <c r="AA59" s="176">
        <v>150</v>
      </c>
      <c r="AB59" s="177">
        <v>12.5</v>
      </c>
      <c r="AC59" s="173" t="e">
        <f t="shared" si="14"/>
        <v>#VALUE!</v>
      </c>
      <c r="AE59" s="175" t="str">
        <f t="shared" si="5"/>
        <v>TB44,5X4,25</v>
      </c>
      <c r="AF59" s="176">
        <v>44.45</v>
      </c>
      <c r="AG59" s="177">
        <v>4.25</v>
      </c>
      <c r="AH59" s="173" t="e">
        <f t="shared" si="15"/>
        <v>#VALUE!</v>
      </c>
    </row>
    <row r="60" spans="1:34" ht="15">
      <c r="A60" s="175" t="str">
        <f t="shared" si="7"/>
        <v>U125X75X2,65</v>
      </c>
      <c r="B60" s="176">
        <v>125</v>
      </c>
      <c r="C60" s="176">
        <v>75</v>
      </c>
      <c r="D60" s="177">
        <v>2.65</v>
      </c>
      <c r="E60" s="175" t="str">
        <f t="shared" si="8"/>
        <v>L175X16</v>
      </c>
      <c r="F60" s="176">
        <v>175</v>
      </c>
      <c r="G60" s="177">
        <v>16</v>
      </c>
      <c r="H60" s="175" t="str">
        <f t="shared" si="9"/>
        <v>2L175X16</v>
      </c>
      <c r="I60" s="176">
        <v>175</v>
      </c>
      <c r="J60" s="178">
        <v>16</v>
      </c>
      <c r="K60" s="175" t="str">
        <f t="shared" si="10"/>
        <v>TB50,8X6,3</v>
      </c>
      <c r="L60" s="176">
        <v>50.8</v>
      </c>
      <c r="M60" s="177">
        <v>6.3</v>
      </c>
      <c r="O60" s="175" t="str">
        <f t="shared" si="0"/>
        <v>U150X75X3</v>
      </c>
      <c r="P60" s="176">
        <v>150</v>
      </c>
      <c r="Q60" s="176">
        <v>75</v>
      </c>
      <c r="R60" s="177">
        <v>3</v>
      </c>
      <c r="S60" s="173" t="e">
        <f t="shared" si="12"/>
        <v>#VALUE!</v>
      </c>
      <c r="T60" s="174"/>
      <c r="U60" s="175" t="str">
        <f t="shared" si="2"/>
        <v>L125X16</v>
      </c>
      <c r="V60" s="176">
        <v>125</v>
      </c>
      <c r="W60" s="177">
        <v>16</v>
      </c>
      <c r="X60" s="173" t="e">
        <f t="shared" si="13"/>
        <v>#VALUE!</v>
      </c>
      <c r="Y60" s="174"/>
      <c r="Z60" s="175" t="str">
        <f t="shared" si="4"/>
        <v>2L125X16</v>
      </c>
      <c r="AA60" s="176">
        <v>125</v>
      </c>
      <c r="AB60" s="177">
        <v>16</v>
      </c>
      <c r="AC60" s="173" t="e">
        <f t="shared" si="14"/>
        <v>#VALUE!</v>
      </c>
      <c r="AE60" s="175" t="str">
        <f t="shared" si="5"/>
        <v>TB50,8X3,75</v>
      </c>
      <c r="AF60" s="176">
        <v>50.8</v>
      </c>
      <c r="AG60" s="177">
        <v>3.75</v>
      </c>
      <c r="AH60" s="173" t="e">
        <f t="shared" si="15"/>
        <v>#VALUE!</v>
      </c>
    </row>
    <row r="61" spans="1:34" ht="15">
      <c r="A61" s="175" t="str">
        <f t="shared" si="7"/>
        <v>U125X75X3</v>
      </c>
      <c r="B61" s="176">
        <v>125</v>
      </c>
      <c r="C61" s="176">
        <v>75</v>
      </c>
      <c r="D61" s="177">
        <v>3</v>
      </c>
      <c r="E61" s="175" t="str">
        <f t="shared" si="8"/>
        <v>L200X4,75</v>
      </c>
      <c r="F61" s="176">
        <v>200</v>
      </c>
      <c r="G61" s="177">
        <v>4.75</v>
      </c>
      <c r="H61" s="175" t="str">
        <f t="shared" si="9"/>
        <v>2L200X4,75</v>
      </c>
      <c r="I61" s="176">
        <v>200</v>
      </c>
      <c r="J61" s="178">
        <v>4.75</v>
      </c>
      <c r="K61" s="175" t="str">
        <f t="shared" si="10"/>
        <v>TB57,2X2</v>
      </c>
      <c r="L61" s="176">
        <v>57.15</v>
      </c>
      <c r="M61" s="177">
        <v>2</v>
      </c>
      <c r="O61" s="175" t="str">
        <f t="shared" si="0"/>
        <v>U200X50X3</v>
      </c>
      <c r="P61" s="176">
        <v>200</v>
      </c>
      <c r="Q61" s="176">
        <v>50</v>
      </c>
      <c r="R61" s="177">
        <v>3</v>
      </c>
      <c r="S61" s="173" t="e">
        <f t="shared" si="12"/>
        <v>#VALUE!</v>
      </c>
      <c r="T61" s="174"/>
      <c r="U61" s="175" t="str">
        <f t="shared" si="2"/>
        <v>L200X9,5</v>
      </c>
      <c r="V61" s="176">
        <v>200</v>
      </c>
      <c r="W61" s="177">
        <v>9.5</v>
      </c>
      <c r="X61" s="173" t="e">
        <f t="shared" si="13"/>
        <v>#VALUE!</v>
      </c>
      <c r="Y61" s="174"/>
      <c r="Z61" s="175" t="str">
        <f t="shared" si="4"/>
        <v>2L200X9,5</v>
      </c>
      <c r="AA61" s="176">
        <v>200</v>
      </c>
      <c r="AB61" s="177">
        <v>9.5</v>
      </c>
      <c r="AC61" s="173" t="e">
        <f t="shared" si="14"/>
        <v>#VALUE!</v>
      </c>
      <c r="AE61" s="175" t="str">
        <f t="shared" si="5"/>
        <v>TB44,5X4,5</v>
      </c>
      <c r="AF61" s="176">
        <v>44.45</v>
      </c>
      <c r="AG61" s="177">
        <v>4.5</v>
      </c>
      <c r="AH61" s="173" t="e">
        <f t="shared" si="15"/>
        <v>#VALUE!</v>
      </c>
    </row>
    <row r="62" spans="1:34" ht="15">
      <c r="A62" s="175" t="str">
        <f t="shared" si="7"/>
        <v>U125X75X3,35</v>
      </c>
      <c r="B62" s="176">
        <v>125</v>
      </c>
      <c r="C62" s="176">
        <v>75</v>
      </c>
      <c r="D62" s="177">
        <v>3.35</v>
      </c>
      <c r="E62" s="175" t="str">
        <f t="shared" si="8"/>
        <v>L200X6,3</v>
      </c>
      <c r="F62" s="176">
        <v>200</v>
      </c>
      <c r="G62" s="177">
        <v>6.3</v>
      </c>
      <c r="H62" s="175" t="str">
        <f t="shared" si="9"/>
        <v>2L200X6,3</v>
      </c>
      <c r="I62" s="176">
        <v>200</v>
      </c>
      <c r="J62" s="178">
        <v>6.3</v>
      </c>
      <c r="K62" s="175" t="str">
        <f t="shared" si="10"/>
        <v>TB57,2X2,25</v>
      </c>
      <c r="L62" s="176">
        <v>57.15</v>
      </c>
      <c r="M62" s="177">
        <v>2.25</v>
      </c>
      <c r="O62" s="175" t="str">
        <f t="shared" si="0"/>
        <v>U100X50X4,75</v>
      </c>
      <c r="P62" s="176">
        <v>100</v>
      </c>
      <c r="Q62" s="176">
        <v>50</v>
      </c>
      <c r="R62" s="177">
        <v>4.75</v>
      </c>
      <c r="S62" s="173" t="e">
        <f t="shared" si="12"/>
        <v>#VALUE!</v>
      </c>
      <c r="T62" s="174"/>
      <c r="U62" s="175" t="str">
        <f t="shared" si="2"/>
        <v>L175X12,5</v>
      </c>
      <c r="V62" s="176">
        <v>175</v>
      </c>
      <c r="W62" s="177">
        <v>12.5</v>
      </c>
      <c r="X62" s="173" t="e">
        <f t="shared" si="13"/>
        <v>#VALUE!</v>
      </c>
      <c r="Y62" s="174"/>
      <c r="Z62" s="175" t="str">
        <f t="shared" si="4"/>
        <v>2L175X12,5</v>
      </c>
      <c r="AA62" s="176">
        <v>175</v>
      </c>
      <c r="AB62" s="177">
        <v>12.5</v>
      </c>
      <c r="AC62" s="173" t="e">
        <f t="shared" si="14"/>
        <v>#VALUE!</v>
      </c>
      <c r="AE62" s="175" t="str">
        <f t="shared" si="5"/>
        <v>TB57,2X3,35</v>
      </c>
      <c r="AF62" s="176">
        <v>57.15</v>
      </c>
      <c r="AG62" s="177">
        <v>3.35</v>
      </c>
      <c r="AH62" s="173" t="e">
        <f t="shared" si="15"/>
        <v>#VALUE!</v>
      </c>
    </row>
    <row r="63" spans="1:34" ht="15">
      <c r="A63" s="175" t="str">
        <f t="shared" si="7"/>
        <v>U125X75X3,75</v>
      </c>
      <c r="B63" s="176">
        <v>125</v>
      </c>
      <c r="C63" s="176">
        <v>75</v>
      </c>
      <c r="D63" s="177">
        <v>3.75</v>
      </c>
      <c r="E63" s="175" t="str">
        <f t="shared" si="8"/>
        <v>L200X8</v>
      </c>
      <c r="F63" s="176">
        <v>200</v>
      </c>
      <c r="G63" s="177">
        <v>8</v>
      </c>
      <c r="H63" s="175" t="str">
        <f t="shared" si="9"/>
        <v>2L200X8</v>
      </c>
      <c r="I63" s="176">
        <v>200</v>
      </c>
      <c r="J63" s="178">
        <v>8</v>
      </c>
      <c r="K63" s="175" t="str">
        <f t="shared" si="10"/>
        <v>TB57,2X2,65</v>
      </c>
      <c r="L63" s="176">
        <v>57.15</v>
      </c>
      <c r="M63" s="177">
        <v>2.65</v>
      </c>
      <c r="O63" s="175" t="str">
        <f t="shared" si="0"/>
        <v>U125X75X3,35</v>
      </c>
      <c r="P63" s="176">
        <v>125</v>
      </c>
      <c r="Q63" s="176">
        <v>75</v>
      </c>
      <c r="R63" s="177">
        <v>3.35</v>
      </c>
      <c r="S63" s="173" t="e">
        <f t="shared" si="12"/>
        <v>#VALUE!</v>
      </c>
      <c r="T63" s="174"/>
      <c r="U63" s="175" t="str">
        <f t="shared" si="2"/>
        <v>L150X16</v>
      </c>
      <c r="V63" s="176">
        <v>150</v>
      </c>
      <c r="W63" s="177">
        <v>16</v>
      </c>
      <c r="X63" s="173" t="e">
        <f t="shared" si="13"/>
        <v>#VALUE!</v>
      </c>
      <c r="Y63" s="174"/>
      <c r="Z63" s="175" t="str">
        <f t="shared" si="4"/>
        <v>2L150X16</v>
      </c>
      <c r="AA63" s="176">
        <v>150</v>
      </c>
      <c r="AB63" s="177">
        <v>16</v>
      </c>
      <c r="AC63" s="173" t="e">
        <f t="shared" si="14"/>
        <v>#VALUE!</v>
      </c>
      <c r="AE63" s="175" t="str">
        <f t="shared" si="5"/>
        <v>TB63,5X3</v>
      </c>
      <c r="AF63" s="176">
        <v>63.5</v>
      </c>
      <c r="AG63" s="177">
        <v>3</v>
      </c>
      <c r="AH63" s="173" t="e">
        <f t="shared" si="15"/>
        <v>#VALUE!</v>
      </c>
    </row>
    <row r="64" spans="1:34" ht="15">
      <c r="A64" s="175" t="str">
        <f t="shared" si="7"/>
        <v>U125X75X4,25</v>
      </c>
      <c r="B64" s="176">
        <v>125</v>
      </c>
      <c r="C64" s="176">
        <v>75</v>
      </c>
      <c r="D64" s="177">
        <v>4.25</v>
      </c>
      <c r="E64" s="175" t="str">
        <f t="shared" si="8"/>
        <v>L200X9,5</v>
      </c>
      <c r="F64" s="176">
        <v>200</v>
      </c>
      <c r="G64" s="177">
        <v>9.5</v>
      </c>
      <c r="H64" s="175" t="str">
        <f t="shared" si="9"/>
        <v>2L200X9,5</v>
      </c>
      <c r="I64" s="176">
        <v>200</v>
      </c>
      <c r="J64" s="178">
        <v>9.5</v>
      </c>
      <c r="K64" s="175" t="str">
        <f t="shared" si="10"/>
        <v>TB57,2X3</v>
      </c>
      <c r="L64" s="176">
        <v>57.15</v>
      </c>
      <c r="M64" s="177">
        <v>3</v>
      </c>
      <c r="O64" s="175" t="str">
        <f t="shared" si="0"/>
        <v>U100X75X3,75</v>
      </c>
      <c r="P64" s="176">
        <v>100</v>
      </c>
      <c r="Q64" s="176">
        <v>75</v>
      </c>
      <c r="R64" s="177">
        <v>3.75</v>
      </c>
      <c r="S64" s="173" t="e">
        <f t="shared" si="12"/>
        <v>#VALUE!</v>
      </c>
      <c r="T64" s="174"/>
      <c r="U64" s="175" t="str">
        <f t="shared" si="2"/>
        <v>L200X12,5</v>
      </c>
      <c r="V64" s="176">
        <v>200</v>
      </c>
      <c r="W64" s="177">
        <v>12.5</v>
      </c>
      <c r="X64" s="173" t="e">
        <f t="shared" si="13"/>
        <v>#VALUE!</v>
      </c>
      <c r="Y64" s="174"/>
      <c r="Z64" s="175" t="str">
        <f t="shared" si="4"/>
        <v>2L200X12,5</v>
      </c>
      <c r="AA64" s="176">
        <v>200</v>
      </c>
      <c r="AB64" s="177">
        <v>12.5</v>
      </c>
      <c r="AC64" s="173" t="e">
        <f t="shared" si="14"/>
        <v>#VALUE!</v>
      </c>
      <c r="AE64" s="175" t="str">
        <f t="shared" si="5"/>
        <v>TB44,5X4,75</v>
      </c>
      <c r="AF64" s="176">
        <v>44.45</v>
      </c>
      <c r="AG64" s="177">
        <v>4.75</v>
      </c>
      <c r="AH64" s="173" t="e">
        <f t="shared" si="15"/>
        <v>#VALUE!</v>
      </c>
    </row>
    <row r="65" spans="1:34" ht="15">
      <c r="A65" s="175" t="str">
        <f t="shared" si="7"/>
        <v>U125X75X4,75</v>
      </c>
      <c r="B65" s="176">
        <v>125</v>
      </c>
      <c r="C65" s="176">
        <v>75</v>
      </c>
      <c r="D65" s="177">
        <v>4.75</v>
      </c>
      <c r="E65" s="175" t="str">
        <f t="shared" si="8"/>
        <v>L200X12,5</v>
      </c>
      <c r="F65" s="176">
        <v>200</v>
      </c>
      <c r="G65" s="177">
        <v>12.5</v>
      </c>
      <c r="H65" s="175" t="str">
        <f t="shared" si="9"/>
        <v>2L200X12,5</v>
      </c>
      <c r="I65" s="176">
        <v>200</v>
      </c>
      <c r="J65" s="178">
        <v>12.5</v>
      </c>
      <c r="K65" s="175" t="str">
        <f t="shared" si="10"/>
        <v>TB57,2X3,35</v>
      </c>
      <c r="L65" s="176">
        <v>57.15</v>
      </c>
      <c r="M65" s="177">
        <v>3.35</v>
      </c>
      <c r="O65" s="175" t="str">
        <f t="shared" si="0"/>
        <v>U150X50X3,75</v>
      </c>
      <c r="P65" s="176">
        <v>150</v>
      </c>
      <c r="Q65" s="176">
        <v>50</v>
      </c>
      <c r="R65" s="177">
        <v>3.75</v>
      </c>
      <c r="S65" s="173" t="e">
        <f t="shared" si="12"/>
        <v>#VALUE!</v>
      </c>
      <c r="T65" s="174"/>
      <c r="U65" s="175" t="str">
        <f t="shared" si="2"/>
        <v>L175X16</v>
      </c>
      <c r="V65" s="176">
        <v>175</v>
      </c>
      <c r="W65" s="177">
        <v>16</v>
      </c>
      <c r="X65" s="173" t="e">
        <f t="shared" si="13"/>
        <v>#VALUE!</v>
      </c>
      <c r="Y65" s="174"/>
      <c r="Z65" s="175" t="str">
        <f t="shared" si="4"/>
        <v>2L175X16</v>
      </c>
      <c r="AA65" s="176">
        <v>175</v>
      </c>
      <c r="AB65" s="177">
        <v>16</v>
      </c>
      <c r="AC65" s="173" t="e">
        <f t="shared" si="14"/>
        <v>#VALUE!</v>
      </c>
      <c r="AE65" s="175" t="str">
        <f t="shared" si="5"/>
        <v>TB76,2X2,65</v>
      </c>
      <c r="AF65" s="176">
        <v>76.2</v>
      </c>
      <c r="AG65" s="177">
        <v>2.65</v>
      </c>
      <c r="AH65" s="173" t="e">
        <f t="shared" si="15"/>
        <v>#VALUE!</v>
      </c>
    </row>
    <row r="66" spans="1:34" ht="15">
      <c r="A66" s="175" t="str">
        <f t="shared" si="7"/>
        <v>U125X75X6,3</v>
      </c>
      <c r="B66" s="176">
        <v>125</v>
      </c>
      <c r="C66" s="176">
        <v>75</v>
      </c>
      <c r="D66" s="177">
        <v>6.3</v>
      </c>
      <c r="E66" s="175" t="str">
        <f t="shared" si="8"/>
        <v>L200X16</v>
      </c>
      <c r="F66" s="176">
        <v>200</v>
      </c>
      <c r="G66" s="177">
        <v>16</v>
      </c>
      <c r="H66" s="175" t="str">
        <f t="shared" si="9"/>
        <v>2L200X16</v>
      </c>
      <c r="I66" s="176">
        <v>200</v>
      </c>
      <c r="J66" s="178">
        <v>16</v>
      </c>
      <c r="K66" s="175" t="str">
        <f t="shared" si="10"/>
        <v>TB57,2X3,75</v>
      </c>
      <c r="L66" s="176">
        <v>57.15</v>
      </c>
      <c r="M66" s="177">
        <v>3.75</v>
      </c>
      <c r="O66" s="175" t="str">
        <f t="shared" si="0"/>
        <v>U125X50X4,25</v>
      </c>
      <c r="P66" s="176">
        <v>125</v>
      </c>
      <c r="Q66" s="176">
        <v>50</v>
      </c>
      <c r="R66" s="177">
        <v>4.25</v>
      </c>
      <c r="S66" s="173" t="e">
        <f t="shared" si="12"/>
        <v>#VALUE!</v>
      </c>
      <c r="T66" s="174"/>
      <c r="U66" s="175" t="str">
        <f t="shared" si="2"/>
        <v>L200X16</v>
      </c>
      <c r="V66" s="176">
        <v>200</v>
      </c>
      <c r="W66" s="177">
        <v>16</v>
      </c>
      <c r="X66" s="173" t="e">
        <f t="shared" si="13"/>
        <v>#VALUE!</v>
      </c>
      <c r="Y66" s="174"/>
      <c r="Z66" s="175" t="str">
        <f t="shared" si="4"/>
        <v>2L200X16</v>
      </c>
      <c r="AA66" s="176">
        <v>200</v>
      </c>
      <c r="AB66" s="177">
        <v>16</v>
      </c>
      <c r="AC66" s="173" t="e">
        <f t="shared" si="14"/>
        <v>#VALUE!</v>
      </c>
      <c r="AE66" s="175" t="str">
        <f t="shared" si="5"/>
        <v>TB50,8X4,25</v>
      </c>
      <c r="AF66" s="176">
        <v>50.8</v>
      </c>
      <c r="AG66" s="177">
        <v>4.25</v>
      </c>
      <c r="AH66" s="173" t="e">
        <f t="shared" si="15"/>
        <v>#VALUE!</v>
      </c>
    </row>
    <row r="67" spans="1:34" ht="15.75" thickBot="1">
      <c r="A67" s="175" t="str">
        <f t="shared" si="7"/>
        <v>U125X75X8</v>
      </c>
      <c r="B67" s="176">
        <v>125</v>
      </c>
      <c r="C67" s="176">
        <v>75</v>
      </c>
      <c r="D67" s="177">
        <v>8</v>
      </c>
      <c r="E67" s="179" t="str">
        <f t="shared" si="8"/>
        <v>L200X19</v>
      </c>
      <c r="F67" s="180">
        <v>200</v>
      </c>
      <c r="G67" s="181">
        <v>19</v>
      </c>
      <c r="H67" s="179" t="str">
        <f t="shared" si="9"/>
        <v>2L200X19</v>
      </c>
      <c r="I67" s="180">
        <v>200</v>
      </c>
      <c r="J67" s="182">
        <v>19</v>
      </c>
      <c r="K67" s="175" t="str">
        <f t="shared" si="10"/>
        <v>TB57,2X4,25</v>
      </c>
      <c r="L67" s="176">
        <v>57.15</v>
      </c>
      <c r="M67" s="177">
        <v>4.25</v>
      </c>
      <c r="O67" s="175" t="str">
        <f t="shared" ref="O67:O128" si="16">CONCATENATE("U",P67,"X",Q67,"X",ROUND(R67,2))</f>
        <v>U200X75X2,65</v>
      </c>
      <c r="P67" s="176">
        <v>200</v>
      </c>
      <c r="Q67" s="176">
        <v>75</v>
      </c>
      <c r="R67" s="177">
        <v>2.65</v>
      </c>
      <c r="S67" s="173" t="e">
        <f t="shared" ref="S67:S98" si="17">PropriedadesUFF(P67,Q67,R67,$S$2)</f>
        <v>#VALUE!</v>
      </c>
      <c r="T67" s="174"/>
      <c r="U67" s="179" t="str">
        <f>CONCATENATE("L",V67,"X",ROUND(W67,2))</f>
        <v>L200X19</v>
      </c>
      <c r="V67" s="180">
        <v>200</v>
      </c>
      <c r="W67" s="181">
        <v>19</v>
      </c>
      <c r="X67" s="173" t="e">
        <f>PropriedadesLFF(V67,W67,$X$2)</f>
        <v>#VALUE!</v>
      </c>
      <c r="Y67" s="174"/>
      <c r="Z67" s="179" t="str">
        <f>CONCATENATE("2L",AA67,"X",ROUND(AB67,2))</f>
        <v>2L200X19</v>
      </c>
      <c r="AA67" s="180">
        <v>200</v>
      </c>
      <c r="AB67" s="181">
        <v>19</v>
      </c>
      <c r="AC67" s="173" t="e">
        <f>PropriedadesLLFF(AA67,AB67,$AC$2)</f>
        <v>#VALUE!</v>
      </c>
      <c r="AE67" s="175" t="str">
        <f t="shared" ref="AE67:AE112" si="18">CONCATENATE("TB",ROUNDUP(AF67,1),"X",AG67)</f>
        <v>TB101,6X2</v>
      </c>
      <c r="AF67" s="176">
        <v>101.6</v>
      </c>
      <c r="AG67" s="177">
        <v>2</v>
      </c>
      <c r="AH67" s="173" t="e">
        <f t="shared" ref="AH67:AH98" si="19">PropriedadesTBC(AF67,AG67,$AH$2)</f>
        <v>#VALUE!</v>
      </c>
    </row>
    <row r="68" spans="1:34" ht="15">
      <c r="A68" s="175" t="str">
        <f t="shared" ref="A68:A128" si="20">CONCATENATE("U",B68,"X",C68,"X",ROUND(D68,2))</f>
        <v>U150X50X2</v>
      </c>
      <c r="B68" s="176">
        <v>150</v>
      </c>
      <c r="C68" s="176">
        <v>50</v>
      </c>
      <c r="D68" s="177">
        <v>2</v>
      </c>
      <c r="K68" s="175" t="str">
        <f t="shared" ref="K68:K112" si="21">CONCATENATE("TB",ROUNDUP(L68,1),"X",M68)</f>
        <v>TB57,2X4,5</v>
      </c>
      <c r="L68" s="176">
        <v>57.15</v>
      </c>
      <c r="M68" s="177">
        <v>4.5</v>
      </c>
      <c r="O68" s="175" t="str">
        <f t="shared" si="16"/>
        <v>U150X75X3,35</v>
      </c>
      <c r="P68" s="176">
        <v>150</v>
      </c>
      <c r="Q68" s="176">
        <v>75</v>
      </c>
      <c r="R68" s="177">
        <v>3.35</v>
      </c>
      <c r="S68" s="173" t="e">
        <f t="shared" si="17"/>
        <v>#VALUE!</v>
      </c>
      <c r="Y68" s="174"/>
      <c r="AE68" s="175" t="str">
        <f t="shared" si="18"/>
        <v>TB57,2X3,75</v>
      </c>
      <c r="AF68" s="176">
        <v>57.15</v>
      </c>
      <c r="AG68" s="177">
        <v>3.75</v>
      </c>
      <c r="AH68" s="173" t="e">
        <f t="shared" si="19"/>
        <v>#VALUE!</v>
      </c>
    </row>
    <row r="69" spans="1:34" ht="15">
      <c r="A69" s="175" t="str">
        <f t="shared" si="20"/>
        <v>U150X50X2,25</v>
      </c>
      <c r="B69" s="176">
        <v>150</v>
      </c>
      <c r="C69" s="176">
        <v>50</v>
      </c>
      <c r="D69" s="177">
        <v>2.25</v>
      </c>
      <c r="K69" s="175" t="str">
        <f t="shared" si="21"/>
        <v>TB57,2X4,75</v>
      </c>
      <c r="L69" s="176">
        <v>57.15</v>
      </c>
      <c r="M69" s="177">
        <v>4.75</v>
      </c>
      <c r="O69" s="175" t="str">
        <f t="shared" si="16"/>
        <v>U200X50X3,35</v>
      </c>
      <c r="P69" s="176">
        <v>200</v>
      </c>
      <c r="Q69" s="176">
        <v>50</v>
      </c>
      <c r="R69" s="177">
        <v>3.35</v>
      </c>
      <c r="S69" s="173" t="e">
        <f t="shared" si="17"/>
        <v>#VALUE!</v>
      </c>
      <c r="Y69" s="174"/>
      <c r="AE69" s="175" t="str">
        <f t="shared" si="18"/>
        <v>TB63,5X3,35</v>
      </c>
      <c r="AF69" s="176">
        <v>63.5</v>
      </c>
      <c r="AG69" s="177">
        <v>3.35</v>
      </c>
      <c r="AH69" s="173" t="e">
        <f t="shared" si="19"/>
        <v>#VALUE!</v>
      </c>
    </row>
    <row r="70" spans="1:34" ht="15">
      <c r="A70" s="175" t="str">
        <f t="shared" si="20"/>
        <v>U150X50X2,65</v>
      </c>
      <c r="B70" s="176">
        <v>150</v>
      </c>
      <c r="C70" s="176">
        <v>50</v>
      </c>
      <c r="D70" s="177">
        <v>2.65</v>
      </c>
      <c r="K70" s="175" t="str">
        <f t="shared" si="21"/>
        <v>TB57,2X5</v>
      </c>
      <c r="L70" s="176">
        <v>57.15</v>
      </c>
      <c r="M70" s="177">
        <v>5</v>
      </c>
      <c r="O70" s="175" t="str">
        <f t="shared" si="16"/>
        <v>U125X75X3,75</v>
      </c>
      <c r="P70" s="176">
        <v>125</v>
      </c>
      <c r="Q70" s="176">
        <v>75</v>
      </c>
      <c r="R70" s="177">
        <v>3.75</v>
      </c>
      <c r="S70" s="173" t="e">
        <f t="shared" si="17"/>
        <v>#VALUE!</v>
      </c>
      <c r="Y70" s="174"/>
      <c r="AE70" s="175" t="str">
        <f t="shared" si="18"/>
        <v>TB50,8X4,5</v>
      </c>
      <c r="AF70" s="176">
        <v>50.8</v>
      </c>
      <c r="AG70" s="177">
        <v>4.5</v>
      </c>
      <c r="AH70" s="173" t="e">
        <f t="shared" si="19"/>
        <v>#VALUE!</v>
      </c>
    </row>
    <row r="71" spans="1:34" ht="15">
      <c r="A71" s="175" t="str">
        <f t="shared" si="20"/>
        <v>U150X50X3</v>
      </c>
      <c r="B71" s="176">
        <v>150</v>
      </c>
      <c r="C71" s="176">
        <v>50</v>
      </c>
      <c r="D71" s="177">
        <v>3</v>
      </c>
      <c r="K71" s="175" t="str">
        <f t="shared" si="21"/>
        <v>TB57,2X5,4</v>
      </c>
      <c r="L71" s="176">
        <v>57.15</v>
      </c>
      <c r="M71" s="177">
        <v>5.4</v>
      </c>
      <c r="O71" s="175" t="str">
        <f t="shared" si="16"/>
        <v>U125X50X4,75</v>
      </c>
      <c r="P71" s="176">
        <v>125</v>
      </c>
      <c r="Q71" s="176">
        <v>50</v>
      </c>
      <c r="R71" s="177">
        <v>4.75</v>
      </c>
      <c r="S71" s="173" t="e">
        <f t="shared" si="17"/>
        <v>#VALUE!</v>
      </c>
      <c r="Y71" s="174"/>
      <c r="AE71" s="175" t="str">
        <f t="shared" si="18"/>
        <v>TB50,8X4,75</v>
      </c>
      <c r="AF71" s="176">
        <v>50.8</v>
      </c>
      <c r="AG71" s="177">
        <v>4.75</v>
      </c>
      <c r="AH71" s="173" t="e">
        <f t="shared" si="19"/>
        <v>#VALUE!</v>
      </c>
    </row>
    <row r="72" spans="1:34" ht="15">
      <c r="A72" s="175" t="str">
        <f t="shared" si="20"/>
        <v>U150X50X3,35</v>
      </c>
      <c r="B72" s="176">
        <v>150</v>
      </c>
      <c r="C72" s="176">
        <v>50</v>
      </c>
      <c r="D72" s="177">
        <v>3.35</v>
      </c>
      <c r="K72" s="175" t="str">
        <f t="shared" si="21"/>
        <v>TB57,2X5,6</v>
      </c>
      <c r="L72" s="176">
        <v>57.15</v>
      </c>
      <c r="M72" s="177">
        <v>5.6</v>
      </c>
      <c r="O72" s="175" t="str">
        <f t="shared" si="16"/>
        <v>U100X75X4,25</v>
      </c>
      <c r="P72" s="176">
        <v>100</v>
      </c>
      <c r="Q72" s="176">
        <v>75</v>
      </c>
      <c r="R72" s="177">
        <v>4.25</v>
      </c>
      <c r="S72" s="173" t="e">
        <f t="shared" si="17"/>
        <v>#VALUE!</v>
      </c>
      <c r="Y72" s="174"/>
      <c r="AE72" s="175" t="str">
        <f t="shared" si="18"/>
        <v>TB76,2X3</v>
      </c>
      <c r="AF72" s="176">
        <v>76.2</v>
      </c>
      <c r="AG72" s="177">
        <v>3</v>
      </c>
      <c r="AH72" s="173" t="e">
        <f t="shared" si="19"/>
        <v>#VALUE!</v>
      </c>
    </row>
    <row r="73" spans="1:34" ht="15">
      <c r="A73" s="175" t="str">
        <f t="shared" si="20"/>
        <v>U150X50X3,75</v>
      </c>
      <c r="B73" s="176">
        <v>150</v>
      </c>
      <c r="C73" s="176">
        <v>50</v>
      </c>
      <c r="D73" s="177">
        <v>3.75</v>
      </c>
      <c r="K73" s="175" t="str">
        <f t="shared" si="21"/>
        <v>TB57,2X6,3</v>
      </c>
      <c r="L73" s="176">
        <v>57.15</v>
      </c>
      <c r="M73" s="177">
        <v>6.3</v>
      </c>
      <c r="O73" s="175" t="str">
        <f t="shared" si="16"/>
        <v>U150X50X4,25</v>
      </c>
      <c r="P73" s="176">
        <v>150</v>
      </c>
      <c r="Q73" s="176">
        <v>50</v>
      </c>
      <c r="R73" s="177">
        <v>4.25</v>
      </c>
      <c r="S73" s="173" t="e">
        <f t="shared" si="17"/>
        <v>#VALUE!</v>
      </c>
      <c r="Y73" s="174"/>
      <c r="AE73" s="175" t="str">
        <f t="shared" si="18"/>
        <v>TB101,6X2,25</v>
      </c>
      <c r="AF73" s="176">
        <v>101.6</v>
      </c>
      <c r="AG73" s="177">
        <v>2.25</v>
      </c>
      <c r="AH73" s="173" t="e">
        <f t="shared" si="19"/>
        <v>#VALUE!</v>
      </c>
    </row>
    <row r="74" spans="1:34" ht="15">
      <c r="A74" s="175" t="str">
        <f t="shared" si="20"/>
        <v>U150X50X4,25</v>
      </c>
      <c r="B74" s="176">
        <v>150</v>
      </c>
      <c r="C74" s="176">
        <v>50</v>
      </c>
      <c r="D74" s="177">
        <v>4.25</v>
      </c>
      <c r="K74" s="175" t="str">
        <f t="shared" si="21"/>
        <v>TB63,5X2</v>
      </c>
      <c r="L74" s="176">
        <v>63.5</v>
      </c>
      <c r="M74" s="177">
        <v>2</v>
      </c>
      <c r="O74" s="175" t="str">
        <f t="shared" si="16"/>
        <v>U100X40X6,3</v>
      </c>
      <c r="P74" s="176">
        <v>100</v>
      </c>
      <c r="Q74" s="176">
        <v>40</v>
      </c>
      <c r="R74" s="177">
        <v>6.3</v>
      </c>
      <c r="S74" s="173" t="e">
        <f t="shared" si="17"/>
        <v>#VALUE!</v>
      </c>
      <c r="Y74" s="174"/>
      <c r="AE74" s="175" t="str">
        <f t="shared" si="18"/>
        <v>TB63,5X3,75</v>
      </c>
      <c r="AF74" s="176">
        <v>63.5</v>
      </c>
      <c r="AG74" s="177">
        <v>3.75</v>
      </c>
      <c r="AH74" s="173" t="e">
        <f t="shared" si="19"/>
        <v>#VALUE!</v>
      </c>
    </row>
    <row r="75" spans="1:34" ht="15">
      <c r="A75" s="175" t="str">
        <f t="shared" si="20"/>
        <v>U150X50X4,75</v>
      </c>
      <c r="B75" s="176">
        <v>150</v>
      </c>
      <c r="C75" s="176">
        <v>50</v>
      </c>
      <c r="D75" s="177">
        <v>4.75</v>
      </c>
      <c r="K75" s="175" t="str">
        <f t="shared" si="21"/>
        <v>TB63,5X2,25</v>
      </c>
      <c r="L75" s="176">
        <v>63.5</v>
      </c>
      <c r="M75" s="177">
        <v>2.25</v>
      </c>
      <c r="O75" s="175" t="str">
        <f t="shared" si="16"/>
        <v>U200X75X3</v>
      </c>
      <c r="P75" s="176">
        <v>200</v>
      </c>
      <c r="Q75" s="176">
        <v>75</v>
      </c>
      <c r="R75" s="177">
        <v>3</v>
      </c>
      <c r="S75" s="173" t="e">
        <f t="shared" si="17"/>
        <v>#VALUE!</v>
      </c>
      <c r="Y75" s="174"/>
      <c r="AE75" s="175" t="str">
        <f t="shared" si="18"/>
        <v>TB57,2X4,25</v>
      </c>
      <c r="AF75" s="176">
        <v>57.15</v>
      </c>
      <c r="AG75" s="177">
        <v>4.25</v>
      </c>
      <c r="AH75" s="173" t="e">
        <f t="shared" si="19"/>
        <v>#VALUE!</v>
      </c>
    </row>
    <row r="76" spans="1:34" ht="15">
      <c r="A76" s="175" t="str">
        <f t="shared" si="20"/>
        <v>U150X50X6,3</v>
      </c>
      <c r="B76" s="176">
        <v>150</v>
      </c>
      <c r="C76" s="176">
        <v>50</v>
      </c>
      <c r="D76" s="177">
        <v>6.3</v>
      </c>
      <c r="K76" s="175" t="str">
        <f t="shared" si="21"/>
        <v>TB63,5X2,65</v>
      </c>
      <c r="L76" s="176">
        <v>63.5</v>
      </c>
      <c r="M76" s="177">
        <v>2.65</v>
      </c>
      <c r="O76" s="175" t="str">
        <f t="shared" si="16"/>
        <v>U200X100X2,65</v>
      </c>
      <c r="P76" s="176">
        <v>200</v>
      </c>
      <c r="Q76" s="176">
        <v>100</v>
      </c>
      <c r="R76" s="177">
        <v>2.65</v>
      </c>
      <c r="S76" s="173" t="e">
        <f t="shared" si="17"/>
        <v>#VALUE!</v>
      </c>
      <c r="Y76" s="174"/>
      <c r="AE76" s="175" t="str">
        <f t="shared" si="18"/>
        <v>TB50,8X5</v>
      </c>
      <c r="AF76" s="176">
        <v>50.8</v>
      </c>
      <c r="AG76" s="177">
        <v>5</v>
      </c>
      <c r="AH76" s="173" t="e">
        <f t="shared" si="19"/>
        <v>#VALUE!</v>
      </c>
    </row>
    <row r="77" spans="1:34" ht="15">
      <c r="A77" s="175" t="str">
        <f t="shared" si="20"/>
        <v>U150X50X8</v>
      </c>
      <c r="B77" s="176">
        <v>150</v>
      </c>
      <c r="C77" s="176">
        <v>50</v>
      </c>
      <c r="D77" s="177">
        <v>8</v>
      </c>
      <c r="K77" s="175" t="str">
        <f t="shared" si="21"/>
        <v>TB63,5X3</v>
      </c>
      <c r="L77" s="176">
        <v>63.5</v>
      </c>
      <c r="M77" s="177">
        <v>3</v>
      </c>
      <c r="O77" s="175" t="str">
        <f t="shared" si="16"/>
        <v>U150X75X3,75</v>
      </c>
      <c r="P77" s="176">
        <v>150</v>
      </c>
      <c r="Q77" s="176">
        <v>75</v>
      </c>
      <c r="R77" s="177">
        <v>3.75</v>
      </c>
      <c r="S77" s="173" t="e">
        <f t="shared" si="17"/>
        <v>#VALUE!</v>
      </c>
      <c r="Y77" s="174"/>
      <c r="AE77" s="175" t="str">
        <f t="shared" si="18"/>
        <v>TB57,2X4,5</v>
      </c>
      <c r="AF77" s="176">
        <v>57.15</v>
      </c>
      <c r="AG77" s="177">
        <v>4.5</v>
      </c>
      <c r="AH77" s="173" t="e">
        <f t="shared" si="19"/>
        <v>#VALUE!</v>
      </c>
    </row>
    <row r="78" spans="1:34" ht="15">
      <c r="A78" s="175" t="str">
        <f t="shared" si="20"/>
        <v>U150X75X2,65</v>
      </c>
      <c r="B78" s="176">
        <v>150</v>
      </c>
      <c r="C78" s="176">
        <v>75</v>
      </c>
      <c r="D78" s="177">
        <v>2.65</v>
      </c>
      <c r="K78" s="175" t="str">
        <f t="shared" si="21"/>
        <v>TB63,5X3,35</v>
      </c>
      <c r="L78" s="176">
        <v>63.5</v>
      </c>
      <c r="M78" s="177">
        <v>3.35</v>
      </c>
      <c r="O78" s="175" t="str">
        <f t="shared" si="16"/>
        <v>U200X50X3,75</v>
      </c>
      <c r="P78" s="176">
        <v>200</v>
      </c>
      <c r="Q78" s="176">
        <v>50</v>
      </c>
      <c r="R78" s="177">
        <v>3.75</v>
      </c>
      <c r="S78" s="173" t="e">
        <f t="shared" si="17"/>
        <v>#VALUE!</v>
      </c>
      <c r="Y78" s="174"/>
      <c r="AE78" s="175" t="str">
        <f t="shared" si="18"/>
        <v>TB76,2X3,35</v>
      </c>
      <c r="AF78" s="176">
        <v>76.2</v>
      </c>
      <c r="AG78" s="177">
        <v>3.35</v>
      </c>
      <c r="AH78" s="173" t="e">
        <f t="shared" si="19"/>
        <v>#VALUE!</v>
      </c>
    </row>
    <row r="79" spans="1:34" ht="15">
      <c r="A79" s="175" t="str">
        <f t="shared" si="20"/>
        <v>U150X75X3</v>
      </c>
      <c r="B79" s="176">
        <v>150</v>
      </c>
      <c r="C79" s="176">
        <v>75</v>
      </c>
      <c r="D79" s="177">
        <v>3</v>
      </c>
      <c r="K79" s="175" t="str">
        <f t="shared" si="21"/>
        <v>TB63,5X3,75</v>
      </c>
      <c r="L79" s="176">
        <v>63.5</v>
      </c>
      <c r="M79" s="177">
        <v>3.75</v>
      </c>
      <c r="O79" s="175" t="str">
        <f t="shared" si="16"/>
        <v>U125X75X4,25</v>
      </c>
      <c r="P79" s="176">
        <v>125</v>
      </c>
      <c r="Q79" s="176">
        <v>75</v>
      </c>
      <c r="R79" s="177">
        <v>4.25</v>
      </c>
      <c r="S79" s="173" t="e">
        <f t="shared" si="17"/>
        <v>#VALUE!</v>
      </c>
      <c r="Y79" s="174"/>
      <c r="AE79" s="175" t="str">
        <f t="shared" si="18"/>
        <v>TB50,8X5,4</v>
      </c>
      <c r="AF79" s="176">
        <v>50.8</v>
      </c>
      <c r="AG79" s="177">
        <v>5.4</v>
      </c>
      <c r="AH79" s="173" t="e">
        <f t="shared" si="19"/>
        <v>#VALUE!</v>
      </c>
    </row>
    <row r="80" spans="1:34" ht="15">
      <c r="A80" s="175" t="str">
        <f t="shared" si="20"/>
        <v>U150X75X3,35</v>
      </c>
      <c r="B80" s="176">
        <v>150</v>
      </c>
      <c r="C80" s="176">
        <v>75</v>
      </c>
      <c r="D80" s="177">
        <v>3.35</v>
      </c>
      <c r="K80" s="175" t="str">
        <f t="shared" si="21"/>
        <v>TB63,5X4,25</v>
      </c>
      <c r="L80" s="176">
        <v>63.5</v>
      </c>
      <c r="M80" s="177">
        <v>4.25</v>
      </c>
      <c r="O80" s="175" t="str">
        <f t="shared" si="16"/>
        <v>U100X75X4,75</v>
      </c>
      <c r="P80" s="176">
        <v>100</v>
      </c>
      <c r="Q80" s="176">
        <v>75</v>
      </c>
      <c r="R80" s="177">
        <v>4.75</v>
      </c>
      <c r="S80" s="173" t="e">
        <f t="shared" si="17"/>
        <v>#VALUE!</v>
      </c>
      <c r="Y80" s="174"/>
      <c r="AE80" s="175" t="str">
        <f t="shared" si="18"/>
        <v>TB57,2X4,75</v>
      </c>
      <c r="AF80" s="176">
        <v>57.15</v>
      </c>
      <c r="AG80" s="177">
        <v>4.75</v>
      </c>
      <c r="AH80" s="173" t="e">
        <f t="shared" si="19"/>
        <v>#VALUE!</v>
      </c>
    </row>
    <row r="81" spans="1:34" ht="15">
      <c r="A81" s="175" t="str">
        <f t="shared" si="20"/>
        <v>U150X75X3,75</v>
      </c>
      <c r="B81" s="176">
        <v>150</v>
      </c>
      <c r="C81" s="176">
        <v>75</v>
      </c>
      <c r="D81" s="177">
        <v>3.75</v>
      </c>
      <c r="K81" s="175" t="str">
        <f t="shared" si="21"/>
        <v>TB63,5X4,5</v>
      </c>
      <c r="L81" s="176">
        <v>63.5</v>
      </c>
      <c r="M81" s="177">
        <v>4.5</v>
      </c>
      <c r="O81" s="175" t="str">
        <f t="shared" si="16"/>
        <v>U150X50X4,75</v>
      </c>
      <c r="P81" s="176">
        <v>150</v>
      </c>
      <c r="Q81" s="176">
        <v>50</v>
      </c>
      <c r="R81" s="177">
        <v>4.75</v>
      </c>
      <c r="S81" s="173" t="e">
        <f t="shared" si="17"/>
        <v>#VALUE!</v>
      </c>
      <c r="Y81" s="174"/>
      <c r="AE81" s="175" t="str">
        <f t="shared" si="18"/>
        <v>TB63,5X4,25</v>
      </c>
      <c r="AF81" s="176">
        <v>63.5</v>
      </c>
      <c r="AG81" s="177">
        <v>4.25</v>
      </c>
      <c r="AH81" s="173" t="e">
        <f t="shared" si="19"/>
        <v>#VALUE!</v>
      </c>
    </row>
    <row r="82" spans="1:34" ht="15">
      <c r="A82" s="175" t="str">
        <f t="shared" si="20"/>
        <v>U150X75X4,25</v>
      </c>
      <c r="B82" s="176">
        <v>150</v>
      </c>
      <c r="C82" s="176">
        <v>75</v>
      </c>
      <c r="D82" s="177">
        <v>4.25</v>
      </c>
      <c r="K82" s="175" t="str">
        <f t="shared" si="21"/>
        <v>TB63,5X4,75</v>
      </c>
      <c r="L82" s="176">
        <v>63.5</v>
      </c>
      <c r="M82" s="177">
        <v>4.75</v>
      </c>
      <c r="O82" s="175" t="str">
        <f t="shared" si="16"/>
        <v>U100X50X6,3</v>
      </c>
      <c r="P82" s="176">
        <v>100</v>
      </c>
      <c r="Q82" s="176">
        <v>50</v>
      </c>
      <c r="R82" s="177">
        <v>6.3</v>
      </c>
      <c r="S82" s="173" t="e">
        <f t="shared" si="17"/>
        <v>#VALUE!</v>
      </c>
      <c r="Y82" s="174"/>
      <c r="AE82" s="175" t="str">
        <f t="shared" si="18"/>
        <v>TB50,8X5,6</v>
      </c>
      <c r="AF82" s="176">
        <v>50.8</v>
      </c>
      <c r="AG82" s="177">
        <v>5.6</v>
      </c>
      <c r="AH82" s="173" t="e">
        <f t="shared" si="19"/>
        <v>#VALUE!</v>
      </c>
    </row>
    <row r="83" spans="1:34" ht="15">
      <c r="A83" s="175" t="str">
        <f t="shared" si="20"/>
        <v>U150X75X4,75</v>
      </c>
      <c r="B83" s="176">
        <v>150</v>
      </c>
      <c r="C83" s="176">
        <v>75</v>
      </c>
      <c r="D83" s="177">
        <v>4.75</v>
      </c>
      <c r="K83" s="175" t="str">
        <f t="shared" si="21"/>
        <v>TB63,5X5</v>
      </c>
      <c r="L83" s="176">
        <v>63.5</v>
      </c>
      <c r="M83" s="177">
        <v>5</v>
      </c>
      <c r="O83" s="175" t="str">
        <f t="shared" si="16"/>
        <v>U200X75X3,35</v>
      </c>
      <c r="P83" s="176">
        <v>200</v>
      </c>
      <c r="Q83" s="176">
        <v>75</v>
      </c>
      <c r="R83" s="177">
        <v>3.35</v>
      </c>
      <c r="S83" s="173" t="e">
        <f t="shared" si="17"/>
        <v>#VALUE!</v>
      </c>
      <c r="Y83" s="174"/>
      <c r="AE83" s="175" t="str">
        <f t="shared" si="18"/>
        <v>TB57,2X5</v>
      </c>
      <c r="AF83" s="176">
        <v>57.15</v>
      </c>
      <c r="AG83" s="177">
        <v>5</v>
      </c>
      <c r="AH83" s="173" t="e">
        <f t="shared" si="19"/>
        <v>#VALUE!</v>
      </c>
    </row>
    <row r="84" spans="1:34" ht="15">
      <c r="A84" s="175" t="str">
        <f t="shared" si="20"/>
        <v>U150X75X6,3</v>
      </c>
      <c r="B84" s="176">
        <v>150</v>
      </c>
      <c r="C84" s="176">
        <v>75</v>
      </c>
      <c r="D84" s="177">
        <v>6.3</v>
      </c>
      <c r="K84" s="175" t="str">
        <f t="shared" si="21"/>
        <v>TB63,5X5,4</v>
      </c>
      <c r="L84" s="176">
        <v>63.5</v>
      </c>
      <c r="M84" s="177">
        <v>5.4</v>
      </c>
      <c r="O84" s="175" t="str">
        <f t="shared" si="16"/>
        <v>U250X100X2,65</v>
      </c>
      <c r="P84" s="176">
        <v>250</v>
      </c>
      <c r="Q84" s="176">
        <v>100</v>
      </c>
      <c r="R84" s="177">
        <v>2.65</v>
      </c>
      <c r="S84" s="173" t="e">
        <f t="shared" si="17"/>
        <v>#VALUE!</v>
      </c>
      <c r="Y84" s="174"/>
      <c r="AE84" s="175" t="str">
        <f t="shared" si="18"/>
        <v>TB101,6X2,65</v>
      </c>
      <c r="AF84" s="176">
        <v>101.6</v>
      </c>
      <c r="AG84" s="177">
        <v>2.65</v>
      </c>
      <c r="AH84" s="173" t="e">
        <f t="shared" si="19"/>
        <v>#VALUE!</v>
      </c>
    </row>
    <row r="85" spans="1:34" ht="15">
      <c r="A85" s="175" t="str">
        <f t="shared" si="20"/>
        <v>U150X75X8</v>
      </c>
      <c r="B85" s="176">
        <v>150</v>
      </c>
      <c r="C85" s="176">
        <v>75</v>
      </c>
      <c r="D85" s="177">
        <v>8</v>
      </c>
      <c r="K85" s="175" t="str">
        <f t="shared" si="21"/>
        <v>TB63,5X5,6</v>
      </c>
      <c r="L85" s="176">
        <v>63.5</v>
      </c>
      <c r="M85" s="177">
        <v>5.6</v>
      </c>
      <c r="O85" s="175" t="str">
        <f t="shared" si="16"/>
        <v>U200X100X3</v>
      </c>
      <c r="P85" s="176">
        <v>200</v>
      </c>
      <c r="Q85" s="176">
        <v>100</v>
      </c>
      <c r="R85" s="177">
        <v>3</v>
      </c>
      <c r="S85" s="173" t="e">
        <f t="shared" si="17"/>
        <v>#VALUE!</v>
      </c>
      <c r="Y85" s="174"/>
      <c r="AE85" s="175" t="str">
        <f t="shared" si="18"/>
        <v>TB63,5X4,5</v>
      </c>
      <c r="AF85" s="176">
        <v>63.5</v>
      </c>
      <c r="AG85" s="177">
        <v>4.5</v>
      </c>
      <c r="AH85" s="173" t="e">
        <f t="shared" si="19"/>
        <v>#VALUE!</v>
      </c>
    </row>
    <row r="86" spans="1:34" ht="15">
      <c r="A86" s="175" t="str">
        <f t="shared" si="20"/>
        <v>U200X50X2</v>
      </c>
      <c r="B86" s="176">
        <v>200</v>
      </c>
      <c r="C86" s="176">
        <v>50</v>
      </c>
      <c r="D86" s="177">
        <v>2</v>
      </c>
      <c r="K86" s="175" t="str">
        <f t="shared" si="21"/>
        <v>TB63,5X6,3</v>
      </c>
      <c r="L86" s="176">
        <v>63.5</v>
      </c>
      <c r="M86" s="177">
        <v>6.3</v>
      </c>
      <c r="O86" s="175" t="str">
        <f t="shared" si="16"/>
        <v>U150X75X4,25</v>
      </c>
      <c r="P86" s="176">
        <v>150</v>
      </c>
      <c r="Q86" s="176">
        <v>75</v>
      </c>
      <c r="R86" s="177">
        <v>4.25</v>
      </c>
      <c r="S86" s="173" t="e">
        <f t="shared" si="17"/>
        <v>#VALUE!</v>
      </c>
      <c r="Y86" s="174"/>
      <c r="AE86" s="175" t="str">
        <f t="shared" si="18"/>
        <v>TB76,2X3,75</v>
      </c>
      <c r="AF86" s="176">
        <v>76.2</v>
      </c>
      <c r="AG86" s="177">
        <v>3.75</v>
      </c>
      <c r="AH86" s="173" t="e">
        <f t="shared" si="19"/>
        <v>#VALUE!</v>
      </c>
    </row>
    <row r="87" spans="1:34" ht="15">
      <c r="A87" s="175" t="str">
        <f t="shared" si="20"/>
        <v>U200X50X2,25</v>
      </c>
      <c r="B87" s="176">
        <v>200</v>
      </c>
      <c r="C87" s="176">
        <v>50</v>
      </c>
      <c r="D87" s="177">
        <v>2.25</v>
      </c>
      <c r="K87" s="175" t="str">
        <f t="shared" si="21"/>
        <v>TB76,2X2</v>
      </c>
      <c r="L87" s="176">
        <v>76.2</v>
      </c>
      <c r="M87" s="177">
        <v>2</v>
      </c>
      <c r="O87" s="175" t="str">
        <f t="shared" si="16"/>
        <v>U200X50X4,25</v>
      </c>
      <c r="P87" s="176">
        <v>200</v>
      </c>
      <c r="Q87" s="176">
        <v>50</v>
      </c>
      <c r="R87" s="177">
        <v>4.25</v>
      </c>
      <c r="S87" s="173" t="e">
        <f t="shared" si="17"/>
        <v>#VALUE!</v>
      </c>
      <c r="Y87" s="174"/>
      <c r="AE87" s="175" t="str">
        <f t="shared" si="18"/>
        <v>TB63,5X4,75</v>
      </c>
      <c r="AF87" s="176">
        <v>63.5</v>
      </c>
      <c r="AG87" s="177">
        <v>4.75</v>
      </c>
      <c r="AH87" s="173" t="e">
        <f t="shared" si="19"/>
        <v>#VALUE!</v>
      </c>
    </row>
    <row r="88" spans="1:34" ht="15">
      <c r="A88" s="175" t="str">
        <f t="shared" si="20"/>
        <v>U200X50X2,65</v>
      </c>
      <c r="B88" s="176">
        <v>200</v>
      </c>
      <c r="C88" s="176">
        <v>50</v>
      </c>
      <c r="D88" s="177">
        <v>2.65</v>
      </c>
      <c r="K88" s="175" t="str">
        <f t="shared" si="21"/>
        <v>TB76,2X2,25</v>
      </c>
      <c r="L88" s="176">
        <v>76.2</v>
      </c>
      <c r="M88" s="177">
        <v>2.25</v>
      </c>
      <c r="O88" s="175" t="str">
        <f t="shared" si="16"/>
        <v>U125X75X4,75</v>
      </c>
      <c r="P88" s="176">
        <v>125</v>
      </c>
      <c r="Q88" s="176">
        <v>75</v>
      </c>
      <c r="R88" s="177">
        <v>4.75</v>
      </c>
      <c r="S88" s="173" t="e">
        <f t="shared" si="17"/>
        <v>#VALUE!</v>
      </c>
      <c r="Y88" s="174"/>
      <c r="AE88" s="175" t="str">
        <f t="shared" si="18"/>
        <v>TB57,2X5,4</v>
      </c>
      <c r="AF88" s="176">
        <v>57.15</v>
      </c>
      <c r="AG88" s="177">
        <v>5.4</v>
      </c>
      <c r="AH88" s="173" t="e">
        <f t="shared" si="19"/>
        <v>#VALUE!</v>
      </c>
    </row>
    <row r="89" spans="1:34" ht="15">
      <c r="A89" s="175" t="str">
        <f t="shared" si="20"/>
        <v>U200X50X3</v>
      </c>
      <c r="B89" s="176">
        <v>200</v>
      </c>
      <c r="C89" s="176">
        <v>50</v>
      </c>
      <c r="D89" s="177">
        <v>3</v>
      </c>
      <c r="K89" s="175" t="str">
        <f t="shared" si="21"/>
        <v>TB76,2X2,65</v>
      </c>
      <c r="L89" s="176">
        <v>76.2</v>
      </c>
      <c r="M89" s="177">
        <v>2.65</v>
      </c>
      <c r="O89" s="175" t="str">
        <f t="shared" si="16"/>
        <v>U200X75X3,75</v>
      </c>
      <c r="P89" s="176">
        <v>200</v>
      </c>
      <c r="Q89" s="176">
        <v>75</v>
      </c>
      <c r="R89" s="177">
        <v>3.75</v>
      </c>
      <c r="S89" s="173" t="e">
        <f t="shared" si="17"/>
        <v>#VALUE!</v>
      </c>
      <c r="Y89" s="174"/>
      <c r="AE89" s="175" t="str">
        <f t="shared" si="18"/>
        <v>TB50,8X6,3</v>
      </c>
      <c r="AF89" s="176">
        <v>50.8</v>
      </c>
      <c r="AG89" s="177">
        <v>6.3</v>
      </c>
      <c r="AH89" s="173" t="e">
        <f t="shared" si="19"/>
        <v>#VALUE!</v>
      </c>
    </row>
    <row r="90" spans="1:34" ht="15">
      <c r="A90" s="175" t="str">
        <f t="shared" si="20"/>
        <v>U200X50X3,35</v>
      </c>
      <c r="B90" s="176">
        <v>200</v>
      </c>
      <c r="C90" s="176">
        <v>50</v>
      </c>
      <c r="D90" s="177">
        <v>3.35</v>
      </c>
      <c r="K90" s="175" t="str">
        <f t="shared" si="21"/>
        <v>TB76,2X3</v>
      </c>
      <c r="L90" s="176">
        <v>76.2</v>
      </c>
      <c r="M90" s="177">
        <v>3</v>
      </c>
      <c r="O90" s="175" t="str">
        <f t="shared" si="16"/>
        <v>U125X50X6,3</v>
      </c>
      <c r="P90" s="176">
        <v>125</v>
      </c>
      <c r="Q90" s="176">
        <v>50</v>
      </c>
      <c r="R90" s="177">
        <v>6.3</v>
      </c>
      <c r="S90" s="173" t="e">
        <f t="shared" si="17"/>
        <v>#VALUE!</v>
      </c>
      <c r="Y90" s="174"/>
      <c r="AE90" s="175" t="str">
        <f t="shared" si="18"/>
        <v>TB57,2X5,6</v>
      </c>
      <c r="AF90" s="176">
        <v>57.15</v>
      </c>
      <c r="AG90" s="177">
        <v>5.6</v>
      </c>
      <c r="AH90" s="173" t="e">
        <f t="shared" si="19"/>
        <v>#VALUE!</v>
      </c>
    </row>
    <row r="91" spans="1:34" ht="15">
      <c r="A91" s="175" t="str">
        <f t="shared" si="20"/>
        <v>U200X50X3,75</v>
      </c>
      <c r="B91" s="176">
        <v>200</v>
      </c>
      <c r="C91" s="176">
        <v>50</v>
      </c>
      <c r="D91" s="177">
        <v>3.75</v>
      </c>
      <c r="K91" s="175" t="str">
        <f t="shared" si="21"/>
        <v>TB76,2X3,35</v>
      </c>
      <c r="L91" s="176">
        <v>76.2</v>
      </c>
      <c r="M91" s="177">
        <v>3.35</v>
      </c>
      <c r="O91" s="175" t="str">
        <f t="shared" si="16"/>
        <v>U300X100X2,65</v>
      </c>
      <c r="P91" s="176">
        <v>300</v>
      </c>
      <c r="Q91" s="176">
        <v>100</v>
      </c>
      <c r="R91" s="177">
        <v>2.65</v>
      </c>
      <c r="S91" s="173" t="e">
        <f t="shared" si="17"/>
        <v>#VALUE!</v>
      </c>
      <c r="Y91" s="174"/>
      <c r="AE91" s="175" t="str">
        <f t="shared" si="18"/>
        <v>TB63,5X5</v>
      </c>
      <c r="AF91" s="176">
        <v>63.5</v>
      </c>
      <c r="AG91" s="177">
        <v>5</v>
      </c>
      <c r="AH91" s="173" t="e">
        <f t="shared" si="19"/>
        <v>#VALUE!</v>
      </c>
    </row>
    <row r="92" spans="1:34" ht="15">
      <c r="A92" s="175" t="str">
        <f t="shared" si="20"/>
        <v>U200X50X4,25</v>
      </c>
      <c r="B92" s="176">
        <v>200</v>
      </c>
      <c r="C92" s="176">
        <v>50</v>
      </c>
      <c r="D92" s="177">
        <v>4.25</v>
      </c>
      <c r="K92" s="175" t="str">
        <f t="shared" si="21"/>
        <v>TB76,2X3,75</v>
      </c>
      <c r="L92" s="176">
        <v>76.2</v>
      </c>
      <c r="M92" s="177">
        <v>3.75</v>
      </c>
      <c r="O92" s="175" t="str">
        <f t="shared" si="16"/>
        <v>U200X100X3,35</v>
      </c>
      <c r="P92" s="176">
        <v>200</v>
      </c>
      <c r="Q92" s="176">
        <v>100</v>
      </c>
      <c r="R92" s="177">
        <v>3.35</v>
      </c>
      <c r="S92" s="173" t="e">
        <f t="shared" si="17"/>
        <v>#VALUE!</v>
      </c>
      <c r="Y92" s="174"/>
      <c r="AE92" s="175" t="str">
        <f t="shared" si="18"/>
        <v>TB101,6X3</v>
      </c>
      <c r="AF92" s="176">
        <v>101.6</v>
      </c>
      <c r="AG92" s="177">
        <v>3</v>
      </c>
      <c r="AH92" s="173" t="e">
        <f t="shared" si="19"/>
        <v>#VALUE!</v>
      </c>
    </row>
    <row r="93" spans="1:34" ht="15">
      <c r="A93" s="175" t="str">
        <f t="shared" si="20"/>
        <v>U200X50X4,75</v>
      </c>
      <c r="B93" s="176">
        <v>200</v>
      </c>
      <c r="C93" s="176">
        <v>50</v>
      </c>
      <c r="D93" s="177">
        <v>4.75</v>
      </c>
      <c r="K93" s="175" t="str">
        <f t="shared" si="21"/>
        <v>TB76,2X4,25</v>
      </c>
      <c r="L93" s="176">
        <v>76.2</v>
      </c>
      <c r="M93" s="177">
        <v>4.25</v>
      </c>
      <c r="O93" s="175" t="str">
        <f t="shared" si="16"/>
        <v>U250X100X3</v>
      </c>
      <c r="P93" s="176">
        <v>250</v>
      </c>
      <c r="Q93" s="176">
        <v>100</v>
      </c>
      <c r="R93" s="177">
        <v>3</v>
      </c>
      <c r="S93" s="173" t="e">
        <f t="shared" si="17"/>
        <v>#VALUE!</v>
      </c>
      <c r="Y93" s="174"/>
      <c r="AE93" s="175" t="str">
        <f t="shared" si="18"/>
        <v>TB76,2X4,25</v>
      </c>
      <c r="AF93" s="176">
        <v>76.2</v>
      </c>
      <c r="AG93" s="177">
        <v>4.25</v>
      </c>
      <c r="AH93" s="173" t="e">
        <f t="shared" si="19"/>
        <v>#VALUE!</v>
      </c>
    </row>
    <row r="94" spans="1:34" ht="15">
      <c r="A94" s="175" t="str">
        <f t="shared" si="20"/>
        <v>U200X50X6,3</v>
      </c>
      <c r="B94" s="176">
        <v>200</v>
      </c>
      <c r="C94" s="176">
        <v>50</v>
      </c>
      <c r="D94" s="177">
        <v>6.3</v>
      </c>
      <c r="K94" s="175" t="str">
        <f t="shared" si="21"/>
        <v>TB76,2X4,5</v>
      </c>
      <c r="L94" s="176">
        <v>76.2</v>
      </c>
      <c r="M94" s="177">
        <v>4.5</v>
      </c>
      <c r="O94" s="175" t="str">
        <f t="shared" si="16"/>
        <v>U150X75X4,75</v>
      </c>
      <c r="P94" s="176">
        <v>150</v>
      </c>
      <c r="Q94" s="176">
        <v>75</v>
      </c>
      <c r="R94" s="177">
        <v>4.75</v>
      </c>
      <c r="S94" s="173" t="e">
        <f t="shared" si="17"/>
        <v>#VALUE!</v>
      </c>
      <c r="Y94" s="174"/>
      <c r="AE94" s="175" t="str">
        <f t="shared" si="18"/>
        <v>TB63,5X5,4</v>
      </c>
      <c r="AF94" s="176">
        <v>63.5</v>
      </c>
      <c r="AG94" s="177">
        <v>5.4</v>
      </c>
      <c r="AH94" s="173" t="e">
        <f t="shared" si="19"/>
        <v>#VALUE!</v>
      </c>
    </row>
    <row r="95" spans="1:34" ht="15">
      <c r="A95" s="175" t="str">
        <f t="shared" si="20"/>
        <v>U200X50X8</v>
      </c>
      <c r="B95" s="176">
        <v>200</v>
      </c>
      <c r="C95" s="176">
        <v>50</v>
      </c>
      <c r="D95" s="177">
        <v>8</v>
      </c>
      <c r="K95" s="175" t="str">
        <f t="shared" si="21"/>
        <v>TB76,2X4,75</v>
      </c>
      <c r="L95" s="176">
        <v>76.2</v>
      </c>
      <c r="M95" s="177">
        <v>4.75</v>
      </c>
      <c r="O95" s="175" t="str">
        <f t="shared" si="16"/>
        <v>U200X50X4,75</v>
      </c>
      <c r="P95" s="176">
        <v>200</v>
      </c>
      <c r="Q95" s="176">
        <v>50</v>
      </c>
      <c r="R95" s="177">
        <v>4.75</v>
      </c>
      <c r="S95" s="173" t="e">
        <f t="shared" si="17"/>
        <v>#VALUE!</v>
      </c>
      <c r="Y95" s="174"/>
      <c r="AE95" s="175" t="str">
        <f t="shared" si="18"/>
        <v>TB57,2X6,3</v>
      </c>
      <c r="AF95" s="176">
        <v>57.15</v>
      </c>
      <c r="AG95" s="177">
        <v>6.3</v>
      </c>
      <c r="AH95" s="173" t="e">
        <f t="shared" si="19"/>
        <v>#VALUE!</v>
      </c>
    </row>
    <row r="96" spans="1:34" ht="15">
      <c r="A96" s="175" t="str">
        <f t="shared" si="20"/>
        <v>U200X75X2,65</v>
      </c>
      <c r="B96" s="176">
        <v>200</v>
      </c>
      <c r="C96" s="176">
        <v>75</v>
      </c>
      <c r="D96" s="177">
        <v>2.65</v>
      </c>
      <c r="K96" s="175" t="str">
        <f t="shared" si="21"/>
        <v>TB76,2X5</v>
      </c>
      <c r="L96" s="176">
        <v>76.2</v>
      </c>
      <c r="M96" s="177">
        <v>5</v>
      </c>
      <c r="O96" s="175" t="str">
        <f t="shared" si="16"/>
        <v>U200X75X4,25</v>
      </c>
      <c r="P96" s="176">
        <v>200</v>
      </c>
      <c r="Q96" s="176">
        <v>75</v>
      </c>
      <c r="R96" s="177">
        <v>4.25</v>
      </c>
      <c r="S96" s="173" t="e">
        <f t="shared" si="17"/>
        <v>#VALUE!</v>
      </c>
      <c r="Y96" s="174"/>
      <c r="AE96" s="175" t="str">
        <f t="shared" si="18"/>
        <v>TB76,2X4,5</v>
      </c>
      <c r="AF96" s="176">
        <v>76.2</v>
      </c>
      <c r="AG96" s="177">
        <v>4.5</v>
      </c>
      <c r="AH96" s="173" t="e">
        <f t="shared" si="19"/>
        <v>#VALUE!</v>
      </c>
    </row>
    <row r="97" spans="1:34" ht="15">
      <c r="A97" s="175" t="str">
        <f t="shared" si="20"/>
        <v>U200X75X3</v>
      </c>
      <c r="B97" s="176">
        <v>200</v>
      </c>
      <c r="C97" s="176">
        <v>75</v>
      </c>
      <c r="D97" s="177">
        <v>3</v>
      </c>
      <c r="K97" s="175" t="str">
        <f t="shared" si="21"/>
        <v>TB76,2X5,4</v>
      </c>
      <c r="L97" s="176">
        <v>76.2</v>
      </c>
      <c r="M97" s="177">
        <v>5.4</v>
      </c>
      <c r="O97" s="175" t="str">
        <f t="shared" si="16"/>
        <v>U100X75X6,3</v>
      </c>
      <c r="P97" s="176">
        <v>100</v>
      </c>
      <c r="Q97" s="176">
        <v>75</v>
      </c>
      <c r="R97" s="177">
        <v>6.3</v>
      </c>
      <c r="S97" s="173" t="e">
        <f t="shared" si="17"/>
        <v>#VALUE!</v>
      </c>
      <c r="Y97" s="174"/>
      <c r="AE97" s="175" t="str">
        <f t="shared" si="18"/>
        <v>TB63,5X5,6</v>
      </c>
      <c r="AF97" s="176">
        <v>63.5</v>
      </c>
      <c r="AG97" s="177">
        <v>5.6</v>
      </c>
      <c r="AH97" s="173" t="e">
        <f t="shared" si="19"/>
        <v>#VALUE!</v>
      </c>
    </row>
    <row r="98" spans="1:34" ht="15">
      <c r="A98" s="175" t="str">
        <f t="shared" si="20"/>
        <v>U200X75X3,35</v>
      </c>
      <c r="B98" s="176">
        <v>200</v>
      </c>
      <c r="C98" s="176">
        <v>75</v>
      </c>
      <c r="D98" s="177">
        <v>3.35</v>
      </c>
      <c r="K98" s="175" t="str">
        <f t="shared" si="21"/>
        <v>TB76,2X5,6</v>
      </c>
      <c r="L98" s="176">
        <v>76.2</v>
      </c>
      <c r="M98" s="177">
        <v>5.6</v>
      </c>
      <c r="O98" s="175" t="str">
        <f t="shared" si="16"/>
        <v>U150X50X6,3</v>
      </c>
      <c r="P98" s="176">
        <v>150</v>
      </c>
      <c r="Q98" s="176">
        <v>50</v>
      </c>
      <c r="R98" s="177">
        <v>6.3</v>
      </c>
      <c r="S98" s="173" t="e">
        <f t="shared" si="17"/>
        <v>#VALUE!</v>
      </c>
      <c r="Y98" s="174"/>
      <c r="AE98" s="175" t="str">
        <f t="shared" si="18"/>
        <v>TB101,6X3,35</v>
      </c>
      <c r="AF98" s="176">
        <v>101.6</v>
      </c>
      <c r="AG98" s="177">
        <v>3.35</v>
      </c>
      <c r="AH98" s="173" t="e">
        <f t="shared" si="19"/>
        <v>#VALUE!</v>
      </c>
    </row>
    <row r="99" spans="1:34" ht="15">
      <c r="A99" s="175" t="str">
        <f t="shared" si="20"/>
        <v>U200X75X3,75</v>
      </c>
      <c r="B99" s="176">
        <v>200</v>
      </c>
      <c r="C99" s="176">
        <v>75</v>
      </c>
      <c r="D99" s="177">
        <v>3.75</v>
      </c>
      <c r="K99" s="175" t="str">
        <f t="shared" si="21"/>
        <v>TB76,2X6,3</v>
      </c>
      <c r="L99" s="176">
        <v>76.2</v>
      </c>
      <c r="M99" s="177">
        <v>6.3</v>
      </c>
      <c r="O99" s="175" t="str">
        <f t="shared" si="16"/>
        <v>U200X100X3,75</v>
      </c>
      <c r="P99" s="176">
        <v>200</v>
      </c>
      <c r="Q99" s="176">
        <v>100</v>
      </c>
      <c r="R99" s="177">
        <v>3.75</v>
      </c>
      <c r="S99" s="173" t="e">
        <f t="shared" ref="S99:S128" si="22">PropriedadesUFF(P99,Q99,R99,$S$2)</f>
        <v>#VALUE!</v>
      </c>
      <c r="Y99" s="174"/>
      <c r="AE99" s="175" t="str">
        <f t="shared" si="18"/>
        <v>TB76,2X4,75</v>
      </c>
      <c r="AF99" s="176">
        <v>76.2</v>
      </c>
      <c r="AG99" s="177">
        <v>4.75</v>
      </c>
      <c r="AH99" s="173" t="e">
        <f t="shared" ref="AH99:AH112" si="23">PropriedadesTBC(AF99,AG99,$AH$2)</f>
        <v>#VALUE!</v>
      </c>
    </row>
    <row r="100" spans="1:34" ht="15">
      <c r="A100" s="175" t="str">
        <f t="shared" si="20"/>
        <v>U200X75X4,25</v>
      </c>
      <c r="B100" s="176">
        <v>200</v>
      </c>
      <c r="C100" s="176">
        <v>75</v>
      </c>
      <c r="D100" s="177">
        <v>4.25</v>
      </c>
      <c r="K100" s="175" t="str">
        <f t="shared" si="21"/>
        <v>TB101,6X2</v>
      </c>
      <c r="L100" s="176">
        <v>101.6</v>
      </c>
      <c r="M100" s="177">
        <v>2</v>
      </c>
      <c r="O100" s="175" t="str">
        <f t="shared" si="16"/>
        <v>U300X100X3</v>
      </c>
      <c r="P100" s="176">
        <v>300</v>
      </c>
      <c r="Q100" s="176">
        <v>100</v>
      </c>
      <c r="R100" s="177">
        <v>3</v>
      </c>
      <c r="S100" s="173" t="e">
        <f t="shared" si="22"/>
        <v>#VALUE!</v>
      </c>
      <c r="Y100" s="174"/>
      <c r="AE100" s="175" t="str">
        <f t="shared" si="18"/>
        <v>TB76,2X5</v>
      </c>
      <c r="AF100" s="176">
        <v>76.2</v>
      </c>
      <c r="AG100" s="177">
        <v>5</v>
      </c>
      <c r="AH100" s="173" t="e">
        <f t="shared" si="23"/>
        <v>#VALUE!</v>
      </c>
    </row>
    <row r="101" spans="1:34" ht="15">
      <c r="A101" s="175" t="str">
        <f t="shared" si="20"/>
        <v>U200X75X4,75</v>
      </c>
      <c r="B101" s="176">
        <v>200</v>
      </c>
      <c r="C101" s="176">
        <v>75</v>
      </c>
      <c r="D101" s="177">
        <v>4.75</v>
      </c>
      <c r="K101" s="175" t="str">
        <f t="shared" si="21"/>
        <v>TB101,6X2,25</v>
      </c>
      <c r="L101" s="176">
        <v>101.6</v>
      </c>
      <c r="M101" s="177">
        <v>2.25</v>
      </c>
      <c r="O101" s="175" t="str">
        <f t="shared" si="16"/>
        <v>U250X100X3,35</v>
      </c>
      <c r="P101" s="176">
        <v>250</v>
      </c>
      <c r="Q101" s="176">
        <v>100</v>
      </c>
      <c r="R101" s="177">
        <v>3.35</v>
      </c>
      <c r="S101" s="173" t="e">
        <f t="shared" si="22"/>
        <v>#VALUE!</v>
      </c>
      <c r="Y101" s="174"/>
      <c r="AE101" s="175" t="str">
        <f t="shared" si="18"/>
        <v>TB63,5X6,3</v>
      </c>
      <c r="AF101" s="176">
        <v>63.5</v>
      </c>
      <c r="AG101" s="177">
        <v>6.3</v>
      </c>
      <c r="AH101" s="173" t="e">
        <f t="shared" si="23"/>
        <v>#VALUE!</v>
      </c>
    </row>
    <row r="102" spans="1:34" ht="15">
      <c r="A102" s="175" t="str">
        <f t="shared" si="20"/>
        <v>U200X75X6,3</v>
      </c>
      <c r="B102" s="176">
        <v>200</v>
      </c>
      <c r="C102" s="176">
        <v>75</v>
      </c>
      <c r="D102" s="177">
        <v>6.3</v>
      </c>
      <c r="K102" s="175" t="str">
        <f t="shared" si="21"/>
        <v>TB101,6X2,65</v>
      </c>
      <c r="L102" s="176">
        <v>101.6</v>
      </c>
      <c r="M102" s="177">
        <v>2.65</v>
      </c>
      <c r="O102" s="175" t="str">
        <f t="shared" si="16"/>
        <v>U200X75X4,75</v>
      </c>
      <c r="P102" s="176">
        <v>200</v>
      </c>
      <c r="Q102" s="176">
        <v>75</v>
      </c>
      <c r="R102" s="177">
        <v>4.75</v>
      </c>
      <c r="S102" s="173" t="e">
        <f t="shared" si="22"/>
        <v>#VALUE!</v>
      </c>
      <c r="Y102" s="174"/>
      <c r="AE102" s="175" t="str">
        <f t="shared" si="18"/>
        <v>TB101,6X3,75</v>
      </c>
      <c r="AF102" s="176">
        <v>101.6</v>
      </c>
      <c r="AG102" s="177">
        <v>3.75</v>
      </c>
      <c r="AH102" s="173" t="e">
        <f t="shared" si="23"/>
        <v>#VALUE!</v>
      </c>
    </row>
    <row r="103" spans="1:34" ht="15">
      <c r="A103" s="175" t="str">
        <f t="shared" si="20"/>
        <v>U200X75X8</v>
      </c>
      <c r="B103" s="176">
        <v>200</v>
      </c>
      <c r="C103" s="176">
        <v>75</v>
      </c>
      <c r="D103" s="177">
        <v>8</v>
      </c>
      <c r="K103" s="175" t="str">
        <f t="shared" si="21"/>
        <v>TB101,6X3</v>
      </c>
      <c r="L103" s="176">
        <v>101.6</v>
      </c>
      <c r="M103" s="177">
        <v>3</v>
      </c>
      <c r="O103" s="175" t="str">
        <f t="shared" si="16"/>
        <v>U125X75X6,3</v>
      </c>
      <c r="P103" s="176">
        <v>125</v>
      </c>
      <c r="Q103" s="176">
        <v>75</v>
      </c>
      <c r="R103" s="177">
        <v>6.3</v>
      </c>
      <c r="S103" s="173" t="e">
        <f t="shared" si="22"/>
        <v>#VALUE!</v>
      </c>
      <c r="Y103" s="174"/>
      <c r="AE103" s="175" t="str">
        <f t="shared" si="18"/>
        <v>TB76,2X5,4</v>
      </c>
      <c r="AF103" s="176">
        <v>76.2</v>
      </c>
      <c r="AG103" s="177">
        <v>5.4</v>
      </c>
      <c r="AH103" s="173" t="e">
        <f t="shared" si="23"/>
        <v>#VALUE!</v>
      </c>
    </row>
    <row r="104" spans="1:34" ht="15">
      <c r="A104" s="175" t="str">
        <f t="shared" si="20"/>
        <v>U200X100X2,65</v>
      </c>
      <c r="B104" s="176">
        <v>200</v>
      </c>
      <c r="C104" s="176">
        <v>100</v>
      </c>
      <c r="D104" s="177">
        <v>2.65</v>
      </c>
      <c r="K104" s="175" t="str">
        <f t="shared" si="21"/>
        <v>TB101,6X3,35</v>
      </c>
      <c r="L104" s="176">
        <v>101.6</v>
      </c>
      <c r="M104" s="177">
        <v>3.35</v>
      </c>
      <c r="O104" s="175" t="str">
        <f t="shared" si="16"/>
        <v>U300X100X3,35</v>
      </c>
      <c r="P104" s="176">
        <v>300</v>
      </c>
      <c r="Q104" s="176">
        <v>100</v>
      </c>
      <c r="R104" s="177">
        <v>3.35</v>
      </c>
      <c r="S104" s="173" t="e">
        <f t="shared" si="22"/>
        <v>#VALUE!</v>
      </c>
      <c r="Y104" s="174"/>
      <c r="AE104" s="175" t="str">
        <f t="shared" si="18"/>
        <v>TB76,2X5,6</v>
      </c>
      <c r="AF104" s="176">
        <v>76.2</v>
      </c>
      <c r="AG104" s="177">
        <v>5.6</v>
      </c>
      <c r="AH104" s="173" t="e">
        <f t="shared" si="23"/>
        <v>#VALUE!</v>
      </c>
    </row>
    <row r="105" spans="1:34" ht="15">
      <c r="A105" s="175" t="str">
        <f t="shared" si="20"/>
        <v>U200X100X3</v>
      </c>
      <c r="B105" s="176">
        <v>200</v>
      </c>
      <c r="C105" s="176">
        <v>100</v>
      </c>
      <c r="D105" s="177">
        <v>3</v>
      </c>
      <c r="K105" s="175" t="str">
        <f t="shared" si="21"/>
        <v>TB101,6X3,75</v>
      </c>
      <c r="L105" s="176">
        <v>101.6</v>
      </c>
      <c r="M105" s="177">
        <v>3.75</v>
      </c>
      <c r="O105" s="175" t="str">
        <f t="shared" si="16"/>
        <v>U200X100X4,25</v>
      </c>
      <c r="P105" s="176">
        <v>200</v>
      </c>
      <c r="Q105" s="176">
        <v>100</v>
      </c>
      <c r="R105" s="177">
        <v>4.25</v>
      </c>
      <c r="S105" s="173" t="e">
        <f t="shared" si="22"/>
        <v>#VALUE!</v>
      </c>
      <c r="Y105" s="174"/>
      <c r="AE105" s="175" t="str">
        <f t="shared" si="18"/>
        <v>TB101,6X4,25</v>
      </c>
      <c r="AF105" s="176">
        <v>101.6</v>
      </c>
      <c r="AG105" s="177">
        <v>4.25</v>
      </c>
      <c r="AH105" s="173" t="e">
        <f t="shared" si="23"/>
        <v>#VALUE!</v>
      </c>
    </row>
    <row r="106" spans="1:34" ht="15">
      <c r="A106" s="175" t="str">
        <f t="shared" si="20"/>
        <v>U200X100X3,35</v>
      </c>
      <c r="B106" s="176">
        <v>200</v>
      </c>
      <c r="C106" s="176">
        <v>100</v>
      </c>
      <c r="D106" s="177">
        <v>3.35</v>
      </c>
      <c r="K106" s="175" t="str">
        <f t="shared" si="21"/>
        <v>TB101,6X4,25</v>
      </c>
      <c r="L106" s="176">
        <v>101.6</v>
      </c>
      <c r="M106" s="177">
        <v>4.25</v>
      </c>
      <c r="O106" s="175" t="str">
        <f t="shared" si="16"/>
        <v>U250X100X3,75</v>
      </c>
      <c r="P106" s="176">
        <v>250</v>
      </c>
      <c r="Q106" s="176">
        <v>100</v>
      </c>
      <c r="R106" s="177">
        <v>3.75</v>
      </c>
      <c r="S106" s="173" t="e">
        <f t="shared" si="22"/>
        <v>#VALUE!</v>
      </c>
      <c r="Y106" s="174"/>
      <c r="AE106" s="175" t="str">
        <f t="shared" si="18"/>
        <v>TB101,6X4,5</v>
      </c>
      <c r="AF106" s="176">
        <v>101.6</v>
      </c>
      <c r="AG106" s="177">
        <v>4.5</v>
      </c>
      <c r="AH106" s="173" t="e">
        <f t="shared" si="23"/>
        <v>#VALUE!</v>
      </c>
    </row>
    <row r="107" spans="1:34" ht="15">
      <c r="A107" s="175" t="str">
        <f t="shared" si="20"/>
        <v>U200X100X3,75</v>
      </c>
      <c r="B107" s="176">
        <v>200</v>
      </c>
      <c r="C107" s="176">
        <v>100</v>
      </c>
      <c r="D107" s="177">
        <v>3.75</v>
      </c>
      <c r="K107" s="175" t="str">
        <f t="shared" si="21"/>
        <v>TB101,6X4,5</v>
      </c>
      <c r="L107" s="176">
        <v>101.6</v>
      </c>
      <c r="M107" s="177">
        <v>4.5</v>
      </c>
      <c r="O107" s="175" t="str">
        <f t="shared" si="16"/>
        <v>U150X75X6,3</v>
      </c>
      <c r="P107" s="176">
        <v>150</v>
      </c>
      <c r="Q107" s="176">
        <v>75</v>
      </c>
      <c r="R107" s="177">
        <v>6.3</v>
      </c>
      <c r="S107" s="173" t="e">
        <f t="shared" si="22"/>
        <v>#VALUE!</v>
      </c>
      <c r="Y107" s="174"/>
      <c r="AE107" s="175" t="str">
        <f t="shared" si="18"/>
        <v>TB76,2X6,3</v>
      </c>
      <c r="AF107" s="176">
        <v>76.2</v>
      </c>
      <c r="AG107" s="177">
        <v>6.3</v>
      </c>
      <c r="AH107" s="173" t="e">
        <f t="shared" si="23"/>
        <v>#VALUE!</v>
      </c>
    </row>
    <row r="108" spans="1:34" ht="15">
      <c r="A108" s="175" t="str">
        <f t="shared" si="20"/>
        <v>U200X100X4,25</v>
      </c>
      <c r="B108" s="176">
        <v>200</v>
      </c>
      <c r="C108" s="176">
        <v>100</v>
      </c>
      <c r="D108" s="177">
        <v>4.25</v>
      </c>
      <c r="K108" s="175" t="str">
        <f t="shared" si="21"/>
        <v>TB101,6X4,75</v>
      </c>
      <c r="L108" s="176">
        <v>101.6</v>
      </c>
      <c r="M108" s="177">
        <v>4.75</v>
      </c>
      <c r="O108" s="175" t="str">
        <f t="shared" si="16"/>
        <v>U200X50X6,3</v>
      </c>
      <c r="P108" s="176">
        <v>200</v>
      </c>
      <c r="Q108" s="176">
        <v>50</v>
      </c>
      <c r="R108" s="177">
        <v>6.3</v>
      </c>
      <c r="S108" s="173" t="e">
        <f t="shared" si="22"/>
        <v>#VALUE!</v>
      </c>
      <c r="Y108" s="174"/>
      <c r="AE108" s="175" t="str">
        <f t="shared" si="18"/>
        <v>TB101,6X4,75</v>
      </c>
      <c r="AF108" s="176">
        <v>101.6</v>
      </c>
      <c r="AG108" s="177">
        <v>4.75</v>
      </c>
      <c r="AH108" s="173" t="e">
        <f t="shared" si="23"/>
        <v>#VALUE!</v>
      </c>
    </row>
    <row r="109" spans="1:34" ht="15">
      <c r="A109" s="175" t="str">
        <f t="shared" si="20"/>
        <v>U200X100X4,75</v>
      </c>
      <c r="B109" s="176">
        <v>200</v>
      </c>
      <c r="C109" s="176">
        <v>100</v>
      </c>
      <c r="D109" s="177">
        <v>4.75</v>
      </c>
      <c r="K109" s="175" t="str">
        <f t="shared" si="21"/>
        <v>TB101,6X5</v>
      </c>
      <c r="L109" s="176">
        <v>101.6</v>
      </c>
      <c r="M109" s="177">
        <v>5</v>
      </c>
      <c r="O109" s="175" t="str">
        <f t="shared" si="16"/>
        <v>U100X75X8</v>
      </c>
      <c r="P109" s="176">
        <v>100</v>
      </c>
      <c r="Q109" s="176">
        <v>75</v>
      </c>
      <c r="R109" s="177">
        <v>8</v>
      </c>
      <c r="S109" s="173" t="e">
        <f t="shared" si="22"/>
        <v>#VALUE!</v>
      </c>
      <c r="Y109" s="174"/>
      <c r="AE109" s="175" t="str">
        <f t="shared" si="18"/>
        <v>TB101,6X5</v>
      </c>
      <c r="AF109" s="176">
        <v>101.6</v>
      </c>
      <c r="AG109" s="177">
        <v>5</v>
      </c>
      <c r="AH109" s="173" t="e">
        <f t="shared" si="23"/>
        <v>#VALUE!</v>
      </c>
    </row>
    <row r="110" spans="1:34" ht="15">
      <c r="A110" s="175" t="str">
        <f t="shared" si="20"/>
        <v>U200X100X6,3</v>
      </c>
      <c r="B110" s="176">
        <v>200</v>
      </c>
      <c r="C110" s="176">
        <v>100</v>
      </c>
      <c r="D110" s="177">
        <v>6.3</v>
      </c>
      <c r="K110" s="175" t="str">
        <f t="shared" si="21"/>
        <v>TB101,6X5,4</v>
      </c>
      <c r="L110" s="176">
        <v>101.6</v>
      </c>
      <c r="M110" s="177">
        <v>5.4</v>
      </c>
      <c r="O110" s="175" t="str">
        <f t="shared" si="16"/>
        <v>U150X50X8</v>
      </c>
      <c r="P110" s="176">
        <v>150</v>
      </c>
      <c r="Q110" s="176">
        <v>50</v>
      </c>
      <c r="R110" s="177">
        <v>8</v>
      </c>
      <c r="S110" s="173" t="e">
        <f t="shared" si="22"/>
        <v>#VALUE!</v>
      </c>
      <c r="Y110" s="174"/>
      <c r="AE110" s="175" t="str">
        <f t="shared" si="18"/>
        <v>TB101,6X5,4</v>
      </c>
      <c r="AF110" s="176">
        <v>101.6</v>
      </c>
      <c r="AG110" s="177">
        <v>5.4</v>
      </c>
      <c r="AH110" s="173" t="e">
        <f t="shared" si="23"/>
        <v>#VALUE!</v>
      </c>
    </row>
    <row r="111" spans="1:34" ht="15">
      <c r="A111" s="175" t="str">
        <f t="shared" si="20"/>
        <v>U200X100X8</v>
      </c>
      <c r="B111" s="176">
        <v>200</v>
      </c>
      <c r="C111" s="176">
        <v>100</v>
      </c>
      <c r="D111" s="177">
        <v>8</v>
      </c>
      <c r="K111" s="175" t="str">
        <f t="shared" si="21"/>
        <v>TB101,6X5,6</v>
      </c>
      <c r="L111" s="176">
        <v>101.6</v>
      </c>
      <c r="M111" s="177">
        <v>5.6</v>
      </c>
      <c r="O111" s="175" t="str">
        <f t="shared" si="16"/>
        <v>U200X100X4,75</v>
      </c>
      <c r="P111" s="176">
        <v>200</v>
      </c>
      <c r="Q111" s="176">
        <v>100</v>
      </c>
      <c r="R111" s="177">
        <v>4.75</v>
      </c>
      <c r="S111" s="173" t="e">
        <f t="shared" si="22"/>
        <v>#VALUE!</v>
      </c>
      <c r="Y111" s="174"/>
      <c r="AE111" s="175" t="str">
        <f t="shared" si="18"/>
        <v>TB101,6X5,6</v>
      </c>
      <c r="AF111" s="176">
        <v>101.6</v>
      </c>
      <c r="AG111" s="177">
        <v>5.6</v>
      </c>
      <c r="AH111" s="173" t="e">
        <f t="shared" si="23"/>
        <v>#VALUE!</v>
      </c>
    </row>
    <row r="112" spans="1:34" ht="15.75" thickBot="1">
      <c r="A112" s="175" t="str">
        <f t="shared" si="20"/>
        <v>U250X100X2,65</v>
      </c>
      <c r="B112" s="176">
        <v>250</v>
      </c>
      <c r="C112" s="176">
        <v>100</v>
      </c>
      <c r="D112" s="177">
        <v>2.65</v>
      </c>
      <c r="K112" s="179" t="str">
        <f t="shared" si="21"/>
        <v>TB101,6X6,3</v>
      </c>
      <c r="L112" s="180">
        <v>101.6</v>
      </c>
      <c r="M112" s="181">
        <v>6.3</v>
      </c>
      <c r="O112" s="175" t="str">
        <f t="shared" si="16"/>
        <v>U300X100X3,75</v>
      </c>
      <c r="P112" s="176">
        <v>300</v>
      </c>
      <c r="Q112" s="176">
        <v>100</v>
      </c>
      <c r="R112" s="177">
        <v>3.75</v>
      </c>
      <c r="S112" s="173" t="e">
        <f t="shared" si="22"/>
        <v>#VALUE!</v>
      </c>
      <c r="Y112" s="174"/>
      <c r="AE112" s="179" t="str">
        <f t="shared" si="18"/>
        <v>TB101,6X6,3</v>
      </c>
      <c r="AF112" s="180">
        <v>101.6</v>
      </c>
      <c r="AG112" s="181">
        <v>6.3</v>
      </c>
      <c r="AH112" s="173" t="e">
        <f t="shared" si="23"/>
        <v>#VALUE!</v>
      </c>
    </row>
    <row r="113" spans="1:19">
      <c r="A113" s="175" t="str">
        <f t="shared" si="20"/>
        <v>U250X100X3</v>
      </c>
      <c r="B113" s="176">
        <v>250</v>
      </c>
      <c r="C113" s="176">
        <v>100</v>
      </c>
      <c r="D113" s="177">
        <v>3</v>
      </c>
      <c r="L113" s="183"/>
      <c r="M113" s="183"/>
      <c r="O113" s="175" t="str">
        <f t="shared" si="16"/>
        <v>U250X100X4,25</v>
      </c>
      <c r="P113" s="176">
        <v>250</v>
      </c>
      <c r="Q113" s="176">
        <v>100</v>
      </c>
      <c r="R113" s="177">
        <v>4.25</v>
      </c>
      <c r="S113" s="173" t="e">
        <f t="shared" si="22"/>
        <v>#VALUE!</v>
      </c>
    </row>
    <row r="114" spans="1:19">
      <c r="A114" s="175" t="str">
        <f t="shared" si="20"/>
        <v>U250X100X3,35</v>
      </c>
      <c r="B114" s="176">
        <v>250</v>
      </c>
      <c r="C114" s="176">
        <v>100</v>
      </c>
      <c r="D114" s="177">
        <v>3.35</v>
      </c>
      <c r="L114" s="183"/>
      <c r="M114" s="183"/>
      <c r="O114" s="175" t="str">
        <f t="shared" si="16"/>
        <v>U125X75X8</v>
      </c>
      <c r="P114" s="176">
        <v>125</v>
      </c>
      <c r="Q114" s="176">
        <v>75</v>
      </c>
      <c r="R114" s="177">
        <v>8</v>
      </c>
      <c r="S114" s="173" t="e">
        <f t="shared" si="22"/>
        <v>#VALUE!</v>
      </c>
    </row>
    <row r="115" spans="1:19">
      <c r="A115" s="175" t="str">
        <f t="shared" si="20"/>
        <v>U250X100X3,75</v>
      </c>
      <c r="B115" s="176">
        <v>250</v>
      </c>
      <c r="C115" s="176">
        <v>100</v>
      </c>
      <c r="D115" s="177">
        <v>3.75</v>
      </c>
      <c r="L115" s="183"/>
      <c r="M115" s="183"/>
      <c r="O115" s="175" t="str">
        <f t="shared" si="16"/>
        <v>U250X100X4,75</v>
      </c>
      <c r="P115" s="176">
        <v>250</v>
      </c>
      <c r="Q115" s="176">
        <v>100</v>
      </c>
      <c r="R115" s="177">
        <v>4.75</v>
      </c>
      <c r="S115" s="173" t="e">
        <f t="shared" si="22"/>
        <v>#VALUE!</v>
      </c>
    </row>
    <row r="116" spans="1:19">
      <c r="A116" s="175" t="str">
        <f t="shared" si="20"/>
        <v>U250X100X4,25</v>
      </c>
      <c r="B116" s="176">
        <v>250</v>
      </c>
      <c r="C116" s="176">
        <v>100</v>
      </c>
      <c r="D116" s="177">
        <v>4.25</v>
      </c>
      <c r="L116" s="183"/>
      <c r="M116" s="183"/>
      <c r="O116" s="175" t="str">
        <f t="shared" si="16"/>
        <v>U300X100X4,25</v>
      </c>
      <c r="P116" s="176">
        <v>300</v>
      </c>
      <c r="Q116" s="176">
        <v>100</v>
      </c>
      <c r="R116" s="177">
        <v>4.25</v>
      </c>
      <c r="S116" s="173" t="e">
        <f t="shared" si="22"/>
        <v>#VALUE!</v>
      </c>
    </row>
    <row r="117" spans="1:19">
      <c r="A117" s="175" t="str">
        <f t="shared" si="20"/>
        <v>U250X100X4,75</v>
      </c>
      <c r="B117" s="176">
        <v>250</v>
      </c>
      <c r="C117" s="176">
        <v>100</v>
      </c>
      <c r="D117" s="177">
        <v>4.75</v>
      </c>
      <c r="L117" s="183"/>
      <c r="M117" s="183"/>
      <c r="O117" s="175" t="str">
        <f t="shared" si="16"/>
        <v>U200X75X6,3</v>
      </c>
      <c r="P117" s="176">
        <v>200</v>
      </c>
      <c r="Q117" s="176">
        <v>75</v>
      </c>
      <c r="R117" s="177">
        <v>6.3</v>
      </c>
      <c r="S117" s="173" t="e">
        <f t="shared" si="22"/>
        <v>#VALUE!</v>
      </c>
    </row>
    <row r="118" spans="1:19">
      <c r="A118" s="175" t="str">
        <f t="shared" si="20"/>
        <v>U250X100X6,3</v>
      </c>
      <c r="B118" s="176">
        <v>250</v>
      </c>
      <c r="C118" s="176">
        <v>100</v>
      </c>
      <c r="D118" s="177">
        <v>6.3</v>
      </c>
      <c r="L118" s="183"/>
      <c r="M118" s="183"/>
      <c r="O118" s="175" t="str">
        <f t="shared" si="16"/>
        <v>U150X75X8</v>
      </c>
      <c r="P118" s="176">
        <v>150</v>
      </c>
      <c r="Q118" s="176">
        <v>75</v>
      </c>
      <c r="R118" s="177">
        <v>8</v>
      </c>
      <c r="S118" s="173" t="e">
        <f t="shared" si="22"/>
        <v>#VALUE!</v>
      </c>
    </row>
    <row r="119" spans="1:19">
      <c r="A119" s="175" t="str">
        <f t="shared" si="20"/>
        <v>U250X100X8</v>
      </c>
      <c r="B119" s="176">
        <v>250</v>
      </c>
      <c r="C119" s="176">
        <v>100</v>
      </c>
      <c r="D119" s="177">
        <v>8</v>
      </c>
      <c r="L119" s="183"/>
      <c r="M119" s="183"/>
      <c r="O119" s="175" t="str">
        <f t="shared" si="16"/>
        <v>U200X50X8</v>
      </c>
      <c r="P119" s="176">
        <v>200</v>
      </c>
      <c r="Q119" s="176">
        <v>50</v>
      </c>
      <c r="R119" s="177">
        <v>8</v>
      </c>
      <c r="S119" s="173" t="e">
        <f t="shared" si="22"/>
        <v>#VALUE!</v>
      </c>
    </row>
    <row r="120" spans="1:19">
      <c r="A120" s="175" t="str">
        <f t="shared" si="20"/>
        <v>U300X100X2,65</v>
      </c>
      <c r="B120" s="176">
        <v>300</v>
      </c>
      <c r="C120" s="176">
        <v>100</v>
      </c>
      <c r="D120" s="177">
        <v>2.65</v>
      </c>
      <c r="L120" s="183"/>
      <c r="M120" s="183"/>
      <c r="O120" s="175" t="str">
        <f t="shared" si="16"/>
        <v>U300X100X4,75</v>
      </c>
      <c r="P120" s="176">
        <v>300</v>
      </c>
      <c r="Q120" s="176">
        <v>100</v>
      </c>
      <c r="R120" s="177">
        <v>4.75</v>
      </c>
      <c r="S120" s="173" t="e">
        <f t="shared" si="22"/>
        <v>#VALUE!</v>
      </c>
    </row>
    <row r="121" spans="1:19">
      <c r="A121" s="175" t="str">
        <f t="shared" si="20"/>
        <v>U300X100X3</v>
      </c>
      <c r="B121" s="176">
        <v>300</v>
      </c>
      <c r="C121" s="176">
        <v>100</v>
      </c>
      <c r="D121" s="177">
        <v>3</v>
      </c>
      <c r="L121" s="183"/>
      <c r="M121" s="183"/>
      <c r="O121" s="175" t="str">
        <f t="shared" si="16"/>
        <v>U200X100X6,3</v>
      </c>
      <c r="P121" s="176">
        <v>200</v>
      </c>
      <c r="Q121" s="176">
        <v>100</v>
      </c>
      <c r="R121" s="177">
        <v>6.3</v>
      </c>
      <c r="S121" s="173" t="e">
        <f t="shared" si="22"/>
        <v>#VALUE!</v>
      </c>
    </row>
    <row r="122" spans="1:19">
      <c r="A122" s="175" t="str">
        <f t="shared" si="20"/>
        <v>U300X100X3,35</v>
      </c>
      <c r="B122" s="176">
        <v>300</v>
      </c>
      <c r="C122" s="176">
        <v>100</v>
      </c>
      <c r="D122" s="177">
        <v>3.35</v>
      </c>
      <c r="L122" s="183"/>
      <c r="M122" s="183"/>
      <c r="O122" s="175" t="str">
        <f t="shared" si="16"/>
        <v>U200X75X8</v>
      </c>
      <c r="P122" s="176">
        <v>200</v>
      </c>
      <c r="Q122" s="176">
        <v>75</v>
      </c>
      <c r="R122" s="177">
        <v>8</v>
      </c>
      <c r="S122" s="173" t="e">
        <f t="shared" si="22"/>
        <v>#VALUE!</v>
      </c>
    </row>
    <row r="123" spans="1:19">
      <c r="A123" s="175" t="str">
        <f t="shared" si="20"/>
        <v>U300X100X3,75</v>
      </c>
      <c r="B123" s="176">
        <v>300</v>
      </c>
      <c r="C123" s="176">
        <v>100</v>
      </c>
      <c r="D123" s="177">
        <v>3.75</v>
      </c>
      <c r="L123" s="183"/>
      <c r="M123" s="183"/>
      <c r="O123" s="175" t="str">
        <f t="shared" si="16"/>
        <v>U250X100X6,3</v>
      </c>
      <c r="P123" s="176">
        <v>250</v>
      </c>
      <c r="Q123" s="176">
        <v>100</v>
      </c>
      <c r="R123" s="177">
        <v>6.3</v>
      </c>
      <c r="S123" s="173" t="e">
        <f t="shared" si="22"/>
        <v>#VALUE!</v>
      </c>
    </row>
    <row r="124" spans="1:19">
      <c r="A124" s="175" t="str">
        <f t="shared" si="20"/>
        <v>U300X100X4,25</v>
      </c>
      <c r="B124" s="176">
        <v>300</v>
      </c>
      <c r="C124" s="176">
        <v>100</v>
      </c>
      <c r="D124" s="177">
        <v>4.25</v>
      </c>
      <c r="L124" s="183"/>
      <c r="M124" s="183"/>
      <c r="O124" s="175" t="str">
        <f t="shared" si="16"/>
        <v>U200X100X8</v>
      </c>
      <c r="P124" s="176">
        <v>200</v>
      </c>
      <c r="Q124" s="176">
        <v>100</v>
      </c>
      <c r="R124" s="177">
        <v>8</v>
      </c>
      <c r="S124" s="173" t="e">
        <f t="shared" si="22"/>
        <v>#VALUE!</v>
      </c>
    </row>
    <row r="125" spans="1:19">
      <c r="A125" s="175" t="str">
        <f t="shared" si="20"/>
        <v>U300X100X4,75</v>
      </c>
      <c r="B125" s="176">
        <v>300</v>
      </c>
      <c r="C125" s="176">
        <v>100</v>
      </c>
      <c r="D125" s="177">
        <v>4.75</v>
      </c>
      <c r="L125" s="183"/>
      <c r="M125" s="183"/>
      <c r="O125" s="175" t="str">
        <f t="shared" si="16"/>
        <v>U300X100X6,3</v>
      </c>
      <c r="P125" s="176">
        <v>300</v>
      </c>
      <c r="Q125" s="176">
        <v>100</v>
      </c>
      <c r="R125" s="177">
        <v>6.3</v>
      </c>
      <c r="S125" s="173" t="e">
        <f t="shared" si="22"/>
        <v>#VALUE!</v>
      </c>
    </row>
    <row r="126" spans="1:19">
      <c r="A126" s="175" t="str">
        <f t="shared" si="20"/>
        <v>U300X100X6,3</v>
      </c>
      <c r="B126" s="176">
        <v>300</v>
      </c>
      <c r="C126" s="176">
        <v>100</v>
      </c>
      <c r="D126" s="177">
        <v>6.3</v>
      </c>
      <c r="L126" s="183"/>
      <c r="M126" s="183"/>
      <c r="O126" s="175" t="str">
        <f t="shared" si="16"/>
        <v>U250X100X8</v>
      </c>
      <c r="P126" s="176">
        <v>250</v>
      </c>
      <c r="Q126" s="176">
        <v>100</v>
      </c>
      <c r="R126" s="177">
        <v>8</v>
      </c>
      <c r="S126" s="173" t="e">
        <f t="shared" si="22"/>
        <v>#VALUE!</v>
      </c>
    </row>
    <row r="127" spans="1:19">
      <c r="A127" s="175" t="str">
        <f t="shared" si="20"/>
        <v>U300X100X8</v>
      </c>
      <c r="B127" s="176">
        <v>300</v>
      </c>
      <c r="C127" s="176">
        <v>100</v>
      </c>
      <c r="D127" s="177">
        <v>8</v>
      </c>
      <c r="L127" s="183"/>
      <c r="M127" s="183"/>
      <c r="O127" s="175" t="str">
        <f t="shared" si="16"/>
        <v>U300X100X8</v>
      </c>
      <c r="P127" s="176">
        <v>300</v>
      </c>
      <c r="Q127" s="176">
        <v>100</v>
      </c>
      <c r="R127" s="177">
        <v>8</v>
      </c>
      <c r="S127" s="173" t="e">
        <f t="shared" si="22"/>
        <v>#VALUE!</v>
      </c>
    </row>
    <row r="128" spans="1:19" ht="15" thickBot="1">
      <c r="A128" s="179" t="str">
        <f t="shared" si="20"/>
        <v>U300X100X9,5</v>
      </c>
      <c r="B128" s="180">
        <v>300</v>
      </c>
      <c r="C128" s="180">
        <v>100</v>
      </c>
      <c r="D128" s="181">
        <v>9.5</v>
      </c>
      <c r="L128" s="183"/>
      <c r="M128" s="183"/>
      <c r="O128" s="179" t="str">
        <f t="shared" si="16"/>
        <v>U300X100X9,5</v>
      </c>
      <c r="P128" s="180">
        <v>300</v>
      </c>
      <c r="Q128" s="180">
        <v>100</v>
      </c>
      <c r="R128" s="181">
        <v>9.5</v>
      </c>
      <c r="S128" s="173" t="e">
        <f t="shared" si="22"/>
        <v>#VALUE!</v>
      </c>
    </row>
    <row r="129" spans="12:15" ht="15">
      <c r="L129" s="183"/>
      <c r="M129" s="183"/>
      <c r="O129" s="174"/>
    </row>
    <row r="130" spans="12:15">
      <c r="L130" s="183"/>
      <c r="M130" s="183"/>
    </row>
    <row r="131" spans="12:15">
      <c r="L131" s="183"/>
      <c r="M131" s="183"/>
    </row>
    <row r="132" spans="12:15">
      <c r="L132" s="183"/>
      <c r="M132" s="183"/>
    </row>
    <row r="133" spans="12:15">
      <c r="L133" s="183"/>
      <c r="M133" s="183"/>
    </row>
    <row r="134" spans="12:15">
      <c r="L134" s="183"/>
      <c r="M134" s="183"/>
    </row>
    <row r="135" spans="12:15">
      <c r="L135" s="183"/>
      <c r="M135" s="183"/>
    </row>
    <row r="136" spans="12:15">
      <c r="L136" s="183"/>
      <c r="M136" s="183"/>
    </row>
    <row r="137" spans="12:15">
      <c r="L137" s="183"/>
      <c r="M137" s="183"/>
    </row>
    <row r="138" spans="12:15">
      <c r="L138" s="183"/>
      <c r="M138" s="183"/>
    </row>
    <row r="139" spans="12:15">
      <c r="L139" s="183"/>
      <c r="M139" s="183"/>
    </row>
    <row r="140" spans="12:15">
      <c r="L140" s="183"/>
      <c r="M140" s="183"/>
    </row>
    <row r="141" spans="12:15">
      <c r="L141" s="183"/>
      <c r="M141" s="183"/>
    </row>
    <row r="142" spans="12:15">
      <c r="L142" s="183"/>
      <c r="M142" s="183"/>
    </row>
    <row r="143" spans="12:15">
      <c r="L143" s="183"/>
      <c r="M143" s="183"/>
    </row>
    <row r="144" spans="12:15">
      <c r="L144" s="183"/>
      <c r="M144" s="183"/>
    </row>
    <row r="145" spans="12:13">
      <c r="L145" s="183"/>
      <c r="M145" s="183"/>
    </row>
    <row r="146" spans="12:13">
      <c r="L146" s="183"/>
      <c r="M146" s="183"/>
    </row>
    <row r="147" spans="12:13">
      <c r="L147" s="183"/>
      <c r="M147" s="183"/>
    </row>
    <row r="148" spans="12:13">
      <c r="L148" s="183"/>
      <c r="M148" s="183"/>
    </row>
    <row r="149" spans="12:13">
      <c r="L149" s="183"/>
      <c r="M149" s="183"/>
    </row>
    <row r="150" spans="12:13">
      <c r="L150" s="183"/>
      <c r="M150" s="183"/>
    </row>
    <row r="151" spans="12:13">
      <c r="L151" s="183"/>
      <c r="M151" s="183"/>
    </row>
    <row r="152" spans="12:13">
      <c r="L152" s="183"/>
      <c r="M152" s="183"/>
    </row>
    <row r="153" spans="12:13">
      <c r="L153" s="183"/>
      <c r="M153" s="183"/>
    </row>
    <row r="154" spans="12:13">
      <c r="L154" s="183"/>
      <c r="M154" s="183"/>
    </row>
    <row r="155" spans="12:13">
      <c r="L155" s="183"/>
      <c r="M155" s="183"/>
    </row>
    <row r="156" spans="12:13">
      <c r="L156" s="183"/>
      <c r="M156" s="183"/>
    </row>
    <row r="157" spans="12:13">
      <c r="L157" s="183"/>
      <c r="M157" s="183"/>
    </row>
    <row r="158" spans="12:13">
      <c r="L158" s="183"/>
      <c r="M158" s="183"/>
    </row>
    <row r="159" spans="12:13">
      <c r="L159" s="183"/>
      <c r="M159" s="183"/>
    </row>
    <row r="160" spans="12:13">
      <c r="L160" s="183"/>
      <c r="M160" s="183"/>
    </row>
    <row r="161" spans="12:13">
      <c r="L161" s="183"/>
      <c r="M161" s="183"/>
    </row>
    <row r="162" spans="12:13">
      <c r="L162" s="183"/>
      <c r="M162" s="183"/>
    </row>
    <row r="163" spans="12:13">
      <c r="L163" s="183"/>
      <c r="M163" s="183"/>
    </row>
    <row r="164" spans="12:13">
      <c r="L164" s="183"/>
      <c r="M164" s="183"/>
    </row>
    <row r="165" spans="12:13">
      <c r="L165" s="183"/>
      <c r="M165" s="183"/>
    </row>
    <row r="166" spans="12:13">
      <c r="L166" s="183"/>
      <c r="M166" s="183"/>
    </row>
    <row r="167" spans="12:13">
      <c r="L167" s="183"/>
      <c r="M167" s="183"/>
    </row>
    <row r="168" spans="12:13">
      <c r="L168" s="183"/>
      <c r="M168" s="183"/>
    </row>
    <row r="169" spans="12:13">
      <c r="L169" s="183"/>
      <c r="M169" s="183"/>
    </row>
    <row r="170" spans="12:13">
      <c r="L170" s="183"/>
      <c r="M170" s="183"/>
    </row>
    <row r="171" spans="12:13">
      <c r="L171" s="183"/>
      <c r="M171" s="183"/>
    </row>
    <row r="172" spans="12:13">
      <c r="L172" s="183"/>
      <c r="M172" s="183"/>
    </row>
    <row r="173" spans="12:13">
      <c r="L173" s="183"/>
      <c r="M173" s="183"/>
    </row>
    <row r="174" spans="12:13">
      <c r="L174" s="183"/>
      <c r="M174" s="183"/>
    </row>
    <row r="175" spans="12:13">
      <c r="L175" s="183"/>
      <c r="M175" s="183"/>
    </row>
    <row r="176" spans="12:13">
      <c r="L176" s="183"/>
      <c r="M176" s="183"/>
    </row>
    <row r="177" spans="12:13">
      <c r="L177" s="183"/>
      <c r="M177" s="183"/>
    </row>
    <row r="178" spans="12:13">
      <c r="L178" s="183"/>
      <c r="M178" s="183"/>
    </row>
    <row r="179" spans="12:13">
      <c r="L179" s="183"/>
      <c r="M179" s="183"/>
    </row>
    <row r="180" spans="12:13">
      <c r="L180" s="183"/>
      <c r="M180" s="183"/>
    </row>
    <row r="181" spans="12:13">
      <c r="L181" s="183"/>
      <c r="M181" s="183"/>
    </row>
    <row r="182" spans="12:13">
      <c r="L182" s="183"/>
      <c r="M182" s="183"/>
    </row>
    <row r="183" spans="12:13">
      <c r="L183" s="183"/>
      <c r="M183" s="183"/>
    </row>
    <row r="184" spans="12:13">
      <c r="L184" s="183"/>
      <c r="M184" s="183"/>
    </row>
    <row r="185" spans="12:13">
      <c r="L185" s="183"/>
      <c r="M185" s="183"/>
    </row>
    <row r="186" spans="12:13">
      <c r="L186" s="183"/>
      <c r="M186" s="183"/>
    </row>
    <row r="187" spans="12:13">
      <c r="L187" s="183"/>
      <c r="M187" s="183"/>
    </row>
    <row r="188" spans="12:13">
      <c r="L188" s="183"/>
      <c r="M188" s="183"/>
    </row>
    <row r="189" spans="12:13">
      <c r="L189" s="183"/>
      <c r="M189" s="183"/>
    </row>
    <row r="190" spans="12:13">
      <c r="L190" s="183"/>
      <c r="M190" s="183"/>
    </row>
    <row r="191" spans="12:13">
      <c r="L191" s="183"/>
      <c r="M191" s="183"/>
    </row>
    <row r="192" spans="12:13">
      <c r="L192" s="183"/>
      <c r="M192" s="183"/>
    </row>
    <row r="193" spans="12:13">
      <c r="L193" s="183"/>
      <c r="M193" s="183"/>
    </row>
    <row r="194" spans="12:13">
      <c r="L194" s="183"/>
      <c r="M194" s="183"/>
    </row>
    <row r="195" spans="12:13">
      <c r="L195" s="183"/>
      <c r="M195" s="183"/>
    </row>
    <row r="196" spans="12:13">
      <c r="L196" s="183"/>
      <c r="M196" s="183"/>
    </row>
    <row r="197" spans="12:13">
      <c r="L197" s="183"/>
      <c r="M197" s="183"/>
    </row>
    <row r="198" spans="12:13">
      <c r="L198" s="183"/>
      <c r="M198" s="183"/>
    </row>
    <row r="199" spans="12:13">
      <c r="L199" s="183"/>
      <c r="M199" s="183"/>
    </row>
    <row r="200" spans="12:13">
      <c r="L200" s="183"/>
      <c r="M200" s="183"/>
    </row>
    <row r="201" spans="12:13">
      <c r="L201" s="183"/>
      <c r="M201" s="183"/>
    </row>
    <row r="202" spans="12:13">
      <c r="L202" s="183"/>
      <c r="M202" s="183"/>
    </row>
    <row r="203" spans="12:13">
      <c r="L203" s="183"/>
      <c r="M203" s="183"/>
    </row>
    <row r="204" spans="12:13">
      <c r="L204" s="183"/>
      <c r="M204" s="183"/>
    </row>
    <row r="205" spans="12:13">
      <c r="L205" s="183"/>
      <c r="M205" s="183"/>
    </row>
    <row r="206" spans="12:13">
      <c r="L206" s="183"/>
      <c r="M206" s="183"/>
    </row>
    <row r="207" spans="12:13">
      <c r="L207" s="183"/>
      <c r="M207" s="183"/>
    </row>
    <row r="208" spans="12:13">
      <c r="L208" s="183"/>
      <c r="M208" s="183"/>
    </row>
    <row r="209" spans="12:13">
      <c r="L209" s="183"/>
      <c r="M209" s="183"/>
    </row>
    <row r="210" spans="12:13">
      <c r="L210" s="183"/>
      <c r="M210" s="183"/>
    </row>
    <row r="211" spans="12:13">
      <c r="L211" s="183"/>
      <c r="M211" s="183"/>
    </row>
    <row r="212" spans="12:13">
      <c r="L212" s="183"/>
      <c r="M212" s="183"/>
    </row>
    <row r="213" spans="12:13">
      <c r="L213" s="183"/>
      <c r="M213" s="183"/>
    </row>
    <row r="214" spans="12:13">
      <c r="L214" s="183"/>
      <c r="M214" s="183"/>
    </row>
    <row r="215" spans="12:13">
      <c r="L215" s="183"/>
      <c r="M215" s="183"/>
    </row>
    <row r="216" spans="12:13">
      <c r="L216" s="183"/>
      <c r="M216" s="183"/>
    </row>
    <row r="217" spans="12:13">
      <c r="L217" s="183"/>
      <c r="M217" s="183"/>
    </row>
    <row r="218" spans="12:13">
      <c r="L218" s="183"/>
      <c r="M218" s="183"/>
    </row>
    <row r="219" spans="12:13">
      <c r="L219" s="183"/>
      <c r="M219" s="183"/>
    </row>
    <row r="220" spans="12:13">
      <c r="L220" s="183"/>
      <c r="M220" s="183"/>
    </row>
    <row r="221" spans="12:13">
      <c r="L221" s="183"/>
      <c r="M221" s="183"/>
    </row>
    <row r="222" spans="12:13">
      <c r="L222" s="183"/>
      <c r="M222" s="183"/>
    </row>
    <row r="223" spans="12:13">
      <c r="L223" s="183"/>
      <c r="M223" s="183"/>
    </row>
    <row r="224" spans="12:13">
      <c r="L224" s="183"/>
      <c r="M224" s="183"/>
    </row>
    <row r="225" spans="12:13">
      <c r="L225" s="183"/>
      <c r="M225" s="183"/>
    </row>
    <row r="226" spans="12:13">
      <c r="L226" s="183"/>
      <c r="M226" s="183"/>
    </row>
    <row r="227" spans="12:13">
      <c r="L227" s="183"/>
      <c r="M227" s="183"/>
    </row>
    <row r="228" spans="12:13">
      <c r="L228" s="183"/>
      <c r="M228" s="183"/>
    </row>
    <row r="229" spans="12:13">
      <c r="L229" s="183"/>
      <c r="M229" s="183"/>
    </row>
    <row r="230" spans="12:13">
      <c r="L230" s="183"/>
      <c r="M230" s="183"/>
    </row>
    <row r="231" spans="12:13">
      <c r="L231" s="183"/>
      <c r="M231" s="183"/>
    </row>
    <row r="232" spans="12:13">
      <c r="L232" s="183"/>
      <c r="M232" s="183"/>
    </row>
    <row r="233" spans="12:13">
      <c r="L233" s="183"/>
      <c r="M233" s="183"/>
    </row>
    <row r="234" spans="12:13">
      <c r="L234" s="183"/>
      <c r="M234" s="183"/>
    </row>
    <row r="235" spans="12:13">
      <c r="L235" s="183"/>
      <c r="M235" s="183"/>
    </row>
    <row r="236" spans="12:13">
      <c r="L236" s="183"/>
      <c r="M236" s="183"/>
    </row>
    <row r="237" spans="12:13">
      <c r="L237" s="183"/>
      <c r="M237" s="183"/>
    </row>
    <row r="238" spans="12:13">
      <c r="L238" s="183"/>
      <c r="M238" s="183"/>
    </row>
    <row r="239" spans="12:13">
      <c r="L239" s="183"/>
      <c r="M239" s="183"/>
    </row>
    <row r="240" spans="12:13">
      <c r="L240" s="183"/>
      <c r="M240" s="183"/>
    </row>
    <row r="241" spans="12:13">
      <c r="L241" s="183"/>
      <c r="M241" s="183"/>
    </row>
    <row r="242" spans="12:13">
      <c r="L242" s="183"/>
      <c r="M242" s="183"/>
    </row>
    <row r="243" spans="12:13">
      <c r="L243" s="183"/>
      <c r="M243" s="183"/>
    </row>
    <row r="244" spans="12:13">
      <c r="L244" s="183"/>
      <c r="M244" s="183"/>
    </row>
    <row r="245" spans="12:13">
      <c r="L245" s="183"/>
      <c r="M245" s="183"/>
    </row>
    <row r="246" spans="12:13">
      <c r="L246" s="183"/>
      <c r="M246" s="183"/>
    </row>
    <row r="247" spans="12:13">
      <c r="L247" s="183"/>
      <c r="M247" s="183"/>
    </row>
    <row r="248" spans="12:13">
      <c r="L248" s="183"/>
      <c r="M248" s="183"/>
    </row>
    <row r="249" spans="12:13">
      <c r="L249" s="183"/>
      <c r="M249" s="183"/>
    </row>
    <row r="250" spans="12:13">
      <c r="L250" s="183"/>
      <c r="M250" s="183"/>
    </row>
    <row r="251" spans="12:13">
      <c r="L251" s="183"/>
      <c r="M251" s="183"/>
    </row>
    <row r="252" spans="12:13">
      <c r="L252" s="183"/>
      <c r="M252" s="183"/>
    </row>
    <row r="253" spans="12:13">
      <c r="L253" s="183"/>
      <c r="M253" s="183"/>
    </row>
    <row r="254" spans="12:13">
      <c r="L254" s="183"/>
      <c r="M254" s="183"/>
    </row>
    <row r="255" spans="12:13">
      <c r="L255" s="183"/>
      <c r="M255" s="183"/>
    </row>
    <row r="256" spans="12:13">
      <c r="L256" s="183"/>
      <c r="M256" s="183"/>
    </row>
    <row r="257" spans="12:13">
      <c r="L257" s="183"/>
      <c r="M257" s="183"/>
    </row>
    <row r="258" spans="12:13">
      <c r="L258" s="183"/>
      <c r="M258" s="183"/>
    </row>
    <row r="259" spans="12:13">
      <c r="L259" s="183"/>
      <c r="M259" s="183"/>
    </row>
    <row r="260" spans="12:13">
      <c r="L260" s="183"/>
      <c r="M260" s="183"/>
    </row>
    <row r="261" spans="12:13">
      <c r="L261" s="183"/>
      <c r="M261" s="183"/>
    </row>
    <row r="262" spans="12:13">
      <c r="L262" s="183"/>
      <c r="M262" s="183"/>
    </row>
    <row r="263" spans="12:13">
      <c r="L263" s="183"/>
      <c r="M263" s="183"/>
    </row>
    <row r="264" spans="12:13">
      <c r="L264" s="183"/>
      <c r="M264" s="183"/>
    </row>
    <row r="265" spans="12:13">
      <c r="L265" s="183"/>
      <c r="M265" s="183"/>
    </row>
    <row r="266" spans="12:13">
      <c r="L266" s="183"/>
      <c r="M266" s="183"/>
    </row>
    <row r="267" spans="12:13">
      <c r="L267" s="183"/>
      <c r="M267" s="183"/>
    </row>
    <row r="268" spans="12:13">
      <c r="L268" s="183"/>
      <c r="M268" s="183"/>
    </row>
    <row r="269" spans="12:13">
      <c r="L269" s="183"/>
      <c r="M269" s="183"/>
    </row>
    <row r="270" spans="12:13">
      <c r="L270" s="183"/>
      <c r="M270" s="183"/>
    </row>
    <row r="271" spans="12:13">
      <c r="L271" s="183"/>
      <c r="M271" s="183"/>
    </row>
    <row r="272" spans="12:13">
      <c r="L272" s="183"/>
      <c r="M272" s="183"/>
    </row>
    <row r="273" spans="12:13">
      <c r="L273" s="183"/>
      <c r="M273" s="183"/>
    </row>
    <row r="274" spans="12:13">
      <c r="L274" s="183"/>
      <c r="M274" s="183"/>
    </row>
    <row r="275" spans="12:13">
      <c r="L275" s="183"/>
      <c r="M275" s="183"/>
    </row>
    <row r="276" spans="12:13">
      <c r="L276" s="183"/>
      <c r="M276" s="183"/>
    </row>
    <row r="277" spans="12:13">
      <c r="L277" s="183"/>
      <c r="M277" s="183"/>
    </row>
    <row r="278" spans="12:13">
      <c r="L278" s="183"/>
      <c r="M278" s="183"/>
    </row>
    <row r="279" spans="12:13">
      <c r="L279" s="183"/>
      <c r="M279" s="183"/>
    </row>
    <row r="280" spans="12:13">
      <c r="L280" s="183"/>
      <c r="M280" s="183"/>
    </row>
    <row r="281" spans="12:13">
      <c r="L281" s="183"/>
      <c r="M281" s="183"/>
    </row>
    <row r="282" spans="12:13">
      <c r="L282" s="183"/>
      <c r="M282" s="183"/>
    </row>
    <row r="283" spans="12:13">
      <c r="L283" s="183"/>
      <c r="M283" s="183"/>
    </row>
    <row r="284" spans="12:13">
      <c r="L284" s="183"/>
      <c r="M284" s="183"/>
    </row>
    <row r="285" spans="12:13">
      <c r="L285" s="183"/>
      <c r="M285" s="183"/>
    </row>
    <row r="286" spans="12:13">
      <c r="L286" s="183"/>
      <c r="M286" s="183"/>
    </row>
    <row r="287" spans="12:13">
      <c r="L287" s="183"/>
      <c r="M287" s="183"/>
    </row>
    <row r="288" spans="12:13">
      <c r="L288" s="183"/>
      <c r="M288" s="183"/>
    </row>
    <row r="289" spans="12:13">
      <c r="L289" s="183"/>
      <c r="M289" s="183"/>
    </row>
    <row r="290" spans="12:13">
      <c r="L290" s="183"/>
      <c r="M290" s="183"/>
    </row>
    <row r="291" spans="12:13">
      <c r="L291" s="183"/>
      <c r="M291" s="183"/>
    </row>
    <row r="292" spans="12:13">
      <c r="L292" s="183"/>
      <c r="M292" s="183"/>
    </row>
    <row r="293" spans="12:13">
      <c r="L293" s="183"/>
      <c r="M293" s="183"/>
    </row>
    <row r="294" spans="12:13">
      <c r="L294" s="183"/>
      <c r="M294" s="183"/>
    </row>
    <row r="295" spans="12:13">
      <c r="L295" s="183"/>
      <c r="M295" s="183"/>
    </row>
    <row r="296" spans="12:13">
      <c r="L296" s="183"/>
      <c r="M296" s="183"/>
    </row>
    <row r="297" spans="12:13">
      <c r="L297" s="183"/>
      <c r="M297" s="183"/>
    </row>
    <row r="298" spans="12:13">
      <c r="L298" s="183"/>
      <c r="M298" s="183"/>
    </row>
    <row r="299" spans="12:13">
      <c r="L299" s="183"/>
      <c r="M299" s="183"/>
    </row>
    <row r="300" spans="12:13">
      <c r="L300" s="183"/>
      <c r="M300" s="183"/>
    </row>
    <row r="301" spans="12:13">
      <c r="L301" s="183"/>
      <c r="M301" s="183"/>
    </row>
    <row r="302" spans="12:13">
      <c r="L302" s="183"/>
      <c r="M302" s="183"/>
    </row>
    <row r="303" spans="12:13">
      <c r="L303" s="183"/>
      <c r="M303" s="183"/>
    </row>
    <row r="304" spans="12:13">
      <c r="L304" s="183"/>
      <c r="M304" s="183"/>
    </row>
    <row r="305" spans="12:13">
      <c r="L305" s="183"/>
      <c r="M305" s="183"/>
    </row>
    <row r="306" spans="12:13">
      <c r="L306" s="183"/>
      <c r="M306" s="183"/>
    </row>
    <row r="307" spans="12:13">
      <c r="L307" s="183"/>
      <c r="M307" s="183"/>
    </row>
    <row r="308" spans="12:13">
      <c r="L308" s="183"/>
      <c r="M308" s="183"/>
    </row>
    <row r="309" spans="12:13">
      <c r="L309" s="183"/>
      <c r="M309" s="183"/>
    </row>
    <row r="310" spans="12:13">
      <c r="L310" s="183"/>
      <c r="M310" s="183"/>
    </row>
    <row r="311" spans="12:13">
      <c r="L311" s="183"/>
      <c r="M311" s="183"/>
    </row>
    <row r="312" spans="12:13">
      <c r="L312" s="183"/>
      <c r="M312" s="183"/>
    </row>
    <row r="313" spans="12:13">
      <c r="L313" s="183"/>
      <c r="M313" s="183"/>
    </row>
    <row r="314" spans="12:13">
      <c r="L314" s="183"/>
      <c r="M314" s="183"/>
    </row>
    <row r="315" spans="12:13">
      <c r="L315" s="183"/>
      <c r="M315" s="183"/>
    </row>
    <row r="316" spans="12:13">
      <c r="L316" s="183"/>
      <c r="M316" s="183"/>
    </row>
    <row r="317" spans="12:13">
      <c r="L317" s="183"/>
      <c r="M317" s="183"/>
    </row>
    <row r="318" spans="12:13">
      <c r="L318" s="183"/>
      <c r="M318" s="183"/>
    </row>
    <row r="319" spans="12:13">
      <c r="L319" s="183"/>
      <c r="M319" s="183"/>
    </row>
    <row r="320" spans="12:13">
      <c r="L320" s="183"/>
      <c r="M320" s="183"/>
    </row>
    <row r="321" spans="12:13">
      <c r="L321" s="183"/>
      <c r="M321" s="183"/>
    </row>
    <row r="322" spans="12:13">
      <c r="L322" s="183"/>
      <c r="M322" s="183"/>
    </row>
    <row r="323" spans="12:13">
      <c r="L323" s="183"/>
      <c r="M323" s="183"/>
    </row>
    <row r="324" spans="12:13">
      <c r="L324" s="183"/>
      <c r="M324" s="183"/>
    </row>
    <row r="325" spans="12:13">
      <c r="L325" s="183"/>
      <c r="M325" s="183"/>
    </row>
    <row r="326" spans="12:13">
      <c r="L326" s="183"/>
      <c r="M326" s="183"/>
    </row>
    <row r="327" spans="12:13">
      <c r="L327" s="183"/>
      <c r="M327" s="183"/>
    </row>
    <row r="328" spans="12:13">
      <c r="L328" s="183"/>
      <c r="M328" s="183"/>
    </row>
    <row r="329" spans="12:13">
      <c r="L329" s="183"/>
      <c r="M329" s="183"/>
    </row>
    <row r="330" spans="12:13">
      <c r="L330" s="183"/>
      <c r="M330" s="183"/>
    </row>
    <row r="331" spans="12:13">
      <c r="L331" s="183"/>
      <c r="M331" s="183"/>
    </row>
    <row r="332" spans="12:13">
      <c r="L332" s="183"/>
      <c r="M332" s="183"/>
    </row>
    <row r="333" spans="12:13">
      <c r="L333" s="183"/>
      <c r="M333" s="183"/>
    </row>
    <row r="334" spans="12:13">
      <c r="L334" s="183"/>
      <c r="M334" s="183"/>
    </row>
    <row r="335" spans="12:13">
      <c r="L335" s="183"/>
      <c r="M335" s="183"/>
    </row>
    <row r="336" spans="12:13">
      <c r="L336" s="183"/>
      <c r="M336" s="183"/>
    </row>
    <row r="337" spans="12:13">
      <c r="L337" s="183"/>
      <c r="M337" s="183"/>
    </row>
    <row r="338" spans="12:13">
      <c r="L338" s="183"/>
      <c r="M338" s="183"/>
    </row>
    <row r="339" spans="12:13">
      <c r="L339" s="183"/>
      <c r="M339" s="183"/>
    </row>
    <row r="340" spans="12:13">
      <c r="L340" s="183"/>
      <c r="M340" s="183"/>
    </row>
    <row r="341" spans="12:13">
      <c r="L341" s="183"/>
      <c r="M341" s="183"/>
    </row>
    <row r="342" spans="12:13">
      <c r="L342" s="183"/>
      <c r="M342" s="183"/>
    </row>
    <row r="343" spans="12:13">
      <c r="L343" s="183"/>
      <c r="M343" s="183"/>
    </row>
    <row r="344" spans="12:13">
      <c r="L344" s="183"/>
      <c r="M344" s="183"/>
    </row>
    <row r="345" spans="12:13">
      <c r="L345" s="183"/>
      <c r="M345" s="183"/>
    </row>
    <row r="346" spans="12:13">
      <c r="L346" s="183"/>
      <c r="M346" s="183"/>
    </row>
    <row r="347" spans="12:13">
      <c r="L347" s="183"/>
      <c r="M347" s="183"/>
    </row>
    <row r="348" spans="12:13">
      <c r="L348" s="183"/>
      <c r="M348" s="183"/>
    </row>
    <row r="349" spans="12:13">
      <c r="L349" s="183"/>
      <c r="M349" s="183"/>
    </row>
    <row r="350" spans="12:13">
      <c r="L350" s="183"/>
      <c r="M350" s="183"/>
    </row>
    <row r="351" spans="12:13">
      <c r="L351" s="183"/>
      <c r="M351" s="183"/>
    </row>
    <row r="352" spans="12:13">
      <c r="L352" s="183"/>
      <c r="M352" s="183"/>
    </row>
    <row r="353" spans="12:13">
      <c r="L353" s="183"/>
      <c r="M353" s="183"/>
    </row>
    <row r="354" spans="12:13">
      <c r="L354" s="183"/>
      <c r="M354" s="183"/>
    </row>
    <row r="355" spans="12:13">
      <c r="L355" s="183"/>
      <c r="M355" s="183"/>
    </row>
    <row r="356" spans="12:13">
      <c r="L356" s="183"/>
      <c r="M356" s="183"/>
    </row>
    <row r="357" spans="12:13">
      <c r="L357" s="183"/>
      <c r="M357" s="183"/>
    </row>
    <row r="358" spans="12:13">
      <c r="L358" s="183"/>
      <c r="M358" s="183"/>
    </row>
    <row r="359" spans="12:13">
      <c r="L359" s="183"/>
      <c r="M359" s="183"/>
    </row>
    <row r="360" spans="12:13">
      <c r="L360" s="183"/>
      <c r="M360" s="183"/>
    </row>
    <row r="361" spans="12:13">
      <c r="L361" s="183"/>
      <c r="M361" s="183"/>
    </row>
    <row r="362" spans="12:13">
      <c r="L362" s="183"/>
      <c r="M362" s="183"/>
    </row>
    <row r="363" spans="12:13">
      <c r="L363" s="183"/>
      <c r="M363" s="183"/>
    </row>
    <row r="364" spans="12:13">
      <c r="L364" s="183"/>
      <c r="M364" s="183"/>
    </row>
    <row r="365" spans="12:13">
      <c r="L365" s="183"/>
      <c r="M365" s="183"/>
    </row>
    <row r="366" spans="12:13">
      <c r="L366" s="183"/>
      <c r="M366" s="183"/>
    </row>
    <row r="367" spans="12:13">
      <c r="L367" s="183"/>
      <c r="M367" s="183"/>
    </row>
    <row r="368" spans="12:13">
      <c r="L368" s="183"/>
      <c r="M368" s="183"/>
    </row>
    <row r="369" spans="12:13">
      <c r="L369" s="183"/>
      <c r="M369" s="183"/>
    </row>
    <row r="370" spans="12:13">
      <c r="L370" s="183"/>
      <c r="M370" s="183"/>
    </row>
    <row r="371" spans="12:13">
      <c r="L371" s="183"/>
      <c r="M371" s="183"/>
    </row>
    <row r="372" spans="12:13">
      <c r="L372" s="183"/>
      <c r="M372" s="183"/>
    </row>
    <row r="373" spans="12:13">
      <c r="L373" s="183"/>
      <c r="M373" s="183"/>
    </row>
    <row r="374" spans="12:13">
      <c r="L374" s="183"/>
      <c r="M374" s="183"/>
    </row>
    <row r="375" spans="12:13">
      <c r="L375" s="183"/>
      <c r="M375" s="183"/>
    </row>
    <row r="376" spans="12:13">
      <c r="L376" s="183"/>
      <c r="M376" s="183"/>
    </row>
    <row r="377" spans="12:13">
      <c r="L377" s="183"/>
      <c r="M377" s="183"/>
    </row>
    <row r="378" spans="12:13">
      <c r="L378" s="183"/>
      <c r="M378" s="183"/>
    </row>
    <row r="379" spans="12:13">
      <c r="L379" s="183"/>
      <c r="M379" s="183"/>
    </row>
    <row r="380" spans="12:13">
      <c r="L380" s="183"/>
      <c r="M380" s="183"/>
    </row>
    <row r="381" spans="12:13">
      <c r="L381" s="183"/>
      <c r="M381" s="183"/>
    </row>
    <row r="382" spans="12:13">
      <c r="L382" s="183"/>
      <c r="M382" s="183"/>
    </row>
    <row r="383" spans="12:13">
      <c r="L383" s="183"/>
      <c r="M383" s="183"/>
    </row>
    <row r="384" spans="12:13">
      <c r="L384" s="183"/>
      <c r="M384" s="183"/>
    </row>
    <row r="385" spans="12:13">
      <c r="L385" s="183"/>
      <c r="M385" s="183"/>
    </row>
    <row r="386" spans="12:13">
      <c r="L386" s="183"/>
      <c r="M386" s="183"/>
    </row>
    <row r="387" spans="12:13">
      <c r="L387" s="183"/>
      <c r="M387" s="183"/>
    </row>
    <row r="388" spans="12:13">
      <c r="L388" s="183"/>
      <c r="M388" s="183"/>
    </row>
    <row r="389" spans="12:13">
      <c r="L389" s="183"/>
      <c r="M389" s="183"/>
    </row>
    <row r="390" spans="12:13">
      <c r="L390" s="183"/>
      <c r="M390" s="183"/>
    </row>
    <row r="391" spans="12:13">
      <c r="L391" s="183"/>
      <c r="M391" s="183"/>
    </row>
    <row r="392" spans="12:13">
      <c r="L392" s="183"/>
      <c r="M392" s="183"/>
    </row>
    <row r="393" spans="12:13">
      <c r="L393" s="183"/>
      <c r="M393" s="183"/>
    </row>
    <row r="394" spans="12:13">
      <c r="L394" s="183"/>
      <c r="M394" s="183"/>
    </row>
    <row r="395" spans="12:13">
      <c r="L395" s="183"/>
      <c r="M395" s="183"/>
    </row>
    <row r="396" spans="12:13">
      <c r="L396" s="183"/>
      <c r="M396" s="183"/>
    </row>
    <row r="397" spans="12:13">
      <c r="L397" s="183"/>
      <c r="M397" s="183"/>
    </row>
    <row r="398" spans="12:13">
      <c r="L398" s="183"/>
      <c r="M398" s="183"/>
    </row>
    <row r="399" spans="12:13">
      <c r="L399" s="183"/>
      <c r="M399" s="183"/>
    </row>
    <row r="400" spans="12:13">
      <c r="L400" s="183"/>
      <c r="M400" s="183"/>
    </row>
    <row r="401" spans="12:13">
      <c r="L401" s="183"/>
      <c r="M401" s="183"/>
    </row>
    <row r="402" spans="12:13">
      <c r="L402" s="183"/>
      <c r="M402" s="183"/>
    </row>
    <row r="403" spans="12:13">
      <c r="L403" s="183"/>
      <c r="M403" s="183"/>
    </row>
    <row r="404" spans="12:13">
      <c r="L404" s="183"/>
      <c r="M404" s="183"/>
    </row>
    <row r="405" spans="12:13">
      <c r="L405" s="183"/>
      <c r="M405" s="183"/>
    </row>
    <row r="406" spans="12:13">
      <c r="L406" s="183"/>
      <c r="M406" s="183"/>
    </row>
    <row r="407" spans="12:13">
      <c r="L407" s="183"/>
      <c r="M407" s="183"/>
    </row>
    <row r="408" spans="12:13">
      <c r="L408" s="183"/>
      <c r="M408" s="183"/>
    </row>
    <row r="409" spans="12:13">
      <c r="L409" s="183"/>
      <c r="M409" s="183"/>
    </row>
    <row r="410" spans="12:13">
      <c r="L410" s="183"/>
      <c r="M410" s="183"/>
    </row>
    <row r="411" spans="12:13">
      <c r="L411" s="183"/>
      <c r="M411" s="183"/>
    </row>
    <row r="412" spans="12:13">
      <c r="L412" s="183"/>
      <c r="M412" s="183"/>
    </row>
    <row r="413" spans="12:13">
      <c r="L413" s="183"/>
      <c r="M413" s="183"/>
    </row>
    <row r="414" spans="12:13">
      <c r="L414" s="183"/>
      <c r="M414" s="183"/>
    </row>
    <row r="415" spans="12:13">
      <c r="L415" s="183"/>
      <c r="M415" s="183"/>
    </row>
    <row r="416" spans="12:13">
      <c r="L416" s="183"/>
      <c r="M416" s="183"/>
    </row>
    <row r="417" spans="12:13">
      <c r="L417" s="183"/>
      <c r="M417" s="183"/>
    </row>
    <row r="418" spans="12:13">
      <c r="L418" s="183"/>
      <c r="M418" s="183"/>
    </row>
    <row r="419" spans="12:13">
      <c r="L419" s="183"/>
      <c r="M419" s="183"/>
    </row>
    <row r="420" spans="12:13">
      <c r="L420" s="183"/>
      <c r="M420" s="183"/>
    </row>
    <row r="421" spans="12:13">
      <c r="L421" s="183"/>
      <c r="M421" s="183"/>
    </row>
    <row r="422" spans="12:13">
      <c r="L422" s="183"/>
      <c r="M422" s="183"/>
    </row>
    <row r="423" spans="12:13">
      <c r="L423" s="183"/>
      <c r="M423" s="183"/>
    </row>
    <row r="424" spans="12:13">
      <c r="L424" s="183"/>
      <c r="M424" s="183"/>
    </row>
    <row r="425" spans="12:13">
      <c r="L425" s="183"/>
      <c r="M425" s="183"/>
    </row>
    <row r="426" spans="12:13">
      <c r="L426" s="183"/>
      <c r="M426" s="183"/>
    </row>
    <row r="427" spans="12:13">
      <c r="L427" s="183"/>
      <c r="M427" s="183"/>
    </row>
    <row r="428" spans="12:13">
      <c r="L428" s="183"/>
      <c r="M428" s="183"/>
    </row>
    <row r="429" spans="12:13">
      <c r="L429" s="183"/>
      <c r="M429" s="183"/>
    </row>
    <row r="430" spans="12:13">
      <c r="L430" s="183"/>
      <c r="M430" s="183"/>
    </row>
    <row r="431" spans="12:13">
      <c r="L431" s="183"/>
      <c r="M431" s="183"/>
    </row>
    <row r="432" spans="12:13">
      <c r="L432" s="183"/>
      <c r="M432" s="183"/>
    </row>
    <row r="433" spans="12:13">
      <c r="L433" s="183"/>
      <c r="M433" s="183"/>
    </row>
    <row r="434" spans="12:13">
      <c r="L434" s="183"/>
      <c r="M434" s="183"/>
    </row>
    <row r="435" spans="12:13">
      <c r="L435" s="183"/>
      <c r="M435" s="183"/>
    </row>
    <row r="436" spans="12:13">
      <c r="L436" s="183"/>
      <c r="M436" s="183"/>
    </row>
    <row r="437" spans="12:13">
      <c r="L437" s="183"/>
      <c r="M437" s="183"/>
    </row>
    <row r="438" spans="12:13">
      <c r="L438" s="183"/>
      <c r="M438" s="183"/>
    </row>
    <row r="439" spans="12:13">
      <c r="L439" s="183"/>
      <c r="M439" s="183"/>
    </row>
    <row r="440" spans="12:13">
      <c r="L440" s="183"/>
      <c r="M440" s="183"/>
    </row>
    <row r="441" spans="12:13">
      <c r="L441" s="183"/>
      <c r="M441" s="183"/>
    </row>
    <row r="442" spans="12:13">
      <c r="L442" s="183"/>
      <c r="M442" s="183"/>
    </row>
    <row r="443" spans="12:13">
      <c r="L443" s="183"/>
      <c r="M443" s="183"/>
    </row>
    <row r="444" spans="12:13">
      <c r="L444" s="183"/>
      <c r="M444" s="183"/>
    </row>
    <row r="445" spans="12:13">
      <c r="L445" s="183"/>
      <c r="M445" s="183"/>
    </row>
    <row r="446" spans="12:13">
      <c r="L446" s="183"/>
      <c r="M446" s="183"/>
    </row>
    <row r="447" spans="12:13">
      <c r="L447" s="183"/>
      <c r="M447" s="183"/>
    </row>
    <row r="448" spans="12:13">
      <c r="L448" s="183"/>
      <c r="M448" s="183"/>
    </row>
    <row r="449" spans="12:13">
      <c r="L449" s="183"/>
      <c r="M449" s="183"/>
    </row>
    <row r="450" spans="12:13">
      <c r="L450" s="183"/>
      <c r="M450" s="183"/>
    </row>
    <row r="451" spans="12:13">
      <c r="L451" s="183"/>
      <c r="M451" s="183"/>
    </row>
    <row r="452" spans="12:13">
      <c r="L452" s="183"/>
      <c r="M452" s="183"/>
    </row>
    <row r="453" spans="12:13">
      <c r="L453" s="183"/>
      <c r="M453" s="183"/>
    </row>
    <row r="454" spans="12:13">
      <c r="L454" s="183"/>
      <c r="M454" s="183"/>
    </row>
    <row r="455" spans="12:13">
      <c r="L455" s="183"/>
      <c r="M455" s="183"/>
    </row>
    <row r="456" spans="12:13">
      <c r="L456" s="183"/>
      <c r="M456" s="183"/>
    </row>
    <row r="457" spans="12:13">
      <c r="L457" s="183"/>
      <c r="M457" s="183"/>
    </row>
    <row r="458" spans="12:13">
      <c r="L458" s="183"/>
      <c r="M458" s="183"/>
    </row>
    <row r="459" spans="12:13">
      <c r="L459" s="183"/>
      <c r="M459" s="183"/>
    </row>
    <row r="460" spans="12:13">
      <c r="L460" s="183"/>
      <c r="M460" s="183"/>
    </row>
    <row r="461" spans="12:13">
      <c r="L461" s="183"/>
      <c r="M461" s="183"/>
    </row>
    <row r="462" spans="12:13">
      <c r="L462" s="183"/>
      <c r="M462" s="183"/>
    </row>
    <row r="463" spans="12:13">
      <c r="L463" s="183"/>
      <c r="M463" s="183"/>
    </row>
    <row r="464" spans="12:13">
      <c r="L464" s="183"/>
      <c r="M464" s="183"/>
    </row>
    <row r="465" spans="12:13">
      <c r="L465" s="183"/>
      <c r="M465" s="183"/>
    </row>
    <row r="466" spans="12:13">
      <c r="L466" s="183"/>
      <c r="M466" s="183"/>
    </row>
    <row r="467" spans="12:13">
      <c r="L467" s="183"/>
      <c r="M467" s="183"/>
    </row>
    <row r="468" spans="12:13">
      <c r="L468" s="183"/>
      <c r="M468" s="183"/>
    </row>
    <row r="469" spans="12:13">
      <c r="L469" s="183"/>
      <c r="M469" s="183"/>
    </row>
    <row r="470" spans="12:13">
      <c r="L470" s="183"/>
      <c r="M470" s="183"/>
    </row>
    <row r="471" spans="12:13">
      <c r="L471" s="183"/>
      <c r="M471" s="183"/>
    </row>
    <row r="472" spans="12:13">
      <c r="L472" s="183"/>
      <c r="M472" s="183"/>
    </row>
    <row r="473" spans="12:13">
      <c r="L473" s="183"/>
      <c r="M473" s="183"/>
    </row>
    <row r="474" spans="12:13">
      <c r="L474" s="183"/>
      <c r="M474" s="183"/>
    </row>
    <row r="475" spans="12:13">
      <c r="L475" s="183"/>
      <c r="M475" s="183"/>
    </row>
    <row r="476" spans="12:13">
      <c r="L476" s="183"/>
      <c r="M476" s="183"/>
    </row>
    <row r="477" spans="12:13">
      <c r="L477" s="183"/>
      <c r="M477" s="183"/>
    </row>
    <row r="478" spans="12:13">
      <c r="L478" s="183"/>
      <c r="M478" s="183"/>
    </row>
    <row r="479" spans="12:13">
      <c r="L479" s="183"/>
      <c r="M479" s="183"/>
    </row>
    <row r="480" spans="12:13">
      <c r="L480" s="183"/>
      <c r="M480" s="183"/>
    </row>
    <row r="481" spans="12:13">
      <c r="L481" s="183"/>
      <c r="M481" s="183"/>
    </row>
    <row r="482" spans="12:13">
      <c r="L482" s="183"/>
      <c r="M482" s="183"/>
    </row>
    <row r="483" spans="12:13">
      <c r="L483" s="183"/>
      <c r="M483" s="183"/>
    </row>
    <row r="484" spans="12:13">
      <c r="L484" s="183"/>
      <c r="M484" s="183"/>
    </row>
    <row r="485" spans="12:13">
      <c r="L485" s="183"/>
      <c r="M485" s="183"/>
    </row>
    <row r="486" spans="12:13">
      <c r="L486" s="183"/>
      <c r="M486" s="183"/>
    </row>
    <row r="487" spans="12:13">
      <c r="L487" s="183"/>
      <c r="M487" s="183"/>
    </row>
    <row r="488" spans="12:13">
      <c r="L488" s="183"/>
      <c r="M488" s="183"/>
    </row>
    <row r="489" spans="12:13">
      <c r="L489" s="183"/>
      <c r="M489" s="183"/>
    </row>
    <row r="490" spans="12:13">
      <c r="L490" s="183"/>
      <c r="M490" s="183"/>
    </row>
    <row r="491" spans="12:13">
      <c r="L491" s="183"/>
      <c r="M491" s="183"/>
    </row>
    <row r="492" spans="12:13">
      <c r="L492" s="183"/>
      <c r="M492" s="183"/>
    </row>
    <row r="493" spans="12:13">
      <c r="L493" s="183"/>
      <c r="M493" s="183"/>
    </row>
    <row r="494" spans="12:13">
      <c r="L494" s="183"/>
      <c r="M494" s="183"/>
    </row>
    <row r="495" spans="12:13">
      <c r="L495" s="183"/>
      <c r="M495" s="183"/>
    </row>
    <row r="496" spans="12:13">
      <c r="L496" s="183"/>
      <c r="M496" s="183"/>
    </row>
    <row r="497" spans="12:13">
      <c r="L497" s="183"/>
      <c r="M497" s="183"/>
    </row>
    <row r="498" spans="12:13">
      <c r="L498" s="183"/>
      <c r="M498" s="183"/>
    </row>
    <row r="499" spans="12:13">
      <c r="L499" s="183"/>
      <c r="M499" s="183"/>
    </row>
    <row r="500" spans="12:13">
      <c r="L500" s="183"/>
      <c r="M500" s="183"/>
    </row>
    <row r="501" spans="12:13">
      <c r="L501" s="183"/>
      <c r="M501" s="183"/>
    </row>
    <row r="502" spans="12:13">
      <c r="L502" s="183"/>
      <c r="M502" s="183"/>
    </row>
    <row r="503" spans="12:13">
      <c r="L503" s="183"/>
      <c r="M503" s="183"/>
    </row>
    <row r="504" spans="12:13">
      <c r="L504" s="183"/>
      <c r="M504" s="183"/>
    </row>
    <row r="505" spans="12:13">
      <c r="L505" s="183"/>
      <c r="M505" s="183"/>
    </row>
    <row r="506" spans="12:13">
      <c r="L506" s="183"/>
      <c r="M506" s="183"/>
    </row>
    <row r="507" spans="12:13">
      <c r="L507" s="183"/>
      <c r="M507" s="183"/>
    </row>
    <row r="508" spans="12:13">
      <c r="L508" s="183"/>
      <c r="M508" s="183"/>
    </row>
    <row r="509" spans="12:13">
      <c r="L509" s="183"/>
      <c r="M509" s="183"/>
    </row>
    <row r="510" spans="12:13">
      <c r="L510" s="183"/>
      <c r="M510" s="183"/>
    </row>
    <row r="511" spans="12:13">
      <c r="L511" s="183"/>
      <c r="M511" s="183"/>
    </row>
    <row r="512" spans="12:13">
      <c r="L512" s="183"/>
      <c r="M512" s="183"/>
    </row>
    <row r="513" spans="12:13">
      <c r="L513" s="183"/>
      <c r="M513" s="183"/>
    </row>
    <row r="514" spans="12:13">
      <c r="L514" s="183"/>
      <c r="M514" s="183"/>
    </row>
    <row r="515" spans="12:13">
      <c r="L515" s="183"/>
      <c r="M515" s="183"/>
    </row>
    <row r="516" spans="12:13">
      <c r="L516" s="183"/>
      <c r="M516" s="183"/>
    </row>
    <row r="517" spans="12:13">
      <c r="L517" s="183"/>
      <c r="M517" s="183"/>
    </row>
    <row r="518" spans="12:13">
      <c r="L518" s="183"/>
      <c r="M518" s="183"/>
    </row>
    <row r="519" spans="12:13">
      <c r="L519" s="183"/>
      <c r="M519" s="183"/>
    </row>
    <row r="520" spans="12:13">
      <c r="L520" s="183"/>
      <c r="M520" s="183"/>
    </row>
    <row r="521" spans="12:13">
      <c r="L521" s="183"/>
      <c r="M521" s="183"/>
    </row>
    <row r="522" spans="12:13">
      <c r="L522" s="183"/>
      <c r="M522" s="183"/>
    </row>
    <row r="523" spans="12:13">
      <c r="L523" s="183"/>
      <c r="M523" s="183"/>
    </row>
    <row r="524" spans="12:13">
      <c r="L524" s="183"/>
      <c r="M524" s="183"/>
    </row>
    <row r="525" spans="12:13">
      <c r="L525" s="183"/>
      <c r="M525" s="183"/>
    </row>
    <row r="526" spans="12:13">
      <c r="L526" s="183"/>
      <c r="M526" s="183"/>
    </row>
    <row r="527" spans="12:13">
      <c r="L527" s="183"/>
      <c r="M527" s="183"/>
    </row>
    <row r="528" spans="12:13">
      <c r="L528" s="183"/>
      <c r="M528" s="183"/>
    </row>
    <row r="529" spans="12:13">
      <c r="L529" s="183"/>
      <c r="M529" s="183"/>
    </row>
    <row r="530" spans="12:13">
      <c r="L530" s="183"/>
      <c r="M530" s="183"/>
    </row>
    <row r="531" spans="12:13">
      <c r="L531" s="183"/>
      <c r="M531" s="183"/>
    </row>
    <row r="532" spans="12:13">
      <c r="L532" s="183"/>
      <c r="M532" s="183"/>
    </row>
    <row r="533" spans="12:13">
      <c r="L533" s="183"/>
      <c r="M533" s="183"/>
    </row>
    <row r="534" spans="12:13">
      <c r="L534" s="183"/>
      <c r="M534" s="183"/>
    </row>
    <row r="535" spans="12:13">
      <c r="L535" s="183"/>
      <c r="M535" s="183"/>
    </row>
    <row r="536" spans="12:13">
      <c r="L536" s="183"/>
      <c r="M536" s="183"/>
    </row>
    <row r="537" spans="12:13">
      <c r="L537" s="183"/>
      <c r="M537" s="183"/>
    </row>
    <row r="538" spans="12:13">
      <c r="L538" s="183"/>
      <c r="M538" s="183"/>
    </row>
    <row r="539" spans="12:13">
      <c r="L539" s="183"/>
      <c r="M539" s="183"/>
    </row>
    <row r="540" spans="12:13">
      <c r="L540" s="183"/>
      <c r="M540" s="183"/>
    </row>
    <row r="541" spans="12:13">
      <c r="L541" s="183"/>
      <c r="M541" s="183"/>
    </row>
    <row r="542" spans="12:13">
      <c r="L542" s="183"/>
      <c r="M542" s="183"/>
    </row>
    <row r="543" spans="12:13">
      <c r="L543" s="183"/>
      <c r="M543" s="183"/>
    </row>
    <row r="544" spans="12:13">
      <c r="L544" s="183"/>
      <c r="M544" s="183"/>
    </row>
    <row r="545" spans="12:13">
      <c r="L545" s="183"/>
      <c r="M545" s="183"/>
    </row>
    <row r="546" spans="12:13">
      <c r="L546" s="183"/>
      <c r="M546" s="183"/>
    </row>
    <row r="547" spans="12:13">
      <c r="L547" s="183"/>
      <c r="M547" s="183"/>
    </row>
    <row r="548" spans="12:13">
      <c r="L548" s="183"/>
      <c r="M548" s="183"/>
    </row>
    <row r="549" spans="12:13">
      <c r="L549" s="183"/>
      <c r="M549" s="183"/>
    </row>
    <row r="550" spans="12:13">
      <c r="L550" s="183"/>
      <c r="M550" s="183"/>
    </row>
    <row r="551" spans="12:13">
      <c r="L551" s="183"/>
      <c r="M551" s="183"/>
    </row>
    <row r="552" spans="12:13">
      <c r="L552" s="183"/>
      <c r="M552" s="183"/>
    </row>
    <row r="553" spans="12:13">
      <c r="L553" s="183"/>
      <c r="M553" s="183"/>
    </row>
    <row r="554" spans="12:13">
      <c r="L554" s="183"/>
      <c r="M554" s="183"/>
    </row>
    <row r="555" spans="12:13">
      <c r="L555" s="183"/>
      <c r="M555" s="183"/>
    </row>
    <row r="556" spans="12:13">
      <c r="L556" s="183"/>
      <c r="M556" s="183"/>
    </row>
    <row r="557" spans="12:13">
      <c r="L557" s="183"/>
      <c r="M557" s="183"/>
    </row>
    <row r="558" spans="12:13">
      <c r="L558" s="183"/>
      <c r="M558" s="183"/>
    </row>
    <row r="559" spans="12:13">
      <c r="L559" s="183"/>
      <c r="M559" s="183"/>
    </row>
    <row r="560" spans="12:13">
      <c r="L560" s="183"/>
      <c r="M560" s="183"/>
    </row>
    <row r="561" spans="12:13">
      <c r="L561" s="183"/>
      <c r="M561" s="183"/>
    </row>
    <row r="562" spans="12:13">
      <c r="L562" s="183"/>
      <c r="M562" s="183"/>
    </row>
    <row r="563" spans="12:13">
      <c r="L563" s="183"/>
      <c r="M563" s="183"/>
    </row>
    <row r="564" spans="12:13">
      <c r="L564" s="183"/>
      <c r="M564" s="183"/>
    </row>
    <row r="565" spans="12:13">
      <c r="L565" s="183"/>
      <c r="M565" s="183"/>
    </row>
    <row r="566" spans="12:13">
      <c r="L566" s="183"/>
      <c r="M566" s="183"/>
    </row>
    <row r="567" spans="12:13">
      <c r="L567" s="183"/>
      <c r="M567" s="183"/>
    </row>
    <row r="568" spans="12:13">
      <c r="L568" s="183"/>
      <c r="M568" s="183"/>
    </row>
    <row r="569" spans="12:13">
      <c r="L569" s="183"/>
      <c r="M569" s="183"/>
    </row>
    <row r="570" spans="12:13">
      <c r="L570" s="183"/>
      <c r="M570" s="183"/>
    </row>
    <row r="571" spans="12:13">
      <c r="L571" s="183"/>
      <c r="M571" s="183"/>
    </row>
    <row r="572" spans="12:13">
      <c r="L572" s="183"/>
      <c r="M572" s="183"/>
    </row>
    <row r="573" spans="12:13">
      <c r="L573" s="183"/>
      <c r="M573" s="183"/>
    </row>
    <row r="574" spans="12:13">
      <c r="L574" s="183"/>
      <c r="M574" s="183"/>
    </row>
    <row r="575" spans="12:13">
      <c r="L575" s="183"/>
      <c r="M575" s="183"/>
    </row>
    <row r="576" spans="12:13">
      <c r="L576" s="183"/>
      <c r="M576" s="183"/>
    </row>
    <row r="577" spans="12:13">
      <c r="L577" s="183"/>
      <c r="M577" s="183"/>
    </row>
    <row r="578" spans="12:13">
      <c r="L578" s="183"/>
      <c r="M578" s="183"/>
    </row>
    <row r="579" spans="12:13">
      <c r="L579" s="183"/>
      <c r="M579" s="183"/>
    </row>
    <row r="580" spans="12:13">
      <c r="L580" s="183"/>
      <c r="M580" s="183"/>
    </row>
    <row r="581" spans="12:13">
      <c r="L581" s="183"/>
      <c r="M581" s="183"/>
    </row>
    <row r="582" spans="12:13">
      <c r="L582" s="183"/>
      <c r="M582" s="183"/>
    </row>
    <row r="583" spans="12:13">
      <c r="L583" s="183"/>
      <c r="M583" s="183"/>
    </row>
    <row r="584" spans="12:13">
      <c r="L584" s="183"/>
      <c r="M584" s="183"/>
    </row>
    <row r="585" spans="12:13">
      <c r="L585" s="183"/>
      <c r="M585" s="183"/>
    </row>
    <row r="586" spans="12:13">
      <c r="L586" s="183"/>
      <c r="M586" s="183"/>
    </row>
    <row r="587" spans="12:13">
      <c r="L587" s="183"/>
      <c r="M587" s="183"/>
    </row>
    <row r="588" spans="12:13">
      <c r="L588" s="183"/>
      <c r="M588" s="183"/>
    </row>
    <row r="589" spans="12:13">
      <c r="L589" s="183"/>
      <c r="M589" s="183"/>
    </row>
    <row r="590" spans="12:13">
      <c r="L590" s="183"/>
      <c r="M590" s="183"/>
    </row>
    <row r="591" spans="12:13">
      <c r="L591" s="183"/>
      <c r="M591" s="183"/>
    </row>
    <row r="592" spans="12:13">
      <c r="L592" s="183"/>
      <c r="M592" s="183"/>
    </row>
    <row r="593" spans="12:13">
      <c r="L593" s="183"/>
      <c r="M593" s="183"/>
    </row>
    <row r="594" spans="12:13">
      <c r="L594" s="183"/>
      <c r="M594" s="183"/>
    </row>
    <row r="595" spans="12:13">
      <c r="L595" s="183"/>
      <c r="M595" s="183"/>
    </row>
    <row r="596" spans="12:13">
      <c r="L596" s="183"/>
      <c r="M596" s="183"/>
    </row>
    <row r="597" spans="12:13">
      <c r="L597" s="183"/>
      <c r="M597" s="183"/>
    </row>
    <row r="598" spans="12:13">
      <c r="L598" s="183"/>
      <c r="M598" s="183"/>
    </row>
    <row r="599" spans="12:13">
      <c r="L599" s="183"/>
      <c r="M599" s="183"/>
    </row>
    <row r="600" spans="12:13">
      <c r="L600" s="183"/>
      <c r="M600" s="183"/>
    </row>
    <row r="601" spans="12:13">
      <c r="L601" s="183"/>
      <c r="M601" s="183"/>
    </row>
    <row r="602" spans="12:13">
      <c r="L602" s="183"/>
      <c r="M602" s="183"/>
    </row>
    <row r="603" spans="12:13">
      <c r="L603" s="183"/>
      <c r="M603" s="183"/>
    </row>
    <row r="604" spans="12:13">
      <c r="L604" s="183"/>
      <c r="M604" s="183"/>
    </row>
    <row r="605" spans="12:13">
      <c r="L605" s="183"/>
      <c r="M605" s="183"/>
    </row>
    <row r="606" spans="12:13">
      <c r="L606" s="183"/>
      <c r="M606" s="183"/>
    </row>
    <row r="607" spans="12:13">
      <c r="L607" s="183"/>
      <c r="M607" s="183"/>
    </row>
    <row r="608" spans="12:13">
      <c r="L608" s="183"/>
      <c r="M608" s="183"/>
    </row>
    <row r="609" spans="12:13">
      <c r="L609" s="183"/>
      <c r="M609" s="183"/>
    </row>
    <row r="610" spans="12:13">
      <c r="L610" s="183"/>
      <c r="M610" s="183"/>
    </row>
    <row r="611" spans="12:13">
      <c r="L611" s="183"/>
      <c r="M611" s="183"/>
    </row>
    <row r="612" spans="12:13">
      <c r="L612" s="183"/>
      <c r="M612" s="183"/>
    </row>
    <row r="613" spans="12:13">
      <c r="L613" s="183"/>
      <c r="M613" s="183"/>
    </row>
    <row r="614" spans="12:13">
      <c r="L614" s="183"/>
      <c r="M614" s="183"/>
    </row>
    <row r="615" spans="12:13">
      <c r="L615" s="183"/>
      <c r="M615" s="183"/>
    </row>
    <row r="616" spans="12:13">
      <c r="L616" s="183"/>
      <c r="M616" s="183"/>
    </row>
    <row r="617" spans="12:13">
      <c r="L617" s="183"/>
      <c r="M617" s="183"/>
    </row>
    <row r="618" spans="12:13">
      <c r="L618" s="183"/>
      <c r="M618" s="183"/>
    </row>
    <row r="619" spans="12:13">
      <c r="L619" s="183"/>
      <c r="M619" s="183"/>
    </row>
    <row r="620" spans="12:13">
      <c r="L620" s="183"/>
      <c r="M620" s="183"/>
    </row>
    <row r="621" spans="12:13">
      <c r="L621" s="183"/>
      <c r="M621" s="183"/>
    </row>
    <row r="622" spans="12:13">
      <c r="L622" s="183"/>
      <c r="M622" s="183"/>
    </row>
    <row r="623" spans="12:13">
      <c r="L623" s="183"/>
      <c r="M623" s="183"/>
    </row>
    <row r="624" spans="12:13">
      <c r="L624" s="183"/>
      <c r="M624" s="183"/>
    </row>
    <row r="625" spans="12:13">
      <c r="L625" s="183"/>
      <c r="M625" s="183"/>
    </row>
    <row r="626" spans="12:13">
      <c r="L626" s="183"/>
      <c r="M626" s="183"/>
    </row>
    <row r="627" spans="12:13">
      <c r="L627" s="183"/>
      <c r="M627" s="183"/>
    </row>
    <row r="628" spans="12:13">
      <c r="L628" s="183"/>
      <c r="M628" s="183"/>
    </row>
    <row r="629" spans="12:13">
      <c r="L629" s="183"/>
      <c r="M629" s="183"/>
    </row>
    <row r="630" spans="12:13">
      <c r="L630" s="183"/>
      <c r="M630" s="183"/>
    </row>
    <row r="631" spans="12:13">
      <c r="L631" s="183"/>
      <c r="M631" s="183"/>
    </row>
    <row r="632" spans="12:13">
      <c r="L632" s="183"/>
      <c r="M632" s="183"/>
    </row>
    <row r="633" spans="12:13">
      <c r="L633" s="183"/>
      <c r="M633" s="183"/>
    </row>
    <row r="634" spans="12:13">
      <c r="L634" s="183"/>
      <c r="M634" s="183"/>
    </row>
    <row r="635" spans="12:13">
      <c r="L635" s="183"/>
      <c r="M635" s="183"/>
    </row>
    <row r="636" spans="12:13">
      <c r="L636" s="183"/>
      <c r="M636" s="183"/>
    </row>
    <row r="637" spans="12:13">
      <c r="L637" s="183"/>
      <c r="M637" s="183"/>
    </row>
    <row r="638" spans="12:13">
      <c r="L638" s="183"/>
      <c r="M638" s="183"/>
    </row>
    <row r="639" spans="12:13">
      <c r="L639" s="183"/>
      <c r="M639" s="183"/>
    </row>
    <row r="640" spans="12:13">
      <c r="L640" s="183"/>
      <c r="M640" s="183"/>
    </row>
    <row r="641" spans="12:13">
      <c r="L641" s="183"/>
      <c r="M641" s="183"/>
    </row>
    <row r="642" spans="12:13">
      <c r="L642" s="183"/>
      <c r="M642" s="183"/>
    </row>
    <row r="643" spans="12:13">
      <c r="L643" s="183"/>
      <c r="M643" s="183"/>
    </row>
    <row r="644" spans="12:13">
      <c r="L644" s="183"/>
      <c r="M644" s="183"/>
    </row>
    <row r="645" spans="12:13">
      <c r="L645" s="183"/>
      <c r="M645" s="183"/>
    </row>
    <row r="646" spans="12:13">
      <c r="L646" s="183"/>
      <c r="M646" s="183"/>
    </row>
    <row r="647" spans="12:13">
      <c r="L647" s="183"/>
      <c r="M647" s="183"/>
    </row>
    <row r="648" spans="12:13">
      <c r="L648" s="183"/>
      <c r="M648" s="183"/>
    </row>
    <row r="649" spans="12:13">
      <c r="L649" s="183"/>
      <c r="M649" s="183"/>
    </row>
    <row r="650" spans="12:13">
      <c r="L650" s="183"/>
      <c r="M650" s="183"/>
    </row>
    <row r="651" spans="12:13">
      <c r="L651" s="183"/>
      <c r="M651" s="183"/>
    </row>
    <row r="652" spans="12:13">
      <c r="L652" s="183"/>
      <c r="M652" s="183"/>
    </row>
    <row r="653" spans="12:13">
      <c r="L653" s="183"/>
      <c r="M653" s="183"/>
    </row>
    <row r="654" spans="12:13">
      <c r="L654" s="183"/>
      <c r="M654" s="183"/>
    </row>
    <row r="655" spans="12:13">
      <c r="L655" s="183"/>
      <c r="M655" s="183"/>
    </row>
    <row r="656" spans="12:13">
      <c r="L656" s="183"/>
      <c r="M656" s="183"/>
    </row>
    <row r="657" spans="12:13">
      <c r="L657" s="183"/>
      <c r="M657" s="183"/>
    </row>
    <row r="658" spans="12:13">
      <c r="L658" s="183"/>
      <c r="M658" s="183"/>
    </row>
    <row r="659" spans="12:13">
      <c r="L659" s="183"/>
      <c r="M659" s="183"/>
    </row>
    <row r="660" spans="12:13">
      <c r="L660" s="183"/>
      <c r="M660" s="183"/>
    </row>
    <row r="661" spans="12:13">
      <c r="L661" s="183"/>
      <c r="M661" s="183"/>
    </row>
    <row r="662" spans="12:13">
      <c r="L662" s="183"/>
      <c r="M662" s="183"/>
    </row>
    <row r="663" spans="12:13">
      <c r="L663" s="183"/>
      <c r="M663" s="183"/>
    </row>
    <row r="664" spans="12:13">
      <c r="L664" s="183"/>
      <c r="M664" s="183"/>
    </row>
    <row r="665" spans="12:13">
      <c r="L665" s="183"/>
      <c r="M665" s="183"/>
    </row>
    <row r="666" spans="12:13">
      <c r="L666" s="183"/>
      <c r="M666" s="183"/>
    </row>
    <row r="667" spans="12:13">
      <c r="L667" s="183"/>
      <c r="M667" s="183"/>
    </row>
    <row r="668" spans="12:13">
      <c r="L668" s="183"/>
      <c r="M668" s="183"/>
    </row>
    <row r="669" spans="12:13">
      <c r="L669" s="183"/>
      <c r="M669" s="183"/>
    </row>
    <row r="670" spans="12:13">
      <c r="L670" s="183"/>
      <c r="M670" s="183"/>
    </row>
    <row r="671" spans="12:13">
      <c r="L671" s="183"/>
      <c r="M671" s="183"/>
    </row>
    <row r="672" spans="12:13">
      <c r="L672" s="183"/>
      <c r="M672" s="183"/>
    </row>
    <row r="673" spans="12:13">
      <c r="L673" s="183"/>
      <c r="M673" s="183"/>
    </row>
    <row r="674" spans="12:13">
      <c r="L674" s="183"/>
      <c r="M674" s="183"/>
    </row>
    <row r="675" spans="12:13">
      <c r="L675" s="183"/>
      <c r="M675" s="183"/>
    </row>
    <row r="676" spans="12:13">
      <c r="L676" s="183"/>
      <c r="M676" s="183"/>
    </row>
    <row r="677" spans="12:13">
      <c r="L677" s="183"/>
      <c r="M677" s="183"/>
    </row>
    <row r="678" spans="12:13">
      <c r="L678" s="183"/>
      <c r="M678" s="183"/>
    </row>
    <row r="679" spans="12:13">
      <c r="L679" s="183"/>
      <c r="M679" s="183"/>
    </row>
    <row r="680" spans="12:13">
      <c r="L680" s="183"/>
      <c r="M680" s="183"/>
    </row>
    <row r="681" spans="12:13">
      <c r="L681" s="183"/>
      <c r="M681" s="183"/>
    </row>
    <row r="682" spans="12:13">
      <c r="L682" s="183"/>
      <c r="M682" s="183"/>
    </row>
    <row r="683" spans="12:13">
      <c r="L683" s="183"/>
      <c r="M683" s="183"/>
    </row>
    <row r="684" spans="12:13">
      <c r="L684" s="183"/>
      <c r="M684" s="183"/>
    </row>
    <row r="685" spans="12:13">
      <c r="L685" s="183"/>
      <c r="M685" s="183"/>
    </row>
    <row r="686" spans="12:13">
      <c r="L686" s="183"/>
      <c r="M686" s="183"/>
    </row>
    <row r="687" spans="12:13">
      <c r="L687" s="183"/>
      <c r="M687" s="183"/>
    </row>
    <row r="688" spans="12:13">
      <c r="L688" s="183"/>
      <c r="M688" s="183"/>
    </row>
    <row r="689" spans="12:13">
      <c r="L689" s="183"/>
      <c r="M689" s="183"/>
    </row>
    <row r="690" spans="12:13">
      <c r="L690" s="183"/>
      <c r="M690" s="183"/>
    </row>
    <row r="691" spans="12:13">
      <c r="L691" s="183"/>
      <c r="M691" s="183"/>
    </row>
    <row r="692" spans="12:13">
      <c r="L692" s="183"/>
      <c r="M692" s="183"/>
    </row>
    <row r="693" spans="12:13">
      <c r="L693" s="183"/>
      <c r="M693" s="183"/>
    </row>
    <row r="694" spans="12:13">
      <c r="L694" s="183"/>
      <c r="M694" s="183"/>
    </row>
    <row r="695" spans="12:13">
      <c r="L695" s="183"/>
      <c r="M695" s="183"/>
    </row>
    <row r="696" spans="12:13">
      <c r="L696" s="183"/>
      <c r="M696" s="183"/>
    </row>
    <row r="697" spans="12:13">
      <c r="L697" s="183"/>
      <c r="M697" s="183"/>
    </row>
    <row r="698" spans="12:13">
      <c r="L698" s="183"/>
      <c r="M698" s="183"/>
    </row>
    <row r="699" spans="12:13">
      <c r="L699" s="183"/>
      <c r="M699" s="183"/>
    </row>
    <row r="700" spans="12:13">
      <c r="L700" s="183"/>
      <c r="M700" s="183"/>
    </row>
    <row r="701" spans="12:13">
      <c r="L701" s="183"/>
      <c r="M701" s="183"/>
    </row>
    <row r="702" spans="12:13">
      <c r="L702" s="183"/>
      <c r="M702" s="183"/>
    </row>
    <row r="703" spans="12:13">
      <c r="L703" s="183"/>
      <c r="M703" s="183"/>
    </row>
    <row r="704" spans="12:13">
      <c r="L704" s="183"/>
      <c r="M704" s="183"/>
    </row>
    <row r="705" spans="12:13">
      <c r="L705" s="183"/>
      <c r="M705" s="183"/>
    </row>
    <row r="706" spans="12:13">
      <c r="L706" s="183"/>
      <c r="M706" s="183"/>
    </row>
    <row r="707" spans="12:13">
      <c r="L707" s="183"/>
      <c r="M707" s="183"/>
    </row>
    <row r="708" spans="12:13">
      <c r="L708" s="183"/>
      <c r="M708" s="183"/>
    </row>
    <row r="709" spans="12:13">
      <c r="L709" s="183"/>
      <c r="M709" s="183"/>
    </row>
    <row r="710" spans="12:13">
      <c r="L710" s="183"/>
      <c r="M710" s="183"/>
    </row>
    <row r="711" spans="12:13">
      <c r="L711" s="183"/>
      <c r="M711" s="183"/>
    </row>
    <row r="712" spans="12:13">
      <c r="L712" s="183"/>
      <c r="M712" s="183"/>
    </row>
    <row r="713" spans="12:13">
      <c r="L713" s="183"/>
      <c r="M713" s="183"/>
    </row>
    <row r="714" spans="12:13">
      <c r="L714" s="183"/>
      <c r="M714" s="183"/>
    </row>
    <row r="715" spans="12:13">
      <c r="L715" s="183"/>
      <c r="M715" s="183"/>
    </row>
    <row r="716" spans="12:13">
      <c r="L716" s="183"/>
      <c r="M716" s="183"/>
    </row>
    <row r="717" spans="12:13">
      <c r="L717" s="183"/>
      <c r="M717" s="183"/>
    </row>
    <row r="718" spans="12:13">
      <c r="L718" s="183"/>
      <c r="M718" s="183"/>
    </row>
    <row r="719" spans="12:13">
      <c r="L719" s="183"/>
      <c r="M719" s="183"/>
    </row>
    <row r="720" spans="12:13">
      <c r="L720" s="183"/>
      <c r="M720" s="183"/>
    </row>
    <row r="721" spans="12:13">
      <c r="L721" s="183"/>
      <c r="M721" s="183"/>
    </row>
    <row r="722" spans="12:13">
      <c r="L722" s="183"/>
      <c r="M722" s="183"/>
    </row>
    <row r="723" spans="12:13">
      <c r="L723" s="183"/>
      <c r="M723" s="183"/>
    </row>
    <row r="724" spans="12:13">
      <c r="L724" s="183"/>
      <c r="M724" s="183"/>
    </row>
    <row r="725" spans="12:13">
      <c r="L725" s="183"/>
      <c r="M725" s="183"/>
    </row>
    <row r="726" spans="12:13">
      <c r="L726" s="183"/>
      <c r="M726" s="183"/>
    </row>
    <row r="727" spans="12:13">
      <c r="L727" s="183"/>
      <c r="M727" s="183"/>
    </row>
    <row r="728" spans="12:13">
      <c r="L728" s="183"/>
      <c r="M728" s="183"/>
    </row>
    <row r="729" spans="12:13">
      <c r="L729" s="183"/>
      <c r="M729" s="183"/>
    </row>
    <row r="730" spans="12:13">
      <c r="L730" s="183"/>
      <c r="M730" s="183"/>
    </row>
    <row r="731" spans="12:13">
      <c r="L731" s="183"/>
      <c r="M731" s="183"/>
    </row>
    <row r="732" spans="12:13">
      <c r="L732" s="183"/>
      <c r="M732" s="183"/>
    </row>
    <row r="733" spans="12:13">
      <c r="L733" s="183"/>
      <c r="M733" s="183"/>
    </row>
    <row r="734" spans="12:13">
      <c r="L734" s="183"/>
      <c r="M734" s="183"/>
    </row>
    <row r="735" spans="12:13">
      <c r="L735" s="183"/>
      <c r="M735" s="183"/>
    </row>
    <row r="736" spans="12:13">
      <c r="L736" s="183"/>
      <c r="M736" s="183"/>
    </row>
    <row r="737" spans="12:13">
      <c r="L737" s="183"/>
      <c r="M737" s="183"/>
    </row>
    <row r="738" spans="12:13">
      <c r="L738" s="183"/>
      <c r="M738" s="183"/>
    </row>
    <row r="739" spans="12:13">
      <c r="L739" s="183"/>
      <c r="M739" s="183"/>
    </row>
    <row r="740" spans="12:13">
      <c r="L740" s="183"/>
      <c r="M740" s="183"/>
    </row>
    <row r="741" spans="12:13">
      <c r="L741" s="183"/>
      <c r="M741" s="183"/>
    </row>
    <row r="742" spans="12:13">
      <c r="L742" s="183"/>
      <c r="M742" s="183"/>
    </row>
    <row r="743" spans="12:13">
      <c r="L743" s="183"/>
      <c r="M743" s="183"/>
    </row>
    <row r="744" spans="12:13">
      <c r="L744" s="183"/>
      <c r="M744" s="183"/>
    </row>
    <row r="745" spans="12:13">
      <c r="L745" s="183"/>
      <c r="M745" s="183"/>
    </row>
    <row r="746" spans="12:13">
      <c r="L746" s="183"/>
      <c r="M746" s="183"/>
    </row>
    <row r="747" spans="12:13">
      <c r="L747" s="183"/>
      <c r="M747" s="183"/>
    </row>
    <row r="748" spans="12:13">
      <c r="L748" s="183"/>
      <c r="M748" s="183"/>
    </row>
    <row r="749" spans="12:13">
      <c r="L749" s="183"/>
      <c r="M749" s="183"/>
    </row>
    <row r="750" spans="12:13">
      <c r="L750" s="183"/>
      <c r="M750" s="183"/>
    </row>
    <row r="751" spans="12:13">
      <c r="L751" s="183"/>
      <c r="M751" s="183"/>
    </row>
    <row r="752" spans="12:13">
      <c r="L752" s="183"/>
      <c r="M752" s="183"/>
    </row>
    <row r="753" spans="12:13">
      <c r="L753" s="183"/>
      <c r="M753" s="183"/>
    </row>
    <row r="754" spans="12:13">
      <c r="L754" s="183"/>
      <c r="M754" s="183"/>
    </row>
    <row r="755" spans="12:13">
      <c r="L755" s="183"/>
      <c r="M755" s="183"/>
    </row>
    <row r="756" spans="12:13">
      <c r="L756" s="183"/>
      <c r="M756" s="183"/>
    </row>
    <row r="757" spans="12:13">
      <c r="L757" s="183"/>
      <c r="M757" s="183"/>
    </row>
    <row r="758" spans="12:13">
      <c r="L758" s="183"/>
      <c r="M758" s="183"/>
    </row>
    <row r="759" spans="12:13">
      <c r="L759" s="183"/>
      <c r="M759" s="183"/>
    </row>
    <row r="760" spans="12:13">
      <c r="L760" s="183"/>
      <c r="M760" s="183"/>
    </row>
    <row r="761" spans="12:13">
      <c r="L761" s="183"/>
      <c r="M761" s="183"/>
    </row>
    <row r="762" spans="12:13">
      <c r="L762" s="183"/>
      <c r="M762" s="183"/>
    </row>
    <row r="763" spans="12:13">
      <c r="L763" s="183"/>
      <c r="M763" s="183"/>
    </row>
    <row r="764" spans="12:13">
      <c r="L764" s="183"/>
      <c r="M764" s="183"/>
    </row>
    <row r="765" spans="12:13">
      <c r="L765" s="183"/>
      <c r="M765" s="183"/>
    </row>
    <row r="766" spans="12:13">
      <c r="L766" s="183"/>
      <c r="M766" s="183"/>
    </row>
    <row r="767" spans="12:13">
      <c r="L767" s="183"/>
      <c r="M767" s="183"/>
    </row>
    <row r="768" spans="12:13">
      <c r="L768" s="183"/>
      <c r="M768" s="183"/>
    </row>
    <row r="769" spans="12:13">
      <c r="L769" s="183"/>
      <c r="M769" s="183"/>
    </row>
    <row r="770" spans="12:13">
      <c r="L770" s="183"/>
      <c r="M770" s="183"/>
    </row>
    <row r="771" spans="12:13">
      <c r="L771" s="183"/>
      <c r="M771" s="183"/>
    </row>
    <row r="772" spans="12:13">
      <c r="L772" s="183"/>
      <c r="M772" s="183"/>
    </row>
    <row r="773" spans="12:13">
      <c r="L773" s="183"/>
      <c r="M773" s="183"/>
    </row>
    <row r="774" spans="12:13">
      <c r="L774" s="183"/>
      <c r="M774" s="183"/>
    </row>
    <row r="775" spans="12:13">
      <c r="L775" s="183"/>
      <c r="M775" s="183"/>
    </row>
    <row r="776" spans="12:13">
      <c r="L776" s="183"/>
      <c r="M776" s="183"/>
    </row>
    <row r="777" spans="12:13">
      <c r="L777" s="183"/>
      <c r="M777" s="183"/>
    </row>
    <row r="778" spans="12:13">
      <c r="L778" s="183"/>
      <c r="M778" s="183"/>
    </row>
    <row r="779" spans="12:13">
      <c r="L779" s="183"/>
      <c r="M779" s="183"/>
    </row>
    <row r="780" spans="12:13">
      <c r="L780" s="183"/>
      <c r="M780" s="183"/>
    </row>
    <row r="781" spans="12:13">
      <c r="L781" s="183"/>
      <c r="M781" s="183"/>
    </row>
    <row r="782" spans="12:13">
      <c r="L782" s="183"/>
      <c r="M782" s="183"/>
    </row>
    <row r="783" spans="12:13">
      <c r="L783" s="183"/>
      <c r="M783" s="183"/>
    </row>
    <row r="784" spans="12:13">
      <c r="L784" s="183"/>
      <c r="M784" s="183"/>
    </row>
    <row r="785" spans="12:13">
      <c r="L785" s="183"/>
      <c r="M785" s="183"/>
    </row>
    <row r="786" spans="12:13">
      <c r="L786" s="183"/>
      <c r="M786" s="183"/>
    </row>
    <row r="787" spans="12:13">
      <c r="L787" s="183"/>
      <c r="M787" s="183"/>
    </row>
    <row r="788" spans="12:13">
      <c r="L788" s="183"/>
      <c r="M788" s="183"/>
    </row>
    <row r="789" spans="12:13">
      <c r="L789" s="183"/>
      <c r="M789" s="183"/>
    </row>
    <row r="790" spans="12:13">
      <c r="L790" s="183"/>
      <c r="M790" s="183"/>
    </row>
    <row r="791" spans="12:13">
      <c r="L791" s="183"/>
      <c r="M791" s="183"/>
    </row>
    <row r="792" spans="12:13">
      <c r="L792" s="183"/>
      <c r="M792" s="183"/>
    </row>
    <row r="793" spans="12:13">
      <c r="L793" s="183"/>
      <c r="M793" s="183"/>
    </row>
    <row r="794" spans="12:13">
      <c r="L794" s="183"/>
      <c r="M794" s="183"/>
    </row>
    <row r="795" spans="12:13">
      <c r="L795" s="183"/>
      <c r="M795" s="183"/>
    </row>
    <row r="796" spans="12:13">
      <c r="L796" s="183"/>
      <c r="M796" s="183"/>
    </row>
    <row r="797" spans="12:13">
      <c r="L797" s="183"/>
      <c r="M797" s="183"/>
    </row>
    <row r="798" spans="12:13">
      <c r="L798" s="183"/>
      <c r="M798" s="183"/>
    </row>
    <row r="799" spans="12:13">
      <c r="L799" s="183"/>
      <c r="M799" s="183"/>
    </row>
    <row r="800" spans="12:13">
      <c r="L800" s="183"/>
      <c r="M800" s="183"/>
    </row>
    <row r="801" spans="12:13">
      <c r="L801" s="183"/>
      <c r="M801" s="183"/>
    </row>
    <row r="802" spans="12:13">
      <c r="L802" s="183"/>
      <c r="M802" s="183"/>
    </row>
    <row r="803" spans="12:13">
      <c r="L803" s="183"/>
      <c r="M803" s="183"/>
    </row>
    <row r="804" spans="12:13">
      <c r="L804" s="183"/>
      <c r="M804" s="183"/>
    </row>
    <row r="805" spans="12:13">
      <c r="L805" s="183"/>
      <c r="M805" s="183"/>
    </row>
    <row r="806" spans="12:13">
      <c r="L806" s="183"/>
      <c r="M806" s="183"/>
    </row>
    <row r="807" spans="12:13">
      <c r="L807" s="183"/>
      <c r="M807" s="183"/>
    </row>
    <row r="808" spans="12:13">
      <c r="L808" s="183"/>
      <c r="M808" s="183"/>
    </row>
    <row r="809" spans="12:13">
      <c r="L809" s="183"/>
      <c r="M809" s="183"/>
    </row>
    <row r="810" spans="12:13">
      <c r="L810" s="183"/>
      <c r="M810" s="183"/>
    </row>
    <row r="811" spans="12:13">
      <c r="L811" s="183"/>
      <c r="M811" s="183"/>
    </row>
    <row r="812" spans="12:13">
      <c r="L812" s="183"/>
      <c r="M812" s="183"/>
    </row>
    <row r="813" spans="12:13">
      <c r="L813" s="183"/>
      <c r="M813" s="183"/>
    </row>
    <row r="814" spans="12:13">
      <c r="L814" s="183"/>
      <c r="M814" s="183"/>
    </row>
    <row r="815" spans="12:13">
      <c r="L815" s="183"/>
      <c r="M815" s="183"/>
    </row>
    <row r="816" spans="12:13">
      <c r="L816" s="183"/>
      <c r="M816" s="183"/>
    </row>
    <row r="817" spans="12:13">
      <c r="L817" s="183"/>
      <c r="M817" s="183"/>
    </row>
    <row r="818" spans="12:13">
      <c r="L818" s="183"/>
      <c r="M818" s="183"/>
    </row>
    <row r="819" spans="12:13">
      <c r="L819" s="183"/>
      <c r="M819" s="183"/>
    </row>
    <row r="820" spans="12:13">
      <c r="L820" s="183"/>
      <c r="M820" s="183"/>
    </row>
    <row r="821" spans="12:13">
      <c r="L821" s="183"/>
      <c r="M821" s="183"/>
    </row>
    <row r="822" spans="12:13">
      <c r="L822" s="183"/>
      <c r="M822" s="183"/>
    </row>
    <row r="823" spans="12:13">
      <c r="L823" s="183"/>
      <c r="M823" s="183"/>
    </row>
    <row r="824" spans="12:13">
      <c r="L824" s="183"/>
      <c r="M824" s="183"/>
    </row>
    <row r="825" spans="12:13">
      <c r="L825" s="183"/>
      <c r="M825" s="183"/>
    </row>
    <row r="826" spans="12:13">
      <c r="L826" s="183"/>
      <c r="M826" s="183"/>
    </row>
    <row r="827" spans="12:13">
      <c r="L827" s="183"/>
      <c r="M827" s="183"/>
    </row>
    <row r="828" spans="12:13">
      <c r="L828" s="183"/>
      <c r="M828" s="183"/>
    </row>
    <row r="829" spans="12:13">
      <c r="L829" s="183"/>
      <c r="M829" s="183"/>
    </row>
    <row r="830" spans="12:13">
      <c r="L830" s="183"/>
      <c r="M830" s="183"/>
    </row>
    <row r="831" spans="12:13">
      <c r="L831" s="183"/>
      <c r="M831" s="183"/>
    </row>
    <row r="832" spans="12:13">
      <c r="L832" s="183"/>
      <c r="M832" s="183"/>
    </row>
    <row r="833" spans="12:13">
      <c r="L833" s="183"/>
      <c r="M833" s="183"/>
    </row>
    <row r="834" spans="12:13">
      <c r="L834" s="183"/>
      <c r="M834" s="183"/>
    </row>
    <row r="835" spans="12:13">
      <c r="L835" s="183"/>
      <c r="M835" s="183"/>
    </row>
    <row r="836" spans="12:13">
      <c r="L836" s="183"/>
      <c r="M836" s="183"/>
    </row>
    <row r="837" spans="12:13">
      <c r="L837" s="183"/>
      <c r="M837" s="183"/>
    </row>
  </sheetData>
  <mergeCells count="8">
    <mergeCell ref="Z1:AB1"/>
    <mergeCell ref="AE1:AG1"/>
    <mergeCell ref="A1:D1"/>
    <mergeCell ref="E1:G1"/>
    <mergeCell ref="H1:J1"/>
    <mergeCell ref="K1:M1"/>
    <mergeCell ref="O1:R1"/>
    <mergeCell ref="U1:W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12BA-A848-441B-9332-B9E2F6F1194A}">
  <sheetPr codeName="Plan14"/>
  <dimension ref="A1:DR134"/>
  <sheetViews>
    <sheetView zoomScale="85" zoomScaleNormal="85" workbookViewId="0">
      <selection activeCell="F27" sqref="F27"/>
    </sheetView>
  </sheetViews>
  <sheetFormatPr defaultRowHeight="14.25"/>
  <cols>
    <col min="1" max="1" width="9" style="60"/>
    <col min="2" max="2" width="13.25" style="60" bestFit="1" customWidth="1"/>
    <col min="3" max="4" width="15.625" style="60" bestFit="1" customWidth="1"/>
    <col min="5" max="5" width="16" style="60" bestFit="1" customWidth="1"/>
    <col min="6" max="6" width="11.375" style="60" bestFit="1" customWidth="1"/>
    <col min="7" max="7" width="10.875" style="60" bestFit="1" customWidth="1"/>
    <col min="8" max="8" width="15.625" style="60" bestFit="1" customWidth="1"/>
    <col min="9" max="9" width="10.875" style="60" bestFit="1" customWidth="1"/>
    <col min="10" max="20" width="9" style="60"/>
    <col min="21" max="21" width="13.875" style="60" customWidth="1"/>
    <col min="22" max="16384" width="9" style="60"/>
  </cols>
  <sheetData>
    <row r="1" spans="2:122" ht="15" thickBot="1">
      <c r="B1" s="286" t="s">
        <v>321</v>
      </c>
      <c r="C1" s="287"/>
      <c r="D1" s="287"/>
      <c r="E1" s="287"/>
      <c r="F1" s="287"/>
      <c r="G1" s="288"/>
      <c r="I1" s="223"/>
      <c r="K1" s="60" t="s">
        <v>183</v>
      </c>
      <c r="S1" s="95" t="s">
        <v>0</v>
      </c>
      <c r="T1" s="63" t="s">
        <v>18</v>
      </c>
      <c r="U1" s="63" t="s">
        <v>345</v>
      </c>
      <c r="V1" s="66" t="s">
        <v>341</v>
      </c>
      <c r="X1" s="95" t="s">
        <v>0</v>
      </c>
      <c r="Y1" s="63" t="s">
        <v>18</v>
      </c>
      <c r="Z1" s="63" t="s">
        <v>346</v>
      </c>
      <c r="AA1" s="66" t="s">
        <v>341</v>
      </c>
      <c r="AC1" s="95" t="s">
        <v>0</v>
      </c>
      <c r="AD1" s="63" t="s">
        <v>18</v>
      </c>
      <c r="AE1" s="63" t="s">
        <v>347</v>
      </c>
      <c r="AF1" s="66" t="s">
        <v>341</v>
      </c>
      <c r="AH1" s="95" t="s">
        <v>0</v>
      </c>
      <c r="AI1" s="63" t="s">
        <v>18</v>
      </c>
      <c r="AJ1" s="63" t="s">
        <v>348</v>
      </c>
      <c r="AK1" s="66" t="s">
        <v>341</v>
      </c>
      <c r="AM1" s="95" t="s">
        <v>0</v>
      </c>
      <c r="AN1" s="63" t="s">
        <v>18</v>
      </c>
      <c r="AO1" s="63" t="s">
        <v>349</v>
      </c>
      <c r="AP1" s="66" t="s">
        <v>341</v>
      </c>
      <c r="AR1" s="95" t="s">
        <v>0</v>
      </c>
      <c r="AS1" s="63" t="s">
        <v>18</v>
      </c>
      <c r="AT1" s="63" t="s">
        <v>350</v>
      </c>
      <c r="AU1" s="66" t="s">
        <v>341</v>
      </c>
      <c r="AW1" s="95" t="s">
        <v>0</v>
      </c>
      <c r="AX1" s="63" t="s">
        <v>18</v>
      </c>
      <c r="AY1" s="63" t="s">
        <v>351</v>
      </c>
      <c r="AZ1" s="66" t="s">
        <v>341</v>
      </c>
      <c r="BB1" s="95" t="s">
        <v>0</v>
      </c>
      <c r="BC1" s="63" t="s">
        <v>18</v>
      </c>
      <c r="BD1" s="63" t="s">
        <v>352</v>
      </c>
      <c r="BE1" s="66" t="s">
        <v>341</v>
      </c>
      <c r="BG1" s="95" t="s">
        <v>0</v>
      </c>
      <c r="BH1" s="63" t="s">
        <v>18</v>
      </c>
      <c r="BI1" s="63" t="s">
        <v>353</v>
      </c>
      <c r="BJ1" s="66" t="s">
        <v>341</v>
      </c>
      <c r="BL1" s="95" t="s">
        <v>0</v>
      </c>
      <c r="BM1" s="63" t="s">
        <v>18</v>
      </c>
      <c r="BN1" s="63" t="s">
        <v>403</v>
      </c>
      <c r="BO1" s="66" t="s">
        <v>341</v>
      </c>
      <c r="BQ1" s="95" t="s">
        <v>0</v>
      </c>
      <c r="BR1" s="63" t="s">
        <v>18</v>
      </c>
      <c r="BS1" s="63" t="s">
        <v>404</v>
      </c>
      <c r="BT1" s="66" t="s">
        <v>341</v>
      </c>
      <c r="BV1" s="95" t="s">
        <v>0</v>
      </c>
      <c r="BW1" s="63" t="s">
        <v>18</v>
      </c>
      <c r="BX1" s="63" t="s">
        <v>406</v>
      </c>
      <c r="BY1" s="66" t="s">
        <v>341</v>
      </c>
      <c r="CA1" s="95" t="s">
        <v>0</v>
      </c>
      <c r="CB1" s="63" t="s">
        <v>18</v>
      </c>
      <c r="CC1" s="63" t="s">
        <v>407</v>
      </c>
      <c r="CD1" s="66" t="s">
        <v>341</v>
      </c>
      <c r="CF1" s="95" t="s">
        <v>0</v>
      </c>
      <c r="CG1" s="63" t="s">
        <v>18</v>
      </c>
      <c r="CH1" s="63" t="s">
        <v>408</v>
      </c>
      <c r="CI1" s="66" t="s">
        <v>341</v>
      </c>
      <c r="CK1" s="95" t="s">
        <v>0</v>
      </c>
      <c r="CL1" s="63" t="s">
        <v>18</v>
      </c>
      <c r="CM1" s="63" t="s">
        <v>411</v>
      </c>
      <c r="CN1" s="66" t="s">
        <v>341</v>
      </c>
      <c r="CP1" s="95" t="s">
        <v>0</v>
      </c>
      <c r="CQ1" s="63" t="s">
        <v>18</v>
      </c>
      <c r="CR1" s="63" t="s">
        <v>413</v>
      </c>
      <c r="CS1" s="66" t="s">
        <v>341</v>
      </c>
      <c r="CU1" s="95" t="s">
        <v>0</v>
      </c>
      <c r="CV1" s="63" t="s">
        <v>18</v>
      </c>
      <c r="CW1" s="63" t="s">
        <v>415</v>
      </c>
      <c r="CX1" s="66" t="s">
        <v>341</v>
      </c>
      <c r="CZ1" s="95" t="s">
        <v>0</v>
      </c>
      <c r="DA1" s="63" t="s">
        <v>18</v>
      </c>
      <c r="DB1" s="63" t="s">
        <v>418</v>
      </c>
      <c r="DC1" s="66" t="s">
        <v>341</v>
      </c>
      <c r="DE1" s="95" t="s">
        <v>0</v>
      </c>
      <c r="DF1" s="63" t="s">
        <v>18</v>
      </c>
      <c r="DG1" s="63" t="s">
        <v>420</v>
      </c>
      <c r="DH1" s="66" t="s">
        <v>341</v>
      </c>
      <c r="DJ1" s="95" t="s">
        <v>0</v>
      </c>
      <c r="DK1" s="63" t="s">
        <v>18</v>
      </c>
      <c r="DL1" s="63" t="s">
        <v>421</v>
      </c>
      <c r="DM1" s="66" t="s">
        <v>341</v>
      </c>
      <c r="DO1" s="95" t="s">
        <v>0</v>
      </c>
      <c r="DP1" s="63" t="s">
        <v>18</v>
      </c>
      <c r="DQ1" s="63" t="s">
        <v>422</v>
      </c>
      <c r="DR1" s="66" t="s">
        <v>341</v>
      </c>
    </row>
    <row r="2" spans="2:122" ht="15" thickBot="1">
      <c r="B2" s="289" t="s">
        <v>275</v>
      </c>
      <c r="C2" s="290"/>
      <c r="D2" s="290"/>
      <c r="E2" s="290"/>
      <c r="F2" s="290"/>
      <c r="G2" s="291"/>
      <c r="I2" s="223"/>
      <c r="S2" s="62">
        <v>1</v>
      </c>
      <c r="T2" s="61" t="s">
        <v>174</v>
      </c>
      <c r="U2" s="61" t="s">
        <v>355</v>
      </c>
      <c r="V2" s="67">
        <v>73.529411764705884</v>
      </c>
      <c r="X2" s="62">
        <v>1</v>
      </c>
      <c r="Y2" s="61" t="s">
        <v>174</v>
      </c>
      <c r="Z2" s="61" t="s">
        <v>355</v>
      </c>
      <c r="AA2" s="67">
        <v>78.125</v>
      </c>
      <c r="AC2" s="62">
        <v>1</v>
      </c>
      <c r="AD2" s="61" t="s">
        <v>174</v>
      </c>
      <c r="AE2" s="61" t="s">
        <v>355</v>
      </c>
      <c r="AF2" s="67">
        <v>83.333333333333329</v>
      </c>
      <c r="AH2" s="62">
        <v>1</v>
      </c>
      <c r="AI2" s="61" t="s">
        <v>174</v>
      </c>
      <c r="AJ2" s="61" t="s">
        <v>355</v>
      </c>
      <c r="AK2" s="67">
        <v>89.285714285714292</v>
      </c>
      <c r="AM2" s="62">
        <v>1</v>
      </c>
      <c r="AN2" s="61" t="s">
        <v>174</v>
      </c>
      <c r="AO2" s="61" t="s">
        <v>355</v>
      </c>
      <c r="AP2" s="67">
        <v>96.15384615384616</v>
      </c>
      <c r="AR2" s="62">
        <v>1</v>
      </c>
      <c r="AS2" s="61" t="s">
        <v>174</v>
      </c>
      <c r="AT2" s="61" t="s">
        <v>355</v>
      </c>
      <c r="AU2" s="67">
        <v>96.15384615384616</v>
      </c>
      <c r="AW2" s="62">
        <v>1</v>
      </c>
      <c r="AX2" s="61" t="s">
        <v>174</v>
      </c>
      <c r="AY2" s="61" t="s">
        <v>355</v>
      </c>
      <c r="AZ2" s="67">
        <v>104.16666666666667</v>
      </c>
      <c r="BB2" s="62">
        <v>1</v>
      </c>
      <c r="BC2" s="61" t="s">
        <v>174</v>
      </c>
      <c r="BD2" s="61" t="s">
        <v>355</v>
      </c>
      <c r="BE2" s="67">
        <v>104.16666666666667</v>
      </c>
      <c r="BG2" s="62">
        <v>1</v>
      </c>
      <c r="BH2" s="61" t="s">
        <v>174</v>
      </c>
      <c r="BI2" s="61" t="s">
        <v>355</v>
      </c>
      <c r="BJ2" s="67">
        <v>113.63636363636364</v>
      </c>
      <c r="BL2" s="62">
        <v>1</v>
      </c>
      <c r="BM2" s="61" t="s">
        <v>174</v>
      </c>
      <c r="BN2" s="61" t="s">
        <v>355</v>
      </c>
      <c r="BO2" s="67">
        <v>113.63636363636364</v>
      </c>
      <c r="BQ2" s="62">
        <v>1</v>
      </c>
      <c r="BR2" s="61" t="s">
        <v>174</v>
      </c>
      <c r="BS2" s="61" t="s">
        <v>355</v>
      </c>
      <c r="BT2" s="67">
        <v>125</v>
      </c>
      <c r="BV2" s="62">
        <v>1</v>
      </c>
      <c r="BW2" s="61" t="s">
        <v>174</v>
      </c>
      <c r="BX2" s="61" t="s">
        <v>355</v>
      </c>
      <c r="BY2" s="67">
        <v>125</v>
      </c>
      <c r="CA2" s="62">
        <v>1</v>
      </c>
      <c r="CB2" s="61" t="s">
        <v>174</v>
      </c>
      <c r="CC2" s="61" t="s">
        <v>355</v>
      </c>
      <c r="CD2" s="67">
        <v>125</v>
      </c>
      <c r="CF2" s="62">
        <v>1</v>
      </c>
      <c r="CG2" s="61" t="s">
        <v>174</v>
      </c>
      <c r="CH2" s="61" t="s">
        <v>355</v>
      </c>
      <c r="CI2" s="67">
        <v>138.88888888888889</v>
      </c>
      <c r="CK2" s="62">
        <v>1</v>
      </c>
      <c r="CL2" s="61" t="s">
        <v>174</v>
      </c>
      <c r="CM2" s="61" t="s">
        <v>355</v>
      </c>
      <c r="CN2" s="67">
        <v>138.88888888888889</v>
      </c>
      <c r="CP2" s="62">
        <v>1</v>
      </c>
      <c r="CQ2" s="61" t="s">
        <v>174</v>
      </c>
      <c r="CR2" s="61" t="s">
        <v>355</v>
      </c>
      <c r="CS2" s="67">
        <v>138.88888888888889</v>
      </c>
      <c r="CU2" s="62">
        <v>1</v>
      </c>
      <c r="CV2" s="61" t="s">
        <v>174</v>
      </c>
      <c r="CW2" s="61" t="s">
        <v>355</v>
      </c>
      <c r="CX2" s="67">
        <v>156.25</v>
      </c>
      <c r="CZ2" s="62">
        <v>1</v>
      </c>
      <c r="DA2" s="61" t="s">
        <v>174</v>
      </c>
      <c r="DB2" s="61" t="s">
        <v>355</v>
      </c>
      <c r="DC2" s="67">
        <v>156.25</v>
      </c>
      <c r="DE2" s="62">
        <v>1</v>
      </c>
      <c r="DF2" s="61" t="s">
        <v>174</v>
      </c>
      <c r="DG2" s="61" t="s">
        <v>355</v>
      </c>
      <c r="DH2" s="67">
        <v>156.25</v>
      </c>
      <c r="DJ2" s="62">
        <v>1</v>
      </c>
      <c r="DK2" s="61" t="s">
        <v>174</v>
      </c>
      <c r="DL2" s="61" t="s">
        <v>355</v>
      </c>
      <c r="DM2" s="67">
        <v>156.25</v>
      </c>
      <c r="DO2" s="62">
        <v>1</v>
      </c>
      <c r="DP2" s="61" t="s">
        <v>174</v>
      </c>
      <c r="DQ2" s="61" t="s">
        <v>355</v>
      </c>
      <c r="DR2" s="67">
        <v>178.57142857142858</v>
      </c>
    </row>
    <row r="3" spans="2:122">
      <c r="B3" s="225" t="s">
        <v>180</v>
      </c>
      <c r="C3" s="226" t="s">
        <v>282</v>
      </c>
      <c r="D3" s="226" t="s">
        <v>276</v>
      </c>
      <c r="E3" s="226" t="s">
        <v>175</v>
      </c>
      <c r="F3" s="226" t="s">
        <v>284</v>
      </c>
      <c r="G3" s="227" t="s">
        <v>318</v>
      </c>
      <c r="I3" s="224"/>
      <c r="K3" s="60" t="s">
        <v>184</v>
      </c>
      <c r="S3" s="62">
        <v>2</v>
      </c>
      <c r="T3" s="61" t="s">
        <v>174</v>
      </c>
      <c r="U3" s="61" t="s">
        <v>355</v>
      </c>
      <c r="V3" s="67">
        <v>73.529411764705884</v>
      </c>
      <c r="X3" s="62">
        <v>2</v>
      </c>
      <c r="Y3" s="61" t="s">
        <v>174</v>
      </c>
      <c r="Z3" s="61" t="s">
        <v>355</v>
      </c>
      <c r="AA3" s="67">
        <v>78.125</v>
      </c>
      <c r="AC3" s="62">
        <v>2</v>
      </c>
      <c r="AD3" s="61" t="s">
        <v>174</v>
      </c>
      <c r="AE3" s="61" t="s">
        <v>355</v>
      </c>
      <c r="AF3" s="67">
        <v>83.333333333333329</v>
      </c>
      <c r="AH3" s="62">
        <v>2</v>
      </c>
      <c r="AI3" s="61" t="s">
        <v>174</v>
      </c>
      <c r="AJ3" s="61" t="s">
        <v>355</v>
      </c>
      <c r="AK3" s="67">
        <v>89.285714285714292</v>
      </c>
      <c r="AM3" s="62">
        <v>2</v>
      </c>
      <c r="AN3" s="61" t="s">
        <v>174</v>
      </c>
      <c r="AO3" s="61" t="s">
        <v>355</v>
      </c>
      <c r="AP3" s="67">
        <v>96.15384615384616</v>
      </c>
      <c r="AR3" s="62">
        <v>2</v>
      </c>
      <c r="AS3" s="61" t="s">
        <v>174</v>
      </c>
      <c r="AT3" s="61" t="s">
        <v>355</v>
      </c>
      <c r="AU3" s="67">
        <v>96.15384615384616</v>
      </c>
      <c r="AW3" s="62">
        <v>2</v>
      </c>
      <c r="AX3" s="61" t="s">
        <v>174</v>
      </c>
      <c r="AY3" s="61" t="s">
        <v>355</v>
      </c>
      <c r="AZ3" s="67">
        <v>104.16666666666667</v>
      </c>
      <c r="BB3" s="62">
        <v>2</v>
      </c>
      <c r="BC3" s="61" t="s">
        <v>174</v>
      </c>
      <c r="BD3" s="61" t="s">
        <v>355</v>
      </c>
      <c r="BE3" s="67">
        <v>104.16666666666667</v>
      </c>
      <c r="BG3" s="62">
        <v>2</v>
      </c>
      <c r="BH3" s="61" t="s">
        <v>174</v>
      </c>
      <c r="BI3" s="61" t="s">
        <v>355</v>
      </c>
      <c r="BJ3" s="67">
        <v>113.63636363636364</v>
      </c>
      <c r="BL3" s="62">
        <v>2</v>
      </c>
      <c r="BM3" s="61" t="s">
        <v>174</v>
      </c>
      <c r="BN3" s="61" t="s">
        <v>355</v>
      </c>
      <c r="BO3" s="67">
        <v>113.63636363636364</v>
      </c>
      <c r="BQ3" s="62">
        <v>2</v>
      </c>
      <c r="BR3" s="61" t="s">
        <v>174</v>
      </c>
      <c r="BS3" s="61" t="s">
        <v>366</v>
      </c>
      <c r="BT3" s="67">
        <v>125</v>
      </c>
      <c r="BV3" s="62">
        <v>2</v>
      </c>
      <c r="BW3" s="61" t="s">
        <v>174</v>
      </c>
      <c r="BX3" s="61" t="s">
        <v>385</v>
      </c>
      <c r="BY3" s="67">
        <v>125</v>
      </c>
      <c r="CA3" s="62">
        <v>2</v>
      </c>
      <c r="CB3" s="61" t="s">
        <v>174</v>
      </c>
      <c r="CC3" s="61" t="s">
        <v>356</v>
      </c>
      <c r="CD3" s="67">
        <v>125</v>
      </c>
      <c r="CF3" s="62">
        <v>2</v>
      </c>
      <c r="CG3" s="61" t="s">
        <v>174</v>
      </c>
      <c r="CH3" s="61" t="s">
        <v>365</v>
      </c>
      <c r="CI3" s="67">
        <v>138.88888888888889</v>
      </c>
      <c r="CK3" s="62">
        <v>2</v>
      </c>
      <c r="CL3" s="61" t="s">
        <v>174</v>
      </c>
      <c r="CM3" s="61" t="s">
        <v>362</v>
      </c>
      <c r="CN3" s="67">
        <v>138.88888888888889</v>
      </c>
      <c r="CP3" s="62">
        <v>2</v>
      </c>
      <c r="CQ3" s="61" t="s">
        <v>174</v>
      </c>
      <c r="CR3" s="61" t="s">
        <v>378</v>
      </c>
      <c r="CS3" s="67">
        <v>138.88888888888889</v>
      </c>
      <c r="CU3" s="62">
        <v>2</v>
      </c>
      <c r="CV3" s="61" t="s">
        <v>174</v>
      </c>
      <c r="CW3" s="61" t="s">
        <v>369</v>
      </c>
      <c r="CX3" s="67">
        <v>156.25</v>
      </c>
      <c r="CZ3" s="62">
        <v>2</v>
      </c>
      <c r="DA3" s="61" t="s">
        <v>174</v>
      </c>
      <c r="DB3" s="61" t="s">
        <v>369</v>
      </c>
      <c r="DC3" s="67">
        <v>156.25</v>
      </c>
      <c r="DE3" s="62">
        <v>2</v>
      </c>
      <c r="DF3" s="61" t="s">
        <v>174</v>
      </c>
      <c r="DG3" s="61" t="s">
        <v>382</v>
      </c>
      <c r="DH3" s="67">
        <v>156.25</v>
      </c>
      <c r="DJ3" s="62">
        <v>2</v>
      </c>
      <c r="DK3" s="61" t="s">
        <v>174</v>
      </c>
      <c r="DL3" s="61" t="s">
        <v>375</v>
      </c>
      <c r="DM3" s="67">
        <v>156.25</v>
      </c>
      <c r="DO3" s="62">
        <v>2</v>
      </c>
      <c r="DP3" s="61" t="s">
        <v>174</v>
      </c>
      <c r="DQ3" s="61" t="s">
        <v>362</v>
      </c>
      <c r="DR3" s="67">
        <v>178.57142857142858</v>
      </c>
    </row>
    <row r="4" spans="2:122" ht="15" thickBot="1">
      <c r="B4" s="159">
        <v>6</v>
      </c>
      <c r="C4" s="161" t="s">
        <v>283</v>
      </c>
      <c r="D4" s="160">
        <v>12</v>
      </c>
      <c r="E4" s="160">
        <v>25</v>
      </c>
      <c r="F4" s="222">
        <v>12</v>
      </c>
      <c r="G4" s="160">
        <f>E4/F4</f>
        <v>2.0833333333333335</v>
      </c>
      <c r="S4" s="62">
        <v>3</v>
      </c>
      <c r="T4" s="61" t="s">
        <v>174</v>
      </c>
      <c r="U4" s="61" t="s">
        <v>355</v>
      </c>
      <c r="V4" s="67">
        <v>73.529411764705884</v>
      </c>
      <c r="X4" s="62">
        <v>3</v>
      </c>
      <c r="Y4" s="61" t="s">
        <v>174</v>
      </c>
      <c r="Z4" s="61" t="s">
        <v>355</v>
      </c>
      <c r="AA4" s="67">
        <v>78.125</v>
      </c>
      <c r="AC4" s="62">
        <v>3</v>
      </c>
      <c r="AD4" s="61" t="s">
        <v>174</v>
      </c>
      <c r="AE4" s="61" t="s">
        <v>355</v>
      </c>
      <c r="AF4" s="67">
        <v>83.333333333333343</v>
      </c>
      <c r="AH4" s="62">
        <v>3</v>
      </c>
      <c r="AI4" s="61" t="s">
        <v>174</v>
      </c>
      <c r="AJ4" s="61" t="s">
        <v>359</v>
      </c>
      <c r="AK4" s="67">
        <v>89.285714285714306</v>
      </c>
      <c r="AM4" s="62">
        <v>3</v>
      </c>
      <c r="AN4" s="61" t="s">
        <v>174</v>
      </c>
      <c r="AO4" s="61" t="s">
        <v>360</v>
      </c>
      <c r="AP4" s="67">
        <v>96.153846153846132</v>
      </c>
      <c r="AR4" s="62">
        <v>3</v>
      </c>
      <c r="AS4" s="61" t="s">
        <v>174</v>
      </c>
      <c r="AT4" s="61" t="s">
        <v>367</v>
      </c>
      <c r="AU4" s="67">
        <v>96.153846153846132</v>
      </c>
      <c r="AW4" s="62">
        <v>3</v>
      </c>
      <c r="AX4" s="61" t="s">
        <v>174</v>
      </c>
      <c r="AY4" s="61" t="s">
        <v>378</v>
      </c>
      <c r="AZ4" s="67">
        <v>104.16666666666666</v>
      </c>
      <c r="BB4" s="62">
        <v>3</v>
      </c>
      <c r="BC4" s="61" t="s">
        <v>174</v>
      </c>
      <c r="BD4" s="61" t="s">
        <v>376</v>
      </c>
      <c r="BE4" s="67">
        <v>104.16666666666666</v>
      </c>
      <c r="BG4" s="62">
        <v>3</v>
      </c>
      <c r="BH4" s="61" t="s">
        <v>174</v>
      </c>
      <c r="BI4" s="61" t="s">
        <v>375</v>
      </c>
      <c r="BJ4" s="67">
        <v>113.63636363636365</v>
      </c>
      <c r="BL4" s="62">
        <v>3</v>
      </c>
      <c r="BM4" s="61" t="s">
        <v>174</v>
      </c>
      <c r="BN4" s="61" t="s">
        <v>375</v>
      </c>
      <c r="BO4" s="67">
        <v>113.63636363636365</v>
      </c>
      <c r="BQ4" s="62">
        <v>3</v>
      </c>
      <c r="BR4" s="61" t="s">
        <v>174</v>
      </c>
      <c r="BS4" s="61" t="s">
        <v>382</v>
      </c>
      <c r="BT4" s="67">
        <v>125</v>
      </c>
      <c r="BV4" s="62">
        <v>3</v>
      </c>
      <c r="BW4" s="61" t="s">
        <v>174</v>
      </c>
      <c r="BX4" s="61" t="s">
        <v>375</v>
      </c>
      <c r="BY4" s="67">
        <v>125</v>
      </c>
      <c r="CA4" s="62">
        <v>3</v>
      </c>
      <c r="CB4" s="61" t="s">
        <v>174</v>
      </c>
      <c r="CC4" s="61" t="s">
        <v>375</v>
      </c>
      <c r="CD4" s="67">
        <v>125</v>
      </c>
      <c r="CF4" s="62">
        <v>3</v>
      </c>
      <c r="CG4" s="61" t="s">
        <v>174</v>
      </c>
      <c r="CH4" s="61" t="s">
        <v>357</v>
      </c>
      <c r="CI4" s="67">
        <v>138.88888888888886</v>
      </c>
      <c r="CK4" s="62">
        <v>3</v>
      </c>
      <c r="CL4" s="61" t="s">
        <v>174</v>
      </c>
      <c r="CM4" s="61" t="s">
        <v>381</v>
      </c>
      <c r="CN4" s="67">
        <v>138.88888888888886</v>
      </c>
      <c r="CP4" s="62">
        <v>3</v>
      </c>
      <c r="CQ4" s="61" t="s">
        <v>174</v>
      </c>
      <c r="CR4" s="61" t="s">
        <v>381</v>
      </c>
      <c r="CS4" s="67">
        <v>138.88888888888886</v>
      </c>
      <c r="CU4" s="62">
        <v>3</v>
      </c>
      <c r="CV4" s="61" t="s">
        <v>174</v>
      </c>
      <c r="CW4" s="61" t="s">
        <v>388</v>
      </c>
      <c r="CX4" s="67">
        <v>156.25</v>
      </c>
      <c r="CZ4" s="62">
        <v>3</v>
      </c>
      <c r="DA4" s="61" t="s">
        <v>174</v>
      </c>
      <c r="DB4" s="61" t="s">
        <v>388</v>
      </c>
      <c r="DC4" s="67">
        <v>156.25</v>
      </c>
      <c r="DE4" s="62">
        <v>3</v>
      </c>
      <c r="DF4" s="61" t="s">
        <v>174</v>
      </c>
      <c r="DG4" s="61" t="s">
        <v>388</v>
      </c>
      <c r="DH4" s="67">
        <v>156.25</v>
      </c>
      <c r="DJ4" s="62">
        <v>3</v>
      </c>
      <c r="DK4" s="61" t="s">
        <v>174</v>
      </c>
      <c r="DL4" s="61" t="s">
        <v>388</v>
      </c>
      <c r="DM4" s="67">
        <v>156.25</v>
      </c>
      <c r="DO4" s="62">
        <v>3</v>
      </c>
      <c r="DP4" s="61" t="s">
        <v>174</v>
      </c>
      <c r="DQ4" s="61" t="s">
        <v>372</v>
      </c>
      <c r="DR4" s="67">
        <v>178.57142857142861</v>
      </c>
    </row>
    <row r="5" spans="2:122" ht="15" thickBot="1">
      <c r="B5" s="223"/>
      <c r="C5" s="224"/>
      <c r="D5" s="224"/>
      <c r="E5" s="224"/>
      <c r="S5" s="62">
        <v>4</v>
      </c>
      <c r="T5" s="61" t="s">
        <v>174</v>
      </c>
      <c r="U5" s="61" t="s">
        <v>371</v>
      </c>
      <c r="V5" s="67">
        <v>73.529411764705884</v>
      </c>
      <c r="X5" s="62">
        <v>4</v>
      </c>
      <c r="Y5" s="61" t="s">
        <v>174</v>
      </c>
      <c r="Z5" s="61" t="s">
        <v>364</v>
      </c>
      <c r="AA5" s="67">
        <v>78.125</v>
      </c>
      <c r="AC5" s="62">
        <v>4</v>
      </c>
      <c r="AD5" s="61" t="s">
        <v>174</v>
      </c>
      <c r="AE5" s="61" t="s">
        <v>357</v>
      </c>
      <c r="AF5" s="67">
        <v>83.333333333333314</v>
      </c>
      <c r="AH5" s="62">
        <v>4</v>
      </c>
      <c r="AI5" s="61" t="s">
        <v>174</v>
      </c>
      <c r="AJ5" s="61" t="s">
        <v>375</v>
      </c>
      <c r="AK5" s="67">
        <v>89.285714285714278</v>
      </c>
      <c r="AM5" s="62">
        <v>4</v>
      </c>
      <c r="AN5" s="61" t="s">
        <v>174</v>
      </c>
      <c r="AO5" s="61" t="s">
        <v>381</v>
      </c>
      <c r="AP5" s="67">
        <v>96.153846153846189</v>
      </c>
      <c r="AR5" s="62">
        <v>4</v>
      </c>
      <c r="AS5" s="61" t="s">
        <v>174</v>
      </c>
      <c r="AT5" s="61" t="s">
        <v>381</v>
      </c>
      <c r="AU5" s="67">
        <v>96.153846153846189</v>
      </c>
      <c r="AW5" s="62">
        <v>4</v>
      </c>
      <c r="AX5" s="61" t="s">
        <v>174</v>
      </c>
      <c r="AY5" s="61" t="s">
        <v>388</v>
      </c>
      <c r="AZ5" s="67">
        <v>104.16666666666669</v>
      </c>
      <c r="BB5" s="62">
        <v>4</v>
      </c>
      <c r="BC5" s="61" t="s">
        <v>174</v>
      </c>
      <c r="BD5" s="61" t="s">
        <v>388</v>
      </c>
      <c r="BE5" s="67">
        <v>104.16666666666669</v>
      </c>
      <c r="BG5" s="62">
        <v>4</v>
      </c>
      <c r="BH5" s="61" t="s">
        <v>174</v>
      </c>
      <c r="BI5" s="61" t="s">
        <v>379</v>
      </c>
      <c r="BJ5" s="67">
        <v>113.63636363636363</v>
      </c>
      <c r="BL5" s="62">
        <v>4</v>
      </c>
      <c r="BM5" s="61" t="s">
        <v>174</v>
      </c>
      <c r="BN5" s="61" t="s">
        <v>379</v>
      </c>
      <c r="BO5" s="67">
        <v>113.63636363636363</v>
      </c>
      <c r="BQ5" s="62">
        <v>4</v>
      </c>
      <c r="BR5" s="61" t="s">
        <v>174</v>
      </c>
      <c r="BS5" s="61" t="s">
        <v>368</v>
      </c>
      <c r="BT5" s="67">
        <v>125</v>
      </c>
      <c r="BV5" s="62">
        <v>4</v>
      </c>
      <c r="BW5" s="61" t="s">
        <v>174</v>
      </c>
      <c r="BX5" s="61" t="s">
        <v>368</v>
      </c>
      <c r="BY5" s="67">
        <v>125</v>
      </c>
      <c r="CA5" s="62">
        <v>4</v>
      </c>
      <c r="CB5" s="61" t="s">
        <v>174</v>
      </c>
      <c r="CC5" s="61" t="s">
        <v>368</v>
      </c>
      <c r="CD5" s="67">
        <v>125</v>
      </c>
      <c r="CF5" s="62">
        <v>4</v>
      </c>
      <c r="CG5" s="61" t="s">
        <v>174</v>
      </c>
      <c r="CH5" s="61" t="s">
        <v>409</v>
      </c>
      <c r="CI5" s="67">
        <v>138.88888888888891</v>
      </c>
      <c r="CK5" s="62">
        <v>4</v>
      </c>
      <c r="CL5" s="61" t="s">
        <v>174</v>
      </c>
      <c r="CM5" s="61" t="s">
        <v>374</v>
      </c>
      <c r="CN5" s="67">
        <v>138.88888888888891</v>
      </c>
      <c r="CP5" s="62">
        <v>4</v>
      </c>
      <c r="CQ5" s="61" t="s">
        <v>174</v>
      </c>
      <c r="CR5" s="61" t="s">
        <v>374</v>
      </c>
      <c r="CS5" s="67">
        <v>138.88888888888891</v>
      </c>
      <c r="CU5" s="62">
        <v>4</v>
      </c>
      <c r="CV5" s="61" t="s">
        <v>174</v>
      </c>
      <c r="CW5" s="61" t="s">
        <v>374</v>
      </c>
      <c r="CX5" s="67">
        <v>156.25</v>
      </c>
      <c r="CZ5" s="62">
        <v>4</v>
      </c>
      <c r="DA5" s="61" t="s">
        <v>174</v>
      </c>
      <c r="DB5" s="61" t="s">
        <v>374</v>
      </c>
      <c r="DC5" s="67">
        <v>156.25</v>
      </c>
      <c r="DE5" s="62">
        <v>4</v>
      </c>
      <c r="DF5" s="61" t="s">
        <v>174</v>
      </c>
      <c r="DG5" s="61" t="s">
        <v>374</v>
      </c>
      <c r="DH5" s="67">
        <v>156.25</v>
      </c>
      <c r="DJ5" s="62">
        <v>4</v>
      </c>
      <c r="DK5" s="61" t="s">
        <v>174</v>
      </c>
      <c r="DL5" s="61" t="s">
        <v>374</v>
      </c>
      <c r="DM5" s="67">
        <v>156.25</v>
      </c>
      <c r="DO5" s="62">
        <v>4</v>
      </c>
      <c r="DP5" s="61" t="s">
        <v>174</v>
      </c>
      <c r="DQ5" s="61" t="s">
        <v>374</v>
      </c>
      <c r="DR5" s="67">
        <v>178.57142857142856</v>
      </c>
    </row>
    <row r="6" spans="2:122" ht="15" thickBot="1">
      <c r="B6" s="286" t="s">
        <v>322</v>
      </c>
      <c r="C6" s="288"/>
      <c r="D6" s="224"/>
      <c r="E6" s="258" t="s">
        <v>326</v>
      </c>
      <c r="F6" s="292" t="s">
        <v>285</v>
      </c>
      <c r="G6" s="293"/>
      <c r="K6" s="60" t="s">
        <v>185</v>
      </c>
      <c r="S6" s="62">
        <v>5</v>
      </c>
      <c r="T6" s="61" t="s">
        <v>174</v>
      </c>
      <c r="U6" s="61" t="s">
        <v>383</v>
      </c>
      <c r="V6" s="67">
        <v>73.529411764705856</v>
      </c>
      <c r="X6" s="62">
        <v>5</v>
      </c>
      <c r="Y6" s="61" t="s">
        <v>174</v>
      </c>
      <c r="Z6" s="61" t="s">
        <v>388</v>
      </c>
      <c r="AA6" s="67">
        <v>78.125</v>
      </c>
      <c r="AC6" s="62">
        <v>5</v>
      </c>
      <c r="AD6" s="61" t="s">
        <v>174</v>
      </c>
      <c r="AE6" s="61" t="s">
        <v>383</v>
      </c>
      <c r="AF6" s="67">
        <v>83.333333333333314</v>
      </c>
      <c r="AH6" s="62">
        <v>5</v>
      </c>
      <c r="AI6" s="61" t="s">
        <v>174</v>
      </c>
      <c r="AJ6" s="61" t="s">
        <v>379</v>
      </c>
      <c r="AK6" s="67">
        <v>89.285714285714278</v>
      </c>
      <c r="AM6" s="62">
        <v>5</v>
      </c>
      <c r="AN6" s="61" t="s">
        <v>174</v>
      </c>
      <c r="AO6" s="61" t="s">
        <v>372</v>
      </c>
      <c r="AP6" s="67">
        <v>96.153846153846189</v>
      </c>
      <c r="AR6" s="62">
        <v>5</v>
      </c>
      <c r="AS6" s="61" t="s">
        <v>174</v>
      </c>
      <c r="AT6" s="61" t="s">
        <v>372</v>
      </c>
      <c r="AU6" s="67">
        <v>96.153846153846189</v>
      </c>
      <c r="AW6" s="62">
        <v>5</v>
      </c>
      <c r="AX6" s="61" t="s">
        <v>174</v>
      </c>
      <c r="AY6" s="61" t="s">
        <v>368</v>
      </c>
      <c r="AZ6" s="67">
        <v>104.16666666666669</v>
      </c>
      <c r="BB6" s="62">
        <v>5</v>
      </c>
      <c r="BC6" s="61" t="s">
        <v>174</v>
      </c>
      <c r="BD6" s="61" t="s">
        <v>368</v>
      </c>
      <c r="BE6" s="67">
        <v>104.16666666666669</v>
      </c>
      <c r="BG6" s="62">
        <v>5</v>
      </c>
      <c r="BH6" s="61" t="s">
        <v>174</v>
      </c>
      <c r="BI6" s="61" t="s">
        <v>374</v>
      </c>
      <c r="BJ6" s="67">
        <v>113.63636363636368</v>
      </c>
      <c r="BL6" s="62">
        <v>5</v>
      </c>
      <c r="BM6" s="61" t="s">
        <v>174</v>
      </c>
      <c r="BN6" s="61" t="s">
        <v>374</v>
      </c>
      <c r="BO6" s="67">
        <v>113.63636363636368</v>
      </c>
      <c r="BQ6" s="62">
        <v>5</v>
      </c>
      <c r="BR6" s="61" t="s">
        <v>174</v>
      </c>
      <c r="BS6" s="61" t="s">
        <v>374</v>
      </c>
      <c r="BT6" s="67">
        <v>125</v>
      </c>
      <c r="BV6" s="62">
        <v>5</v>
      </c>
      <c r="BW6" s="61" t="s">
        <v>174</v>
      </c>
      <c r="BX6" s="61" t="s">
        <v>374</v>
      </c>
      <c r="BY6" s="67">
        <v>125</v>
      </c>
      <c r="CA6" s="62">
        <v>5</v>
      </c>
      <c r="CB6" s="61" t="s">
        <v>174</v>
      </c>
      <c r="CC6" s="61" t="s">
        <v>374</v>
      </c>
      <c r="CD6" s="67">
        <v>125</v>
      </c>
      <c r="CF6" s="62">
        <v>5</v>
      </c>
      <c r="CG6" s="61" t="s">
        <v>174</v>
      </c>
      <c r="CH6" s="61" t="s">
        <v>374</v>
      </c>
      <c r="CI6" s="67">
        <v>138.88888888888891</v>
      </c>
      <c r="CK6" s="62">
        <v>5</v>
      </c>
      <c r="CL6" s="61" t="s">
        <v>174</v>
      </c>
      <c r="CM6" s="61" t="s">
        <v>374</v>
      </c>
      <c r="CN6" s="67">
        <v>138.88888888888891</v>
      </c>
      <c r="CP6" s="62">
        <v>5</v>
      </c>
      <c r="CQ6" s="61" t="s">
        <v>174</v>
      </c>
      <c r="CR6" s="61" t="s">
        <v>374</v>
      </c>
      <c r="CS6" s="67">
        <v>138.88888888888891</v>
      </c>
      <c r="CU6" s="62">
        <v>5</v>
      </c>
      <c r="CV6" s="61" t="s">
        <v>174</v>
      </c>
      <c r="CW6" s="61" t="s">
        <v>374</v>
      </c>
      <c r="CX6" s="67">
        <v>156.25</v>
      </c>
      <c r="CZ6" s="62">
        <v>5</v>
      </c>
      <c r="DA6" s="61" t="s">
        <v>174</v>
      </c>
      <c r="DB6" s="61" t="s">
        <v>374</v>
      </c>
      <c r="DC6" s="67">
        <v>156.25</v>
      </c>
      <c r="DE6" s="62">
        <v>5</v>
      </c>
      <c r="DF6" s="61" t="s">
        <v>174</v>
      </c>
      <c r="DG6" s="61" t="s">
        <v>374</v>
      </c>
      <c r="DH6" s="67">
        <v>156.25</v>
      </c>
      <c r="DJ6" s="62">
        <v>5</v>
      </c>
      <c r="DK6" s="61" t="s">
        <v>174</v>
      </c>
      <c r="DL6" s="61" t="s">
        <v>374</v>
      </c>
      <c r="DM6" s="67">
        <v>156.25</v>
      </c>
      <c r="DO6" s="62">
        <v>5</v>
      </c>
      <c r="DP6" s="61" t="s">
        <v>174</v>
      </c>
      <c r="DQ6" s="61" t="s">
        <v>374</v>
      </c>
      <c r="DR6" s="67">
        <v>178.57142857142856</v>
      </c>
    </row>
    <row r="7" spans="2:122" ht="15" thickBot="1">
      <c r="B7" s="228" t="s">
        <v>273</v>
      </c>
      <c r="C7" s="229" t="s">
        <v>274</v>
      </c>
      <c r="D7" s="224"/>
      <c r="E7" s="259" t="s">
        <v>327</v>
      </c>
      <c r="F7" s="294"/>
      <c r="G7" s="295"/>
      <c r="S7" s="62">
        <v>6</v>
      </c>
      <c r="T7" s="61" t="s">
        <v>174</v>
      </c>
      <c r="U7" s="61" t="s">
        <v>391</v>
      </c>
      <c r="V7" s="67">
        <v>73.529411764705912</v>
      </c>
      <c r="X7" s="62">
        <v>6</v>
      </c>
      <c r="Y7" s="61" t="s">
        <v>174</v>
      </c>
      <c r="Z7" s="61" t="s">
        <v>374</v>
      </c>
      <c r="AA7" s="67">
        <v>78.125</v>
      </c>
      <c r="AC7" s="62">
        <v>6</v>
      </c>
      <c r="AD7" s="61" t="s">
        <v>174</v>
      </c>
      <c r="AE7" s="61" t="s">
        <v>374</v>
      </c>
      <c r="AF7" s="67">
        <v>83.333333333333371</v>
      </c>
      <c r="AH7" s="62">
        <v>6</v>
      </c>
      <c r="AI7" s="61" t="s">
        <v>174</v>
      </c>
      <c r="AJ7" s="61" t="s">
        <v>374</v>
      </c>
      <c r="AK7" s="67">
        <v>89.285714285714334</v>
      </c>
      <c r="AM7" s="62">
        <v>6</v>
      </c>
      <c r="AN7" s="61" t="s">
        <v>174</v>
      </c>
      <c r="AO7" s="61" t="s">
        <v>374</v>
      </c>
      <c r="AP7" s="67">
        <v>96.153846153846075</v>
      </c>
      <c r="AR7" s="62">
        <v>6</v>
      </c>
      <c r="AS7" s="61" t="s">
        <v>174</v>
      </c>
      <c r="AT7" s="61" t="s">
        <v>374</v>
      </c>
      <c r="AU7" s="67">
        <v>96.153846153846075</v>
      </c>
      <c r="AW7" s="62">
        <v>6</v>
      </c>
      <c r="AX7" s="61" t="s">
        <v>174</v>
      </c>
      <c r="AY7" s="61" t="s">
        <v>374</v>
      </c>
      <c r="AZ7" s="67">
        <v>104.16666666666663</v>
      </c>
      <c r="BB7" s="62">
        <v>6</v>
      </c>
      <c r="BC7" s="61" t="s">
        <v>174</v>
      </c>
      <c r="BD7" s="61" t="s">
        <v>374</v>
      </c>
      <c r="BE7" s="67">
        <v>104.16666666666663</v>
      </c>
      <c r="BG7" s="62">
        <v>6</v>
      </c>
      <c r="BH7" s="61" t="s">
        <v>174</v>
      </c>
      <c r="BI7" s="61" t="s">
        <v>374</v>
      </c>
      <c r="BJ7" s="67">
        <v>113.63636363636363</v>
      </c>
      <c r="BL7" s="62">
        <v>6</v>
      </c>
      <c r="BM7" s="61" t="s">
        <v>174</v>
      </c>
      <c r="BN7" s="61" t="s">
        <v>374</v>
      </c>
      <c r="BO7" s="67">
        <v>113.63636363636363</v>
      </c>
      <c r="BQ7" s="62">
        <v>6</v>
      </c>
      <c r="BR7" s="61" t="s">
        <v>174</v>
      </c>
      <c r="BS7" s="61" t="s">
        <v>374</v>
      </c>
      <c r="BT7" s="67">
        <v>125</v>
      </c>
      <c r="BV7" s="62">
        <v>6</v>
      </c>
      <c r="BW7" s="61" t="s">
        <v>174</v>
      </c>
      <c r="BX7" s="61" t="s">
        <v>374</v>
      </c>
      <c r="BY7" s="67">
        <v>125</v>
      </c>
      <c r="CA7" s="62">
        <v>6</v>
      </c>
      <c r="CB7" s="61" t="s">
        <v>174</v>
      </c>
      <c r="CC7" s="61" t="s">
        <v>374</v>
      </c>
      <c r="CD7" s="67">
        <v>125</v>
      </c>
      <c r="CF7" s="62">
        <v>6</v>
      </c>
      <c r="CG7" s="61" t="s">
        <v>174</v>
      </c>
      <c r="CH7" s="61" t="s">
        <v>374</v>
      </c>
      <c r="CI7" s="67">
        <v>138.8888888888888</v>
      </c>
      <c r="CK7" s="62">
        <v>6</v>
      </c>
      <c r="CL7" s="61" t="s">
        <v>174</v>
      </c>
      <c r="CM7" s="61" t="s">
        <v>374</v>
      </c>
      <c r="CN7" s="67">
        <v>138.8888888888888</v>
      </c>
      <c r="CP7" s="62">
        <v>6</v>
      </c>
      <c r="CQ7" s="61" t="s">
        <v>174</v>
      </c>
      <c r="CR7" s="61" t="s">
        <v>374</v>
      </c>
      <c r="CS7" s="67">
        <v>138.8888888888888</v>
      </c>
      <c r="CU7" s="62">
        <v>6</v>
      </c>
      <c r="CV7" s="61" t="s">
        <v>174</v>
      </c>
      <c r="CW7" s="61" t="s">
        <v>374</v>
      </c>
      <c r="CX7" s="67">
        <v>156.25</v>
      </c>
      <c r="CZ7" s="62">
        <v>6</v>
      </c>
      <c r="DA7" s="61" t="s">
        <v>174</v>
      </c>
      <c r="DB7" s="61" t="s">
        <v>374</v>
      </c>
      <c r="DC7" s="67">
        <v>156.25</v>
      </c>
      <c r="DE7" s="62">
        <v>6</v>
      </c>
      <c r="DF7" s="61" t="s">
        <v>174</v>
      </c>
      <c r="DG7" s="61" t="s">
        <v>374</v>
      </c>
      <c r="DH7" s="67">
        <v>156.25</v>
      </c>
      <c r="DJ7" s="62">
        <v>6</v>
      </c>
      <c r="DK7" s="61" t="s">
        <v>174</v>
      </c>
      <c r="DL7" s="61" t="s">
        <v>374</v>
      </c>
      <c r="DM7" s="67">
        <v>156.25</v>
      </c>
      <c r="DO7" s="62">
        <v>6</v>
      </c>
      <c r="DP7" s="61" t="s">
        <v>174</v>
      </c>
      <c r="DQ7" s="61" t="s">
        <v>374</v>
      </c>
      <c r="DR7" s="67">
        <v>178.57142857142867</v>
      </c>
    </row>
    <row r="8" spans="2:122" ht="15" thickBot="1">
      <c r="B8" s="162">
        <v>60</v>
      </c>
      <c r="C8" s="230">
        <f>B8*D4/10^3</f>
        <v>0.72</v>
      </c>
      <c r="D8" s="224"/>
      <c r="E8" s="224"/>
      <c r="F8" s="294"/>
      <c r="G8" s="295"/>
      <c r="S8" s="62">
        <v>7</v>
      </c>
      <c r="T8" s="61" t="s">
        <v>174</v>
      </c>
      <c r="U8" s="61" t="s">
        <v>374</v>
      </c>
      <c r="V8" s="67">
        <v>73.529411764705912</v>
      </c>
      <c r="X8" s="62">
        <v>7</v>
      </c>
      <c r="Y8" s="61" t="s">
        <v>174</v>
      </c>
      <c r="Z8" s="61" t="s">
        <v>374</v>
      </c>
      <c r="AA8" s="67">
        <v>78.125</v>
      </c>
      <c r="AC8" s="62">
        <v>7</v>
      </c>
      <c r="AD8" s="61" t="s">
        <v>174</v>
      </c>
      <c r="AE8" s="61" t="s">
        <v>374</v>
      </c>
      <c r="AF8" s="67">
        <v>83.333333333333258</v>
      </c>
      <c r="AH8" s="62">
        <v>7</v>
      </c>
      <c r="AI8" s="61" t="s">
        <v>174</v>
      </c>
      <c r="AJ8" s="61" t="s">
        <v>374</v>
      </c>
      <c r="AK8" s="67">
        <v>89.285714285714221</v>
      </c>
      <c r="AM8" s="62">
        <v>7</v>
      </c>
      <c r="AN8" s="61" t="s">
        <v>174</v>
      </c>
      <c r="AO8" s="61" t="s">
        <v>374</v>
      </c>
      <c r="AP8" s="67">
        <v>96.153846153846189</v>
      </c>
      <c r="AR8" s="62">
        <v>7</v>
      </c>
      <c r="AS8" s="61" t="s">
        <v>174</v>
      </c>
      <c r="AT8" s="61" t="s">
        <v>374</v>
      </c>
      <c r="AU8" s="67">
        <v>96.153846153846189</v>
      </c>
      <c r="AW8" s="62">
        <v>7</v>
      </c>
      <c r="AX8" s="61" t="s">
        <v>174</v>
      </c>
      <c r="AY8" s="61" t="s">
        <v>374</v>
      </c>
      <c r="AZ8" s="67">
        <v>104.16666666666674</v>
      </c>
      <c r="BB8" s="62">
        <v>7</v>
      </c>
      <c r="BC8" s="61" t="s">
        <v>174</v>
      </c>
      <c r="BD8" s="61" t="s">
        <v>374</v>
      </c>
      <c r="BE8" s="67">
        <v>104.16666666666674</v>
      </c>
      <c r="BG8" s="62">
        <v>7</v>
      </c>
      <c r="BH8" s="61" t="s">
        <v>174</v>
      </c>
      <c r="BI8" s="61" t="s">
        <v>374</v>
      </c>
      <c r="BJ8" s="67">
        <v>113.63636363636363</v>
      </c>
      <c r="BL8" s="62">
        <v>7</v>
      </c>
      <c r="BM8" s="61" t="s">
        <v>174</v>
      </c>
      <c r="BN8" s="61" t="s">
        <v>374</v>
      </c>
      <c r="BO8" s="67">
        <v>113.63636363636363</v>
      </c>
      <c r="BQ8" s="62">
        <v>7</v>
      </c>
      <c r="BR8" s="61" t="s">
        <v>174</v>
      </c>
      <c r="BS8" s="61" t="s">
        <v>374</v>
      </c>
      <c r="BT8" s="67">
        <v>125</v>
      </c>
      <c r="BV8" s="62">
        <v>7</v>
      </c>
      <c r="BW8" s="61" t="s">
        <v>174</v>
      </c>
      <c r="BX8" s="61" t="s">
        <v>374</v>
      </c>
      <c r="BY8" s="67">
        <v>125</v>
      </c>
      <c r="CA8" s="62">
        <v>7</v>
      </c>
      <c r="CB8" s="61" t="s">
        <v>174</v>
      </c>
      <c r="CC8" s="61" t="s">
        <v>374</v>
      </c>
      <c r="CD8" s="67">
        <v>125</v>
      </c>
      <c r="CF8" s="62">
        <v>7</v>
      </c>
      <c r="CG8" s="61" t="s">
        <v>174</v>
      </c>
      <c r="CH8" s="61" t="s">
        <v>374</v>
      </c>
      <c r="CI8" s="67">
        <v>138.88888888888891</v>
      </c>
      <c r="CK8" s="62">
        <v>7</v>
      </c>
      <c r="CL8" s="61" t="s">
        <v>174</v>
      </c>
      <c r="CM8" s="61" t="s">
        <v>374</v>
      </c>
      <c r="CN8" s="67">
        <v>138.88888888888891</v>
      </c>
      <c r="CP8" s="62">
        <v>7</v>
      </c>
      <c r="CQ8" s="61" t="s">
        <v>174</v>
      </c>
      <c r="CR8" s="61" t="s">
        <v>374</v>
      </c>
      <c r="CS8" s="67">
        <v>138.88888888888891</v>
      </c>
      <c r="CU8" s="62">
        <v>7</v>
      </c>
      <c r="CV8" s="61" t="s">
        <v>174</v>
      </c>
      <c r="CW8" s="61" t="s">
        <v>374</v>
      </c>
      <c r="CX8" s="67">
        <v>156.25</v>
      </c>
      <c r="CZ8" s="62">
        <v>7</v>
      </c>
      <c r="DA8" s="61" t="s">
        <v>174</v>
      </c>
      <c r="DB8" s="61" t="s">
        <v>374</v>
      </c>
      <c r="DC8" s="67">
        <v>156.25</v>
      </c>
      <c r="DE8" s="62">
        <v>7</v>
      </c>
      <c r="DF8" s="61" t="s">
        <v>174</v>
      </c>
      <c r="DG8" s="61" t="s">
        <v>374</v>
      </c>
      <c r="DH8" s="67">
        <v>156.25</v>
      </c>
      <c r="DJ8" s="62">
        <v>7</v>
      </c>
      <c r="DK8" s="61" t="s">
        <v>174</v>
      </c>
      <c r="DL8" s="61" t="s">
        <v>374</v>
      </c>
      <c r="DM8" s="67">
        <v>156.25</v>
      </c>
      <c r="DO8" s="62">
        <v>7</v>
      </c>
      <c r="DP8" s="61" t="s">
        <v>174</v>
      </c>
      <c r="DQ8" s="61" t="s">
        <v>374</v>
      </c>
      <c r="DR8" s="67">
        <v>178.57142857142844</v>
      </c>
    </row>
    <row r="9" spans="2:122" ht="15" thickBot="1">
      <c r="B9" s="223"/>
      <c r="C9" s="224"/>
      <c r="D9" s="224"/>
      <c r="E9" s="224"/>
      <c r="F9" s="294"/>
      <c r="G9" s="295"/>
      <c r="S9" s="62">
        <v>8</v>
      </c>
      <c r="T9" s="61" t="s">
        <v>174</v>
      </c>
      <c r="U9" s="61" t="s">
        <v>374</v>
      </c>
      <c r="V9" s="67">
        <v>73.529411764705856</v>
      </c>
      <c r="X9" s="62">
        <v>8</v>
      </c>
      <c r="Y9" s="61" t="s">
        <v>174</v>
      </c>
      <c r="Z9" s="61" t="s">
        <v>374</v>
      </c>
      <c r="AA9" s="67">
        <v>78.125</v>
      </c>
      <c r="AC9" s="62">
        <v>8</v>
      </c>
      <c r="AD9" s="61" t="s">
        <v>174</v>
      </c>
      <c r="AE9" s="61" t="s">
        <v>374</v>
      </c>
      <c r="AF9" s="67">
        <v>83.333333333333371</v>
      </c>
      <c r="AH9" s="62">
        <v>8</v>
      </c>
      <c r="AI9" s="61" t="s">
        <v>174</v>
      </c>
      <c r="AJ9" s="61" t="s">
        <v>374</v>
      </c>
      <c r="AK9" s="67">
        <v>89.285714285714334</v>
      </c>
      <c r="AM9" s="62">
        <v>8</v>
      </c>
      <c r="AN9" s="61" t="s">
        <v>174</v>
      </c>
      <c r="AO9" s="61" t="s">
        <v>374</v>
      </c>
      <c r="AP9" s="67">
        <v>96.153846153846189</v>
      </c>
      <c r="AR9" s="62">
        <v>8</v>
      </c>
      <c r="AS9" s="61" t="s">
        <v>174</v>
      </c>
      <c r="AT9" s="61" t="s">
        <v>374</v>
      </c>
      <c r="AU9" s="67">
        <v>96.153846153846189</v>
      </c>
      <c r="AW9" s="62">
        <v>8</v>
      </c>
      <c r="AX9" s="61" t="s">
        <v>174</v>
      </c>
      <c r="AY9" s="61" t="s">
        <v>374</v>
      </c>
      <c r="AZ9" s="67">
        <v>104.16666666666663</v>
      </c>
      <c r="BB9" s="62">
        <v>8</v>
      </c>
      <c r="BC9" s="61" t="s">
        <v>174</v>
      </c>
      <c r="BD9" s="61" t="s">
        <v>374</v>
      </c>
      <c r="BE9" s="67">
        <v>104.16666666666663</v>
      </c>
      <c r="BG9" s="62">
        <v>8</v>
      </c>
      <c r="BH9" s="61" t="s">
        <v>174</v>
      </c>
      <c r="BI9" s="61" t="s">
        <v>374</v>
      </c>
      <c r="BJ9" s="67">
        <v>113.63636363636363</v>
      </c>
      <c r="BL9" s="62">
        <v>8</v>
      </c>
      <c r="BM9" s="61" t="s">
        <v>174</v>
      </c>
      <c r="BN9" s="61" t="s">
        <v>374</v>
      </c>
      <c r="BO9" s="67">
        <v>113.63636363636363</v>
      </c>
      <c r="BQ9" s="62">
        <v>8</v>
      </c>
      <c r="BR9" s="61" t="s">
        <v>174</v>
      </c>
      <c r="BS9" s="61" t="s">
        <v>374</v>
      </c>
      <c r="BT9" s="67">
        <v>125</v>
      </c>
      <c r="BV9" s="62">
        <v>8</v>
      </c>
      <c r="BW9" s="61" t="s">
        <v>174</v>
      </c>
      <c r="BX9" s="61" t="s">
        <v>374</v>
      </c>
      <c r="BY9" s="67">
        <v>125</v>
      </c>
      <c r="CA9" s="62">
        <v>8</v>
      </c>
      <c r="CB9" s="61" t="s">
        <v>174</v>
      </c>
      <c r="CC9" s="61" t="s">
        <v>374</v>
      </c>
      <c r="CD9" s="67">
        <v>125</v>
      </c>
      <c r="CF9" s="62">
        <v>8</v>
      </c>
      <c r="CG9" s="61" t="s">
        <v>174</v>
      </c>
      <c r="CH9" s="61" t="s">
        <v>374</v>
      </c>
      <c r="CI9" s="67">
        <v>138.88888888888891</v>
      </c>
      <c r="CK9" s="62">
        <v>8</v>
      </c>
      <c r="CL9" s="61" t="s">
        <v>174</v>
      </c>
      <c r="CM9" s="61" t="s">
        <v>374</v>
      </c>
      <c r="CN9" s="67">
        <v>138.88888888888891</v>
      </c>
      <c r="CP9" s="62">
        <v>8</v>
      </c>
      <c r="CQ9" s="61" t="s">
        <v>174</v>
      </c>
      <c r="CR9" s="61" t="s">
        <v>374</v>
      </c>
      <c r="CS9" s="67">
        <v>138.88888888888891</v>
      </c>
      <c r="CU9" s="62">
        <v>8</v>
      </c>
      <c r="CV9" s="61" t="s">
        <v>174</v>
      </c>
      <c r="CW9" s="61" t="s">
        <v>374</v>
      </c>
      <c r="CX9" s="67">
        <v>156.25</v>
      </c>
      <c r="CZ9" s="62">
        <v>8</v>
      </c>
      <c r="DA9" s="61" t="s">
        <v>174</v>
      </c>
      <c r="DB9" s="61" t="s">
        <v>374</v>
      </c>
      <c r="DC9" s="67">
        <v>156.25</v>
      </c>
      <c r="DE9" s="62">
        <v>8</v>
      </c>
      <c r="DF9" s="61" t="s">
        <v>174</v>
      </c>
      <c r="DG9" s="61" t="s">
        <v>374</v>
      </c>
      <c r="DH9" s="67">
        <v>156.25</v>
      </c>
      <c r="DJ9" s="62">
        <v>8</v>
      </c>
      <c r="DK9" s="61" t="s">
        <v>174</v>
      </c>
      <c r="DL9" s="61" t="s">
        <v>374</v>
      </c>
      <c r="DM9" s="67">
        <v>156.25</v>
      </c>
      <c r="DO9" s="62">
        <v>8</v>
      </c>
      <c r="DP9" s="61" t="s">
        <v>174</v>
      </c>
      <c r="DQ9" s="61" t="s">
        <v>374</v>
      </c>
      <c r="DR9" s="67">
        <v>178.57142857142867</v>
      </c>
    </row>
    <row r="10" spans="2:122" ht="15" thickBot="1">
      <c r="B10" s="298" t="s">
        <v>323</v>
      </c>
      <c r="C10" s="299"/>
      <c r="D10" s="60" t="s">
        <v>263</v>
      </c>
      <c r="E10" s="224"/>
      <c r="F10" s="294"/>
      <c r="G10" s="295"/>
      <c r="K10" s="60" t="s">
        <v>186</v>
      </c>
      <c r="S10" s="62">
        <v>9</v>
      </c>
      <c r="T10" s="61" t="s">
        <v>174</v>
      </c>
      <c r="U10" s="61" t="s">
        <v>374</v>
      </c>
      <c r="V10" s="67">
        <v>73.529411764705856</v>
      </c>
      <c r="X10" s="62">
        <v>9</v>
      </c>
      <c r="Y10" s="61" t="s">
        <v>174</v>
      </c>
      <c r="Z10" s="61" t="s">
        <v>374</v>
      </c>
      <c r="AA10" s="67">
        <v>78.125</v>
      </c>
      <c r="AC10" s="62">
        <v>9</v>
      </c>
      <c r="AD10" s="61" t="s">
        <v>174</v>
      </c>
      <c r="AE10" s="61" t="s">
        <v>374</v>
      </c>
      <c r="AF10" s="67">
        <v>83.333333333333371</v>
      </c>
      <c r="AH10" s="62">
        <v>9</v>
      </c>
      <c r="AI10" s="61" t="s">
        <v>174</v>
      </c>
      <c r="AJ10" s="61" t="s">
        <v>374</v>
      </c>
      <c r="AK10" s="67">
        <v>89.285714285714334</v>
      </c>
      <c r="AM10" s="62">
        <v>9</v>
      </c>
      <c r="AN10" s="61" t="s">
        <v>174</v>
      </c>
      <c r="AO10" s="61" t="s">
        <v>374</v>
      </c>
      <c r="AP10" s="67">
        <v>96.153846153846189</v>
      </c>
      <c r="AR10" s="62">
        <v>9</v>
      </c>
      <c r="AS10" s="61" t="s">
        <v>174</v>
      </c>
      <c r="AT10" s="61" t="s">
        <v>374</v>
      </c>
      <c r="AU10" s="67">
        <v>96.153846153846189</v>
      </c>
      <c r="AW10" s="62">
        <v>9</v>
      </c>
      <c r="AX10" s="61" t="s">
        <v>174</v>
      </c>
      <c r="AY10" s="61" t="s">
        <v>374</v>
      </c>
      <c r="AZ10" s="67">
        <v>104.16666666666663</v>
      </c>
      <c r="BB10" s="62">
        <v>9</v>
      </c>
      <c r="BC10" s="61" t="s">
        <v>174</v>
      </c>
      <c r="BD10" s="61" t="s">
        <v>374</v>
      </c>
      <c r="BE10" s="67">
        <v>104.16666666666663</v>
      </c>
      <c r="BG10" s="62">
        <v>9</v>
      </c>
      <c r="BH10" s="61" t="s">
        <v>174</v>
      </c>
      <c r="BI10" s="61" t="s">
        <v>374</v>
      </c>
      <c r="BJ10" s="67">
        <v>113.63636363636363</v>
      </c>
      <c r="BL10" s="62">
        <v>9</v>
      </c>
      <c r="BM10" s="61" t="s">
        <v>174</v>
      </c>
      <c r="BN10" s="61" t="s">
        <v>374</v>
      </c>
      <c r="BO10" s="67">
        <v>113.63636363636363</v>
      </c>
      <c r="BQ10" s="62">
        <v>9</v>
      </c>
      <c r="BR10" s="61" t="s">
        <v>174</v>
      </c>
      <c r="BS10" s="61" t="s">
        <v>374</v>
      </c>
      <c r="BT10" s="67">
        <v>125</v>
      </c>
      <c r="BV10" s="62">
        <v>9</v>
      </c>
      <c r="BW10" s="61" t="s">
        <v>174</v>
      </c>
      <c r="BX10" s="61" t="s">
        <v>374</v>
      </c>
      <c r="BY10" s="67">
        <v>125</v>
      </c>
      <c r="CA10" s="62">
        <v>9</v>
      </c>
      <c r="CB10" s="61" t="s">
        <v>174</v>
      </c>
      <c r="CC10" s="61" t="s">
        <v>374</v>
      </c>
      <c r="CD10" s="67">
        <v>125</v>
      </c>
      <c r="CF10" s="62">
        <v>9</v>
      </c>
      <c r="CG10" s="61" t="s">
        <v>174</v>
      </c>
      <c r="CH10" s="61" t="s">
        <v>374</v>
      </c>
      <c r="CI10" s="67">
        <v>138.88888888888891</v>
      </c>
      <c r="CK10" s="62">
        <v>9</v>
      </c>
      <c r="CL10" s="61" t="s">
        <v>174</v>
      </c>
      <c r="CM10" s="61" t="s">
        <v>374</v>
      </c>
      <c r="CN10" s="67">
        <v>138.88888888888891</v>
      </c>
      <c r="CP10" s="62">
        <v>9</v>
      </c>
      <c r="CQ10" s="61" t="s">
        <v>174</v>
      </c>
      <c r="CR10" s="61" t="s">
        <v>374</v>
      </c>
      <c r="CS10" s="67">
        <v>138.88888888888891</v>
      </c>
      <c r="CU10" s="62">
        <v>9</v>
      </c>
      <c r="CV10" s="61" t="s">
        <v>174</v>
      </c>
      <c r="CW10" s="61" t="s">
        <v>374</v>
      </c>
      <c r="CX10" s="67">
        <v>156.25</v>
      </c>
      <c r="CZ10" s="62">
        <v>9</v>
      </c>
      <c r="DA10" s="61" t="s">
        <v>174</v>
      </c>
      <c r="DB10" s="61" t="s">
        <v>374</v>
      </c>
      <c r="DC10" s="67">
        <v>156.25</v>
      </c>
      <c r="DE10" s="62">
        <v>9</v>
      </c>
      <c r="DF10" s="61" t="s">
        <v>174</v>
      </c>
      <c r="DG10" s="61" t="s">
        <v>374</v>
      </c>
      <c r="DH10" s="67">
        <v>156.25</v>
      </c>
      <c r="DJ10" s="62">
        <v>9</v>
      </c>
      <c r="DK10" s="61" t="s">
        <v>174</v>
      </c>
      <c r="DL10" s="61" t="s">
        <v>374</v>
      </c>
      <c r="DM10" s="67">
        <v>156.25</v>
      </c>
      <c r="DO10" s="62">
        <v>9</v>
      </c>
      <c r="DP10" s="61" t="s">
        <v>174</v>
      </c>
      <c r="DQ10" s="61" t="s">
        <v>374</v>
      </c>
      <c r="DR10" s="67">
        <v>178.57142857142867</v>
      </c>
    </row>
    <row r="11" spans="2:122">
      <c r="B11" s="233" t="s">
        <v>277</v>
      </c>
      <c r="C11" s="157" t="s">
        <v>263</v>
      </c>
      <c r="D11" s="60" t="s">
        <v>264</v>
      </c>
      <c r="E11" s="224"/>
      <c r="F11" s="294"/>
      <c r="G11" s="295"/>
      <c r="S11" s="62">
        <v>10</v>
      </c>
      <c r="T11" s="61" t="s">
        <v>174</v>
      </c>
      <c r="U11" s="61" t="s">
        <v>374</v>
      </c>
      <c r="V11" s="67">
        <v>73.529411764705856</v>
      </c>
      <c r="X11" s="62">
        <v>10</v>
      </c>
      <c r="Y11" s="61" t="s">
        <v>174</v>
      </c>
      <c r="Z11" s="61" t="s">
        <v>374</v>
      </c>
      <c r="AA11" s="67">
        <v>78.125</v>
      </c>
      <c r="AC11" s="62">
        <v>10</v>
      </c>
      <c r="AD11" s="61" t="s">
        <v>174</v>
      </c>
      <c r="AE11" s="61" t="s">
        <v>374</v>
      </c>
      <c r="AF11" s="67">
        <v>83.333333333333258</v>
      </c>
      <c r="AH11" s="62">
        <v>10</v>
      </c>
      <c r="AI11" s="61" t="s">
        <v>174</v>
      </c>
      <c r="AJ11" s="61" t="s">
        <v>374</v>
      </c>
      <c r="AK11" s="67">
        <v>89.285714285714221</v>
      </c>
      <c r="AM11" s="62">
        <v>10</v>
      </c>
      <c r="AN11" s="61" t="s">
        <v>174</v>
      </c>
      <c r="AO11" s="61" t="s">
        <v>374</v>
      </c>
      <c r="AP11" s="67">
        <v>96.153846153846189</v>
      </c>
      <c r="AR11" s="62">
        <v>10</v>
      </c>
      <c r="AS11" s="61" t="s">
        <v>174</v>
      </c>
      <c r="AT11" s="61" t="s">
        <v>374</v>
      </c>
      <c r="AU11" s="67">
        <v>96.153846153846189</v>
      </c>
      <c r="AW11" s="62">
        <v>10</v>
      </c>
      <c r="AX11" s="61" t="s">
        <v>174</v>
      </c>
      <c r="AY11" s="61" t="s">
        <v>374</v>
      </c>
      <c r="AZ11" s="67">
        <v>104.16666666666674</v>
      </c>
      <c r="BB11" s="62">
        <v>10</v>
      </c>
      <c r="BC11" s="61" t="s">
        <v>174</v>
      </c>
      <c r="BD11" s="61" t="s">
        <v>374</v>
      </c>
      <c r="BE11" s="67">
        <v>104.16666666666674</v>
      </c>
      <c r="BG11" s="62">
        <v>10</v>
      </c>
      <c r="BH11" s="61" t="s">
        <v>174</v>
      </c>
      <c r="BI11" s="61" t="s">
        <v>374</v>
      </c>
      <c r="BJ11" s="67">
        <v>113.63636363636374</v>
      </c>
      <c r="BL11" s="62">
        <v>10</v>
      </c>
      <c r="BM11" s="61" t="s">
        <v>174</v>
      </c>
      <c r="BN11" s="61" t="s">
        <v>374</v>
      </c>
      <c r="BO11" s="67">
        <v>113.63636363636374</v>
      </c>
      <c r="BQ11" s="62">
        <v>10</v>
      </c>
      <c r="BR11" s="61" t="s">
        <v>174</v>
      </c>
      <c r="BS11" s="61" t="s">
        <v>374</v>
      </c>
      <c r="BT11" s="67">
        <v>125</v>
      </c>
      <c r="BV11" s="62">
        <v>10</v>
      </c>
      <c r="BW11" s="61" t="s">
        <v>174</v>
      </c>
      <c r="BX11" s="61" t="s">
        <v>374</v>
      </c>
      <c r="BY11" s="67">
        <v>125</v>
      </c>
      <c r="CA11" s="62">
        <v>10</v>
      </c>
      <c r="CB11" s="61" t="s">
        <v>174</v>
      </c>
      <c r="CC11" s="61" t="s">
        <v>374</v>
      </c>
      <c r="CD11" s="67">
        <v>125</v>
      </c>
      <c r="CF11" s="62">
        <v>10</v>
      </c>
      <c r="CG11" s="61" t="s">
        <v>174</v>
      </c>
      <c r="CH11" s="61" t="s">
        <v>374</v>
      </c>
      <c r="CI11" s="67">
        <v>138.88888888888891</v>
      </c>
      <c r="CK11" s="62">
        <v>10</v>
      </c>
      <c r="CL11" s="61" t="s">
        <v>174</v>
      </c>
      <c r="CM11" s="61" t="s">
        <v>374</v>
      </c>
      <c r="CN11" s="67">
        <v>138.88888888888891</v>
      </c>
      <c r="CP11" s="62">
        <v>10</v>
      </c>
      <c r="CQ11" s="61" t="s">
        <v>174</v>
      </c>
      <c r="CR11" s="61" t="s">
        <v>374</v>
      </c>
      <c r="CS11" s="67">
        <v>138.88888888888891</v>
      </c>
      <c r="CU11" s="62">
        <v>10</v>
      </c>
      <c r="CV11" s="61" t="s">
        <v>174</v>
      </c>
      <c r="CW11" s="61" t="s">
        <v>374</v>
      </c>
      <c r="CX11" s="67">
        <v>156.25</v>
      </c>
      <c r="CZ11" s="62">
        <v>10</v>
      </c>
      <c r="DA11" s="61" t="s">
        <v>174</v>
      </c>
      <c r="DB11" s="61" t="s">
        <v>374</v>
      </c>
      <c r="DC11" s="67">
        <v>156.25</v>
      </c>
      <c r="DE11" s="62">
        <v>10</v>
      </c>
      <c r="DF11" s="61" t="s">
        <v>174</v>
      </c>
      <c r="DG11" s="61" t="s">
        <v>374</v>
      </c>
      <c r="DH11" s="67">
        <v>156.25</v>
      </c>
      <c r="DJ11" s="62">
        <v>10</v>
      </c>
      <c r="DK11" s="61" t="s">
        <v>174</v>
      </c>
      <c r="DL11" s="61" t="s">
        <v>374</v>
      </c>
      <c r="DM11" s="67">
        <v>156.25</v>
      </c>
      <c r="DO11" s="62">
        <v>10</v>
      </c>
      <c r="DP11" s="61" t="s">
        <v>174</v>
      </c>
      <c r="DQ11" s="61" t="s">
        <v>374</v>
      </c>
      <c r="DR11" s="67">
        <v>178.57142857142844</v>
      </c>
    </row>
    <row r="12" spans="2:122" ht="15" thickBot="1">
      <c r="B12" s="231" t="s">
        <v>206</v>
      </c>
      <c r="C12" s="158" t="s">
        <v>265</v>
      </c>
      <c r="D12" s="60" t="s">
        <v>265</v>
      </c>
      <c r="E12" s="224"/>
      <c r="F12" s="296"/>
      <c r="G12" s="297"/>
      <c r="S12" s="62">
        <v>11</v>
      </c>
      <c r="T12" s="61" t="s">
        <v>174</v>
      </c>
      <c r="U12" s="61" t="s">
        <v>374</v>
      </c>
      <c r="V12" s="67">
        <v>73.529411764705969</v>
      </c>
      <c r="X12" s="62">
        <v>11</v>
      </c>
      <c r="Y12" s="61" t="s">
        <v>174</v>
      </c>
      <c r="Z12" s="61" t="s">
        <v>374</v>
      </c>
      <c r="AA12" s="67">
        <v>78.125</v>
      </c>
      <c r="AC12" s="62">
        <v>11</v>
      </c>
      <c r="AD12" s="61" t="s">
        <v>174</v>
      </c>
      <c r="AE12" s="61" t="s">
        <v>374</v>
      </c>
      <c r="AF12" s="67">
        <v>83.333333333333371</v>
      </c>
      <c r="AH12" s="62">
        <v>11</v>
      </c>
      <c r="AI12" s="61" t="s">
        <v>174</v>
      </c>
      <c r="AJ12" s="61" t="s">
        <v>374</v>
      </c>
      <c r="AK12" s="67">
        <v>89.285714285714334</v>
      </c>
      <c r="AM12" s="62">
        <v>11</v>
      </c>
      <c r="AN12" s="61" t="s">
        <v>174</v>
      </c>
      <c r="AO12" s="61" t="s">
        <v>374</v>
      </c>
      <c r="AP12" s="67">
        <v>96.153846153846189</v>
      </c>
      <c r="AR12" s="62">
        <v>11</v>
      </c>
      <c r="AS12" s="61" t="s">
        <v>174</v>
      </c>
      <c r="AT12" s="61" t="s">
        <v>374</v>
      </c>
      <c r="AU12" s="67">
        <v>96.153846153846189</v>
      </c>
      <c r="AW12" s="62">
        <v>11</v>
      </c>
      <c r="AX12" s="61" t="s">
        <v>174</v>
      </c>
      <c r="AY12" s="61" t="s">
        <v>374</v>
      </c>
      <c r="AZ12" s="67">
        <v>104.16666666666674</v>
      </c>
      <c r="BB12" s="62">
        <v>11</v>
      </c>
      <c r="BC12" s="61" t="s">
        <v>174</v>
      </c>
      <c r="BD12" s="61" t="s">
        <v>374</v>
      </c>
      <c r="BE12" s="67">
        <v>104.16666666666674</v>
      </c>
      <c r="BG12" s="62">
        <v>11</v>
      </c>
      <c r="BH12" s="61" t="s">
        <v>174</v>
      </c>
      <c r="BI12" s="61" t="s">
        <v>374</v>
      </c>
      <c r="BJ12" s="67">
        <v>113.63636363636351</v>
      </c>
      <c r="BL12" s="62">
        <v>11</v>
      </c>
      <c r="BM12" s="61" t="s">
        <v>174</v>
      </c>
      <c r="BN12" s="61" t="s">
        <v>374</v>
      </c>
      <c r="BO12" s="67">
        <v>113.63636363636351</v>
      </c>
      <c r="BQ12" s="62">
        <v>11</v>
      </c>
      <c r="BR12" s="61" t="s">
        <v>174</v>
      </c>
      <c r="BS12" s="61" t="s">
        <v>374</v>
      </c>
      <c r="BT12" s="67">
        <v>125</v>
      </c>
      <c r="BV12" s="62">
        <v>11</v>
      </c>
      <c r="BW12" s="61" t="s">
        <v>174</v>
      </c>
      <c r="BX12" s="61" t="s">
        <v>374</v>
      </c>
      <c r="BY12" s="67">
        <v>125</v>
      </c>
      <c r="CA12" s="62">
        <v>11</v>
      </c>
      <c r="CB12" s="61" t="s">
        <v>174</v>
      </c>
      <c r="CC12" s="61" t="s">
        <v>374</v>
      </c>
      <c r="CD12" s="67">
        <v>125</v>
      </c>
      <c r="CF12" s="62">
        <v>11</v>
      </c>
      <c r="CG12" s="61" t="s">
        <v>174</v>
      </c>
      <c r="CH12" s="61" t="s">
        <v>374</v>
      </c>
      <c r="CI12" s="67">
        <v>138.88888888888891</v>
      </c>
      <c r="CK12" s="62">
        <v>11</v>
      </c>
      <c r="CL12" s="61" t="s">
        <v>174</v>
      </c>
      <c r="CM12" s="61" t="s">
        <v>374</v>
      </c>
      <c r="CN12" s="67">
        <v>138.88888888888891</v>
      </c>
      <c r="CP12" s="62">
        <v>11</v>
      </c>
      <c r="CQ12" s="61" t="s">
        <v>174</v>
      </c>
      <c r="CR12" s="61" t="s">
        <v>374</v>
      </c>
      <c r="CS12" s="67">
        <v>138.88888888888891</v>
      </c>
      <c r="CU12" s="62">
        <v>11</v>
      </c>
      <c r="CV12" s="61" t="s">
        <v>174</v>
      </c>
      <c r="CW12" s="61" t="s">
        <v>374</v>
      </c>
      <c r="CX12" s="67">
        <v>156.25</v>
      </c>
      <c r="CZ12" s="62">
        <v>11</v>
      </c>
      <c r="DA12" s="61" t="s">
        <v>174</v>
      </c>
      <c r="DB12" s="61" t="s">
        <v>374</v>
      </c>
      <c r="DC12" s="67">
        <v>156.25</v>
      </c>
      <c r="DE12" s="62">
        <v>11</v>
      </c>
      <c r="DF12" s="61" t="s">
        <v>174</v>
      </c>
      <c r="DG12" s="61" t="s">
        <v>374</v>
      </c>
      <c r="DH12" s="67">
        <v>156.25</v>
      </c>
      <c r="DJ12" s="62">
        <v>11</v>
      </c>
      <c r="DK12" s="61" t="s">
        <v>174</v>
      </c>
      <c r="DL12" s="61" t="s">
        <v>374</v>
      </c>
      <c r="DM12" s="67">
        <v>156.25</v>
      </c>
      <c r="DO12" s="62">
        <v>11</v>
      </c>
      <c r="DP12" s="61" t="s">
        <v>174</v>
      </c>
      <c r="DQ12" s="61" t="s">
        <v>374</v>
      </c>
      <c r="DR12" s="67">
        <v>178.57142857142867</v>
      </c>
    </row>
    <row r="13" spans="2:122" ht="15" thickBot="1">
      <c r="B13" s="232" t="s">
        <v>278</v>
      </c>
      <c r="C13" s="164" t="s">
        <v>265</v>
      </c>
      <c r="D13" s="60" t="s">
        <v>266</v>
      </c>
      <c r="E13" s="224"/>
      <c r="F13" s="224" t="s">
        <v>331</v>
      </c>
      <c r="G13" s="224">
        <v>130</v>
      </c>
      <c r="K13" s="60" t="s">
        <v>187</v>
      </c>
      <c r="S13" s="62">
        <v>12</v>
      </c>
      <c r="T13" s="61" t="s">
        <v>174</v>
      </c>
      <c r="U13" s="61" t="s">
        <v>374</v>
      </c>
      <c r="V13" s="67">
        <v>73.529411764705856</v>
      </c>
      <c r="X13" s="62">
        <v>12</v>
      </c>
      <c r="Y13" s="61" t="s">
        <v>174</v>
      </c>
      <c r="Z13" s="61" t="s">
        <v>374</v>
      </c>
      <c r="AA13" s="67">
        <v>78.125</v>
      </c>
      <c r="AC13" s="62">
        <v>12</v>
      </c>
      <c r="AD13" s="61" t="s">
        <v>174</v>
      </c>
      <c r="AE13" s="61" t="s">
        <v>374</v>
      </c>
      <c r="AF13" s="67">
        <v>83.333333333333371</v>
      </c>
      <c r="AH13" s="62">
        <v>12</v>
      </c>
      <c r="AI13" s="61" t="s">
        <v>174</v>
      </c>
      <c r="AJ13" s="61" t="s">
        <v>374</v>
      </c>
      <c r="AK13" s="67">
        <v>89.285714285714334</v>
      </c>
      <c r="AM13" s="62">
        <v>12</v>
      </c>
      <c r="AN13" s="61" t="s">
        <v>174</v>
      </c>
      <c r="AO13" s="61" t="s">
        <v>374</v>
      </c>
      <c r="AP13" s="67">
        <v>96.153846153845961</v>
      </c>
      <c r="AR13" s="62">
        <v>12</v>
      </c>
      <c r="AS13" s="61" t="s">
        <v>174</v>
      </c>
      <c r="AT13" s="61" t="s">
        <v>374</v>
      </c>
      <c r="AU13" s="67">
        <v>96.153846153845961</v>
      </c>
      <c r="AW13" s="62">
        <v>12</v>
      </c>
      <c r="AX13" s="61" t="s">
        <v>174</v>
      </c>
      <c r="AY13" s="61" t="s">
        <v>374</v>
      </c>
      <c r="AZ13" s="67">
        <v>104.16666666666652</v>
      </c>
      <c r="BB13" s="62">
        <v>12</v>
      </c>
      <c r="BC13" s="61" t="s">
        <v>174</v>
      </c>
      <c r="BD13" s="61" t="s">
        <v>374</v>
      </c>
      <c r="BE13" s="67">
        <v>104.16666666666652</v>
      </c>
      <c r="BG13" s="62">
        <v>12</v>
      </c>
      <c r="BH13" s="61" t="s">
        <v>174</v>
      </c>
      <c r="BI13" s="61" t="s">
        <v>374</v>
      </c>
      <c r="BJ13" s="67">
        <v>113.63636363636374</v>
      </c>
      <c r="BL13" s="62">
        <v>12</v>
      </c>
      <c r="BM13" s="61" t="s">
        <v>174</v>
      </c>
      <c r="BN13" s="61" t="s">
        <v>374</v>
      </c>
      <c r="BO13" s="67">
        <v>113.63636363636374</v>
      </c>
      <c r="BQ13" s="62">
        <v>12</v>
      </c>
      <c r="BR13" s="61" t="s">
        <v>174</v>
      </c>
      <c r="BS13" s="61" t="s">
        <v>374</v>
      </c>
      <c r="BT13" s="67">
        <v>125</v>
      </c>
      <c r="BV13" s="62">
        <v>12</v>
      </c>
      <c r="BW13" s="61" t="s">
        <v>174</v>
      </c>
      <c r="BX13" s="61" t="s">
        <v>374</v>
      </c>
      <c r="BY13" s="67">
        <v>125</v>
      </c>
      <c r="CA13" s="62">
        <v>12</v>
      </c>
      <c r="CB13" s="61" t="s">
        <v>174</v>
      </c>
      <c r="CC13" s="61" t="s">
        <v>374</v>
      </c>
      <c r="CD13" s="67">
        <v>125</v>
      </c>
      <c r="CF13" s="62">
        <v>12</v>
      </c>
      <c r="CG13" s="61" t="s">
        <v>174</v>
      </c>
      <c r="CH13" s="61" t="s">
        <v>374</v>
      </c>
      <c r="CI13" s="67">
        <v>138.88888888888869</v>
      </c>
      <c r="CK13" s="62">
        <v>12</v>
      </c>
      <c r="CL13" s="61" t="s">
        <v>174</v>
      </c>
      <c r="CM13" s="61" t="s">
        <v>374</v>
      </c>
      <c r="CN13" s="67">
        <v>138.88888888888869</v>
      </c>
      <c r="CP13" s="62">
        <v>12</v>
      </c>
      <c r="CQ13" s="61" t="s">
        <v>174</v>
      </c>
      <c r="CR13" s="61" t="s">
        <v>374</v>
      </c>
      <c r="CS13" s="67">
        <v>138.88888888888869</v>
      </c>
      <c r="CU13" s="62">
        <v>12</v>
      </c>
      <c r="CV13" s="61" t="s">
        <v>174</v>
      </c>
      <c r="CW13" s="61" t="s">
        <v>374</v>
      </c>
      <c r="CX13" s="67">
        <v>156.25</v>
      </c>
      <c r="CZ13" s="62">
        <v>12</v>
      </c>
      <c r="DA13" s="61" t="s">
        <v>174</v>
      </c>
      <c r="DB13" s="61" t="s">
        <v>374</v>
      </c>
      <c r="DC13" s="67">
        <v>156.25</v>
      </c>
      <c r="DE13" s="62">
        <v>12</v>
      </c>
      <c r="DF13" s="61" t="s">
        <v>174</v>
      </c>
      <c r="DG13" s="61" t="s">
        <v>374</v>
      </c>
      <c r="DH13" s="67">
        <v>156.25</v>
      </c>
      <c r="DJ13" s="62">
        <v>12</v>
      </c>
      <c r="DK13" s="61" t="s">
        <v>174</v>
      </c>
      <c r="DL13" s="61" t="s">
        <v>374</v>
      </c>
      <c r="DM13" s="67">
        <v>156.25</v>
      </c>
      <c r="DO13" s="62">
        <v>12</v>
      </c>
      <c r="DP13" s="61" t="s">
        <v>174</v>
      </c>
      <c r="DQ13" s="61" t="s">
        <v>372</v>
      </c>
      <c r="DR13" s="67">
        <v>178.57142857142867</v>
      </c>
    </row>
    <row r="14" spans="2:122" ht="15" thickBot="1">
      <c r="F14" s="60" t="s">
        <v>340</v>
      </c>
      <c r="G14" s="46">
        <v>22</v>
      </c>
      <c r="S14" s="62">
        <v>13</v>
      </c>
      <c r="T14" s="61" t="s">
        <v>174</v>
      </c>
      <c r="U14" s="61" t="s">
        <v>374</v>
      </c>
      <c r="V14" s="67">
        <v>73.529411764705856</v>
      </c>
      <c r="X14" s="62">
        <v>13</v>
      </c>
      <c r="Y14" s="61" t="s">
        <v>174</v>
      </c>
      <c r="Z14" s="61" t="s">
        <v>374</v>
      </c>
      <c r="AA14" s="67">
        <v>78.125</v>
      </c>
      <c r="AC14" s="62">
        <v>13</v>
      </c>
      <c r="AD14" s="61" t="s">
        <v>174</v>
      </c>
      <c r="AE14" s="61" t="s">
        <v>374</v>
      </c>
      <c r="AF14" s="67">
        <v>83.333333333333258</v>
      </c>
      <c r="AH14" s="62">
        <v>13</v>
      </c>
      <c r="AI14" s="61" t="s">
        <v>174</v>
      </c>
      <c r="AJ14" s="61" t="s">
        <v>374</v>
      </c>
      <c r="AK14" s="67">
        <v>89.285714285714221</v>
      </c>
      <c r="AM14" s="62">
        <v>13</v>
      </c>
      <c r="AN14" s="61" t="s">
        <v>174</v>
      </c>
      <c r="AO14" s="61" t="s">
        <v>374</v>
      </c>
      <c r="AP14" s="67">
        <v>96.153846153846189</v>
      </c>
      <c r="AR14" s="62">
        <v>13</v>
      </c>
      <c r="AS14" s="61" t="s">
        <v>174</v>
      </c>
      <c r="AT14" s="61" t="s">
        <v>374</v>
      </c>
      <c r="AU14" s="67">
        <v>96.153846153846189</v>
      </c>
      <c r="AW14" s="62">
        <v>13</v>
      </c>
      <c r="AX14" s="61" t="s">
        <v>174</v>
      </c>
      <c r="AY14" s="61" t="s">
        <v>374</v>
      </c>
      <c r="AZ14" s="67">
        <v>104.16666666666674</v>
      </c>
      <c r="BB14" s="62">
        <v>13</v>
      </c>
      <c r="BC14" s="61" t="s">
        <v>174</v>
      </c>
      <c r="BD14" s="61" t="s">
        <v>374</v>
      </c>
      <c r="BE14" s="67">
        <v>104.16666666666674</v>
      </c>
      <c r="BG14" s="62">
        <v>13</v>
      </c>
      <c r="BH14" s="61" t="s">
        <v>174</v>
      </c>
      <c r="BI14" s="61" t="s">
        <v>374</v>
      </c>
      <c r="BJ14" s="67">
        <v>113.63636363636351</v>
      </c>
      <c r="BL14" s="62">
        <v>13</v>
      </c>
      <c r="BM14" s="61" t="s">
        <v>174</v>
      </c>
      <c r="BN14" s="61" t="s">
        <v>374</v>
      </c>
      <c r="BO14" s="67">
        <v>113.63636363636351</v>
      </c>
      <c r="BQ14" s="62">
        <v>13</v>
      </c>
      <c r="BR14" s="61" t="s">
        <v>174</v>
      </c>
      <c r="BS14" s="61" t="s">
        <v>374</v>
      </c>
      <c r="BT14" s="67">
        <v>125</v>
      </c>
      <c r="BV14" s="62">
        <v>13</v>
      </c>
      <c r="BW14" s="61" t="s">
        <v>174</v>
      </c>
      <c r="BX14" s="61" t="s">
        <v>374</v>
      </c>
      <c r="BY14" s="67">
        <v>125</v>
      </c>
      <c r="CA14" s="62">
        <v>13</v>
      </c>
      <c r="CB14" s="61" t="s">
        <v>174</v>
      </c>
      <c r="CC14" s="61" t="s">
        <v>374</v>
      </c>
      <c r="CD14" s="67">
        <v>125</v>
      </c>
      <c r="CF14" s="62">
        <v>13</v>
      </c>
      <c r="CG14" s="61" t="s">
        <v>174</v>
      </c>
      <c r="CH14" s="61" t="s">
        <v>374</v>
      </c>
      <c r="CI14" s="67">
        <v>138.88888888888891</v>
      </c>
      <c r="CK14" s="62">
        <v>13</v>
      </c>
      <c r="CL14" s="61" t="s">
        <v>174</v>
      </c>
      <c r="CM14" s="61" t="s">
        <v>374</v>
      </c>
      <c r="CN14" s="67">
        <v>138.88888888888891</v>
      </c>
      <c r="CP14" s="62">
        <v>13</v>
      </c>
      <c r="CQ14" s="61" t="s">
        <v>174</v>
      </c>
      <c r="CR14" s="61" t="s">
        <v>374</v>
      </c>
      <c r="CS14" s="67">
        <v>138.88888888888891</v>
      </c>
      <c r="CU14" s="62">
        <v>13</v>
      </c>
      <c r="CV14" s="61" t="s">
        <v>174</v>
      </c>
      <c r="CW14" s="61" t="s">
        <v>374</v>
      </c>
      <c r="CX14" s="67">
        <v>156.25</v>
      </c>
      <c r="CZ14" s="62">
        <v>13</v>
      </c>
      <c r="DA14" s="61" t="s">
        <v>174</v>
      </c>
      <c r="DB14" s="61" t="s">
        <v>374</v>
      </c>
      <c r="DC14" s="67">
        <v>156.25</v>
      </c>
      <c r="DE14" s="62">
        <v>13</v>
      </c>
      <c r="DF14" s="61" t="s">
        <v>174</v>
      </c>
      <c r="DG14" s="61" t="s">
        <v>374</v>
      </c>
      <c r="DH14" s="67">
        <v>156.25</v>
      </c>
      <c r="DJ14" s="62">
        <v>13</v>
      </c>
      <c r="DK14" s="61" t="s">
        <v>174</v>
      </c>
      <c r="DL14" s="61" t="s">
        <v>374</v>
      </c>
      <c r="DM14" s="67">
        <v>156.25</v>
      </c>
      <c r="DO14" s="62">
        <v>13</v>
      </c>
      <c r="DP14" s="61" t="s">
        <v>174</v>
      </c>
      <c r="DQ14" s="61" t="s">
        <v>362</v>
      </c>
      <c r="DR14" s="67">
        <v>178.57142857142844</v>
      </c>
    </row>
    <row r="15" spans="2:122" ht="15" thickBot="1">
      <c r="B15" s="286" t="s">
        <v>324</v>
      </c>
      <c r="C15" s="287"/>
      <c r="D15" s="287"/>
      <c r="E15" s="287"/>
      <c r="F15" s="288"/>
      <c r="S15" s="62">
        <v>14</v>
      </c>
      <c r="T15" s="61" t="s">
        <v>174</v>
      </c>
      <c r="U15" s="61" t="s">
        <v>374</v>
      </c>
      <c r="V15" s="67">
        <v>73.529411764705969</v>
      </c>
      <c r="X15" s="62">
        <v>14</v>
      </c>
      <c r="Y15" s="61" t="s">
        <v>174</v>
      </c>
      <c r="Z15" s="61" t="s">
        <v>374</v>
      </c>
      <c r="AA15" s="67">
        <v>78.125</v>
      </c>
      <c r="AC15" s="62">
        <v>14</v>
      </c>
      <c r="AD15" s="61" t="s">
        <v>174</v>
      </c>
      <c r="AE15" s="61" t="s">
        <v>374</v>
      </c>
      <c r="AF15" s="67">
        <v>83.333333333333258</v>
      </c>
      <c r="AH15" s="62">
        <v>14</v>
      </c>
      <c r="AI15" s="61" t="s">
        <v>174</v>
      </c>
      <c r="AJ15" s="61" t="s">
        <v>368</v>
      </c>
      <c r="AK15" s="67">
        <v>89.285714285714221</v>
      </c>
      <c r="AM15" s="62">
        <v>14</v>
      </c>
      <c r="AN15" s="61" t="s">
        <v>174</v>
      </c>
      <c r="AO15" s="61" t="s">
        <v>374</v>
      </c>
      <c r="AP15" s="67">
        <v>96.153846153846189</v>
      </c>
      <c r="AR15" s="62">
        <v>14</v>
      </c>
      <c r="AS15" s="61" t="s">
        <v>174</v>
      </c>
      <c r="AT15" s="61" t="s">
        <v>374</v>
      </c>
      <c r="AU15" s="67">
        <v>96.153846153846189</v>
      </c>
      <c r="AW15" s="62">
        <v>14</v>
      </c>
      <c r="AX15" s="61" t="s">
        <v>174</v>
      </c>
      <c r="AY15" s="61" t="s">
        <v>374</v>
      </c>
      <c r="AZ15" s="67">
        <v>104.16666666666674</v>
      </c>
      <c r="BB15" s="62">
        <v>14</v>
      </c>
      <c r="BC15" s="61" t="s">
        <v>174</v>
      </c>
      <c r="BD15" s="61" t="s">
        <v>374</v>
      </c>
      <c r="BE15" s="67">
        <v>104.16666666666674</v>
      </c>
      <c r="BG15" s="62">
        <v>14</v>
      </c>
      <c r="BH15" s="61" t="s">
        <v>174</v>
      </c>
      <c r="BI15" s="61" t="s">
        <v>374</v>
      </c>
      <c r="BJ15" s="67">
        <v>113.63636363636374</v>
      </c>
      <c r="BL15" s="62">
        <v>14</v>
      </c>
      <c r="BM15" s="61" t="s">
        <v>174</v>
      </c>
      <c r="BN15" s="61" t="s">
        <v>374</v>
      </c>
      <c r="BO15" s="67">
        <v>113.63636363636374</v>
      </c>
      <c r="BQ15" s="62">
        <v>14</v>
      </c>
      <c r="BR15" s="61" t="s">
        <v>174</v>
      </c>
      <c r="BS15" s="61" t="s">
        <v>374</v>
      </c>
      <c r="BT15" s="67">
        <v>125</v>
      </c>
      <c r="BV15" s="62">
        <v>14</v>
      </c>
      <c r="BW15" s="61" t="s">
        <v>174</v>
      </c>
      <c r="BX15" s="61" t="s">
        <v>374</v>
      </c>
      <c r="BY15" s="67">
        <v>125</v>
      </c>
      <c r="CA15" s="62">
        <v>14</v>
      </c>
      <c r="CB15" s="61" t="s">
        <v>174</v>
      </c>
      <c r="CC15" s="61" t="s">
        <v>374</v>
      </c>
      <c r="CD15" s="67">
        <v>125</v>
      </c>
      <c r="CF15" s="62">
        <v>14</v>
      </c>
      <c r="CG15" s="61" t="s">
        <v>174</v>
      </c>
      <c r="CH15" s="61" t="s">
        <v>374</v>
      </c>
      <c r="CI15" s="67">
        <v>138.88888888888891</v>
      </c>
      <c r="CK15" s="62">
        <v>14</v>
      </c>
      <c r="CL15" s="61" t="s">
        <v>174</v>
      </c>
      <c r="CM15" s="61" t="s">
        <v>374</v>
      </c>
      <c r="CN15" s="67">
        <v>138.88888888888891</v>
      </c>
      <c r="CP15" s="62">
        <v>14</v>
      </c>
      <c r="CQ15" s="61" t="s">
        <v>174</v>
      </c>
      <c r="CR15" s="61" t="s">
        <v>374</v>
      </c>
      <c r="CS15" s="67">
        <v>138.88888888888891</v>
      </c>
      <c r="CU15" s="62">
        <v>14</v>
      </c>
      <c r="CV15" s="61" t="s">
        <v>174</v>
      </c>
      <c r="CW15" s="61" t="s">
        <v>388</v>
      </c>
      <c r="CX15" s="67">
        <v>156.25</v>
      </c>
      <c r="CZ15" s="62">
        <v>14</v>
      </c>
      <c r="DA15" s="61" t="s">
        <v>174</v>
      </c>
      <c r="DB15" s="61" t="s">
        <v>388</v>
      </c>
      <c r="DC15" s="67">
        <v>156.25</v>
      </c>
      <c r="DE15" s="62">
        <v>14</v>
      </c>
      <c r="DF15" s="61" t="s">
        <v>174</v>
      </c>
      <c r="DG15" s="61" t="s">
        <v>388</v>
      </c>
      <c r="DH15" s="67">
        <v>156.25</v>
      </c>
      <c r="DJ15" s="62">
        <v>14</v>
      </c>
      <c r="DK15" s="61" t="s">
        <v>174</v>
      </c>
      <c r="DL15" s="61" t="s">
        <v>388</v>
      </c>
      <c r="DM15" s="67">
        <v>156.25</v>
      </c>
      <c r="DO15" s="62">
        <v>14</v>
      </c>
      <c r="DP15" s="61" t="s">
        <v>174</v>
      </c>
      <c r="DQ15" s="61" t="s">
        <v>355</v>
      </c>
      <c r="DR15" s="67">
        <v>178.57142857142844</v>
      </c>
    </row>
    <row r="16" spans="2:122" ht="18.75">
      <c r="B16" s="234" t="s">
        <v>180</v>
      </c>
      <c r="C16" s="235" t="s">
        <v>279</v>
      </c>
      <c r="D16" s="235" t="s">
        <v>280</v>
      </c>
      <c r="E16" s="235" t="s">
        <v>314</v>
      </c>
      <c r="F16" s="236" t="s">
        <v>315</v>
      </c>
      <c r="H16" s="60" t="s">
        <v>327</v>
      </c>
      <c r="K16" s="60" t="s">
        <v>188</v>
      </c>
      <c r="S16" s="62">
        <v>15</v>
      </c>
      <c r="T16" s="61" t="s">
        <v>174</v>
      </c>
      <c r="U16" s="61" t="s">
        <v>374</v>
      </c>
      <c r="V16" s="67">
        <v>73.529411764705856</v>
      </c>
      <c r="X16" s="62">
        <v>15</v>
      </c>
      <c r="Y16" s="61" t="s">
        <v>174</v>
      </c>
      <c r="Z16" s="61" t="s">
        <v>374</v>
      </c>
      <c r="AA16" s="67">
        <v>78.125</v>
      </c>
      <c r="AC16" s="62">
        <v>15</v>
      </c>
      <c r="AD16" s="61" t="s">
        <v>174</v>
      </c>
      <c r="AE16" s="61" t="s">
        <v>368</v>
      </c>
      <c r="AF16" s="67">
        <v>83.333333333333485</v>
      </c>
      <c r="AH16" s="62">
        <v>15</v>
      </c>
      <c r="AI16" s="61" t="s">
        <v>174</v>
      </c>
      <c r="AJ16" s="61" t="s">
        <v>368</v>
      </c>
      <c r="AK16" s="67">
        <v>89.285714285714448</v>
      </c>
      <c r="AM16" s="62">
        <v>15</v>
      </c>
      <c r="AN16" s="61" t="s">
        <v>174</v>
      </c>
      <c r="AO16" s="61" t="s">
        <v>374</v>
      </c>
      <c r="AP16" s="67">
        <v>96.153846153846189</v>
      </c>
      <c r="AR16" s="62">
        <v>15</v>
      </c>
      <c r="AS16" s="61" t="s">
        <v>174</v>
      </c>
      <c r="AT16" s="61" t="s">
        <v>374</v>
      </c>
      <c r="AU16" s="67">
        <v>96.153846153846189</v>
      </c>
      <c r="AW16" s="62">
        <v>15</v>
      </c>
      <c r="AX16" s="61" t="s">
        <v>174</v>
      </c>
      <c r="AY16" s="61" t="s">
        <v>374</v>
      </c>
      <c r="AZ16" s="67">
        <v>104.16666666666652</v>
      </c>
      <c r="BB16" s="62">
        <v>15</v>
      </c>
      <c r="BC16" s="61" t="s">
        <v>174</v>
      </c>
      <c r="BD16" s="61" t="s">
        <v>374</v>
      </c>
      <c r="BE16" s="67">
        <v>104.16666666666652</v>
      </c>
      <c r="BG16" s="62">
        <v>15</v>
      </c>
      <c r="BH16" s="61" t="s">
        <v>174</v>
      </c>
      <c r="BI16" s="61" t="s">
        <v>374</v>
      </c>
      <c r="BJ16" s="67">
        <v>113.63636363636351</v>
      </c>
      <c r="BL16" s="62">
        <v>15</v>
      </c>
      <c r="BM16" s="61" t="s">
        <v>174</v>
      </c>
      <c r="BN16" s="61" t="s">
        <v>374</v>
      </c>
      <c r="BO16" s="67">
        <v>113.63636363636351</v>
      </c>
      <c r="BQ16" s="62">
        <v>15</v>
      </c>
      <c r="BR16" s="61" t="s">
        <v>174</v>
      </c>
      <c r="BS16" s="61" t="s">
        <v>374</v>
      </c>
      <c r="BT16" s="67">
        <v>125</v>
      </c>
      <c r="BV16" s="62">
        <v>15</v>
      </c>
      <c r="BW16" s="61" t="s">
        <v>174</v>
      </c>
      <c r="BX16" s="61" t="s">
        <v>374</v>
      </c>
      <c r="BY16" s="67">
        <v>125</v>
      </c>
      <c r="CA16" s="62">
        <v>15</v>
      </c>
      <c r="CB16" s="61" t="s">
        <v>174</v>
      </c>
      <c r="CC16" s="61" t="s">
        <v>374</v>
      </c>
      <c r="CD16" s="67">
        <v>125</v>
      </c>
      <c r="CF16" s="62">
        <v>15</v>
      </c>
      <c r="CG16" s="61" t="s">
        <v>174</v>
      </c>
      <c r="CH16" s="61" t="s">
        <v>409</v>
      </c>
      <c r="CI16" s="67">
        <v>138.88888888888914</v>
      </c>
      <c r="CK16" s="62">
        <v>15</v>
      </c>
      <c r="CL16" s="61" t="s">
        <v>174</v>
      </c>
      <c r="CM16" s="61" t="s">
        <v>374</v>
      </c>
      <c r="CN16" s="67">
        <v>138.88888888888914</v>
      </c>
      <c r="CP16" s="62">
        <v>15</v>
      </c>
      <c r="CQ16" s="61" t="s">
        <v>174</v>
      </c>
      <c r="CR16" s="61" t="s">
        <v>374</v>
      </c>
      <c r="CS16" s="67">
        <v>138.88888888888914</v>
      </c>
      <c r="CU16" s="62">
        <v>15</v>
      </c>
      <c r="CV16" s="61" t="s">
        <v>174</v>
      </c>
      <c r="CW16" s="61" t="s">
        <v>369</v>
      </c>
      <c r="CX16" s="67">
        <v>156.25</v>
      </c>
      <c r="CZ16" s="62">
        <v>15</v>
      </c>
      <c r="DA16" s="61" t="s">
        <v>174</v>
      </c>
      <c r="DB16" s="61" t="s">
        <v>369</v>
      </c>
      <c r="DC16" s="67">
        <v>156.25</v>
      </c>
      <c r="DE16" s="62">
        <v>15</v>
      </c>
      <c r="DF16" s="61" t="s">
        <v>174</v>
      </c>
      <c r="DG16" s="61" t="s">
        <v>382</v>
      </c>
      <c r="DH16" s="67">
        <v>156.25</v>
      </c>
      <c r="DJ16" s="62">
        <v>15</v>
      </c>
      <c r="DK16" s="61" t="s">
        <v>174</v>
      </c>
      <c r="DL16" s="61" t="s">
        <v>375</v>
      </c>
      <c r="DM16" s="67">
        <v>156.25</v>
      </c>
      <c r="DO16" s="62">
        <v>15</v>
      </c>
      <c r="DP16" s="61" t="s">
        <v>205</v>
      </c>
      <c r="DQ16" s="61" t="s">
        <v>374</v>
      </c>
      <c r="DR16" s="67">
        <v>178.8925683766885</v>
      </c>
    </row>
    <row r="17" spans="1:122" ht="15" thickBot="1">
      <c r="B17" s="163" t="s">
        <v>227</v>
      </c>
      <c r="C17" s="237">
        <f>VLOOKUP($B$17,'Tipos de Aço'!$A$2:$C$49,2,TRUE)</f>
        <v>250</v>
      </c>
      <c r="D17" s="237">
        <f>VLOOKUP($B$17,'Tipos de Aço'!$A$2:$C$49,3,TRUE)</f>
        <v>400</v>
      </c>
      <c r="E17" s="237">
        <v>200000</v>
      </c>
      <c r="F17" s="238">
        <f>E4/180*1000</f>
        <v>138.88888888888889</v>
      </c>
      <c r="H17" s="60" t="s">
        <v>328</v>
      </c>
      <c r="S17" s="62">
        <v>16</v>
      </c>
      <c r="T17" s="61" t="s">
        <v>174</v>
      </c>
      <c r="U17" s="61" t="s">
        <v>374</v>
      </c>
      <c r="V17" s="67">
        <v>73.529411764705856</v>
      </c>
      <c r="X17" s="62">
        <v>16</v>
      </c>
      <c r="Y17" s="61" t="s">
        <v>174</v>
      </c>
      <c r="Z17" s="61" t="s">
        <v>368</v>
      </c>
      <c r="AA17" s="67">
        <v>78.125</v>
      </c>
      <c r="AC17" s="62">
        <v>16</v>
      </c>
      <c r="AD17" s="61" t="s">
        <v>174</v>
      </c>
      <c r="AE17" s="61" t="s">
        <v>368</v>
      </c>
      <c r="AF17" s="67">
        <v>83.333333333333258</v>
      </c>
      <c r="AH17" s="62">
        <v>16</v>
      </c>
      <c r="AI17" s="61" t="s">
        <v>174</v>
      </c>
      <c r="AJ17" s="61" t="s">
        <v>374</v>
      </c>
      <c r="AK17" s="67">
        <v>89.285714285714221</v>
      </c>
      <c r="AM17" s="62">
        <v>16</v>
      </c>
      <c r="AN17" s="61" t="s">
        <v>174</v>
      </c>
      <c r="AO17" s="61" t="s">
        <v>374</v>
      </c>
      <c r="AP17" s="67">
        <v>96.153846153846189</v>
      </c>
      <c r="AR17" s="62">
        <v>16</v>
      </c>
      <c r="AS17" s="61" t="s">
        <v>174</v>
      </c>
      <c r="AT17" s="61" t="s">
        <v>374</v>
      </c>
      <c r="AU17" s="67">
        <v>96.153846153846189</v>
      </c>
      <c r="AW17" s="62">
        <v>16</v>
      </c>
      <c r="AX17" s="61" t="s">
        <v>174</v>
      </c>
      <c r="AY17" s="61" t="s">
        <v>374</v>
      </c>
      <c r="AZ17" s="67">
        <v>104.16666666666674</v>
      </c>
      <c r="BB17" s="62">
        <v>16</v>
      </c>
      <c r="BC17" s="61" t="s">
        <v>174</v>
      </c>
      <c r="BD17" s="61" t="s">
        <v>374</v>
      </c>
      <c r="BE17" s="67">
        <v>104.16666666666674</v>
      </c>
      <c r="BG17" s="62">
        <v>16</v>
      </c>
      <c r="BH17" s="61" t="s">
        <v>174</v>
      </c>
      <c r="BI17" s="61" t="s">
        <v>374</v>
      </c>
      <c r="BJ17" s="67">
        <v>113.63636363636374</v>
      </c>
      <c r="BL17" s="62">
        <v>16</v>
      </c>
      <c r="BM17" s="61" t="s">
        <v>174</v>
      </c>
      <c r="BN17" s="61" t="s">
        <v>374</v>
      </c>
      <c r="BO17" s="67">
        <v>113.63636363636374</v>
      </c>
      <c r="BQ17" s="62">
        <v>16</v>
      </c>
      <c r="BR17" s="61" t="s">
        <v>174</v>
      </c>
      <c r="BS17" s="61" t="s">
        <v>374</v>
      </c>
      <c r="BT17" s="67">
        <v>125</v>
      </c>
      <c r="BV17" s="62">
        <v>16</v>
      </c>
      <c r="BW17" s="61" t="s">
        <v>174</v>
      </c>
      <c r="BX17" s="61" t="s">
        <v>374</v>
      </c>
      <c r="BY17" s="67">
        <v>125</v>
      </c>
      <c r="CA17" s="62">
        <v>16</v>
      </c>
      <c r="CB17" s="61" t="s">
        <v>174</v>
      </c>
      <c r="CC17" s="61" t="s">
        <v>374</v>
      </c>
      <c r="CD17" s="67">
        <v>125</v>
      </c>
      <c r="CF17" s="62">
        <v>16</v>
      </c>
      <c r="CG17" s="61" t="s">
        <v>174</v>
      </c>
      <c r="CH17" s="61" t="s">
        <v>357</v>
      </c>
      <c r="CI17" s="67">
        <v>138.88888888888869</v>
      </c>
      <c r="CK17" s="62">
        <v>16</v>
      </c>
      <c r="CL17" s="61" t="s">
        <v>174</v>
      </c>
      <c r="CM17" s="61" t="s">
        <v>381</v>
      </c>
      <c r="CN17" s="67">
        <v>138.88888888888869</v>
      </c>
      <c r="CP17" s="62">
        <v>16</v>
      </c>
      <c r="CQ17" s="61" t="s">
        <v>174</v>
      </c>
      <c r="CR17" s="61" t="s">
        <v>381</v>
      </c>
      <c r="CS17" s="67">
        <v>138.88888888888869</v>
      </c>
      <c r="CU17" s="62">
        <v>16</v>
      </c>
      <c r="CV17" s="61" t="s">
        <v>174</v>
      </c>
      <c r="CW17" s="61" t="s">
        <v>355</v>
      </c>
      <c r="CX17" s="67">
        <v>156.25</v>
      </c>
      <c r="CZ17" s="62">
        <v>16</v>
      </c>
      <c r="DA17" s="61" t="s">
        <v>174</v>
      </c>
      <c r="DB17" s="61" t="s">
        <v>355</v>
      </c>
      <c r="DC17" s="67">
        <v>156.25</v>
      </c>
      <c r="DE17" s="62">
        <v>16</v>
      </c>
      <c r="DF17" s="61" t="s">
        <v>174</v>
      </c>
      <c r="DG17" s="61" t="s">
        <v>355</v>
      </c>
      <c r="DH17" s="67">
        <v>156.25</v>
      </c>
      <c r="DJ17" s="62">
        <v>16</v>
      </c>
      <c r="DK17" s="61" t="s">
        <v>174</v>
      </c>
      <c r="DL17" s="61" t="s">
        <v>355</v>
      </c>
      <c r="DM17" s="67">
        <v>156.25</v>
      </c>
      <c r="DO17" s="62">
        <v>16</v>
      </c>
      <c r="DP17" s="61" t="s">
        <v>205</v>
      </c>
      <c r="DQ17" s="61" t="s">
        <v>357</v>
      </c>
      <c r="DR17" s="67">
        <v>178.8925683766885</v>
      </c>
    </row>
    <row r="18" spans="1:122" ht="15" thickBot="1">
      <c r="S18" s="62">
        <v>17</v>
      </c>
      <c r="T18" s="61" t="s">
        <v>174</v>
      </c>
      <c r="U18" s="61" t="s">
        <v>368</v>
      </c>
      <c r="V18" s="67">
        <v>73.529411764705856</v>
      </c>
      <c r="X18" s="62">
        <v>17</v>
      </c>
      <c r="Y18" s="61" t="s">
        <v>174</v>
      </c>
      <c r="Z18" s="61" t="s">
        <v>368</v>
      </c>
      <c r="AA18" s="67">
        <v>78.125</v>
      </c>
      <c r="AC18" s="62">
        <v>17</v>
      </c>
      <c r="AD18" s="61" t="s">
        <v>174</v>
      </c>
      <c r="AE18" s="61" t="s">
        <v>374</v>
      </c>
      <c r="AF18" s="67">
        <v>83.333333333333258</v>
      </c>
      <c r="AH18" s="62">
        <v>17</v>
      </c>
      <c r="AI18" s="61" t="s">
        <v>174</v>
      </c>
      <c r="AJ18" s="61" t="s">
        <v>374</v>
      </c>
      <c r="AK18" s="67">
        <v>89.285714285714221</v>
      </c>
      <c r="AM18" s="62">
        <v>17</v>
      </c>
      <c r="AN18" s="61" t="s">
        <v>174</v>
      </c>
      <c r="AO18" s="61" t="s">
        <v>374</v>
      </c>
      <c r="AP18" s="67">
        <v>96.153846153846189</v>
      </c>
      <c r="AR18" s="62">
        <v>17</v>
      </c>
      <c r="AS18" s="61" t="s">
        <v>174</v>
      </c>
      <c r="AT18" s="61" t="s">
        <v>374</v>
      </c>
      <c r="AU18" s="67">
        <v>96.153846153846189</v>
      </c>
      <c r="AW18" s="62">
        <v>17</v>
      </c>
      <c r="AX18" s="61" t="s">
        <v>174</v>
      </c>
      <c r="AY18" s="61" t="s">
        <v>374</v>
      </c>
      <c r="AZ18" s="67">
        <v>104.16666666666674</v>
      </c>
      <c r="BB18" s="62">
        <v>17</v>
      </c>
      <c r="BC18" s="61" t="s">
        <v>174</v>
      </c>
      <c r="BD18" s="61" t="s">
        <v>374</v>
      </c>
      <c r="BE18" s="67">
        <v>104.16666666666674</v>
      </c>
      <c r="BG18" s="62">
        <v>17</v>
      </c>
      <c r="BH18" s="61" t="s">
        <v>174</v>
      </c>
      <c r="BI18" s="61" t="s">
        <v>374</v>
      </c>
      <c r="BJ18" s="67">
        <v>113.63636363636374</v>
      </c>
      <c r="BL18" s="62">
        <v>17</v>
      </c>
      <c r="BM18" s="61" t="s">
        <v>174</v>
      </c>
      <c r="BN18" s="61" t="s">
        <v>374</v>
      </c>
      <c r="BO18" s="67">
        <v>113.63636363636374</v>
      </c>
      <c r="BQ18" s="62">
        <v>17</v>
      </c>
      <c r="BR18" s="61" t="s">
        <v>174</v>
      </c>
      <c r="BS18" s="61" t="s">
        <v>368</v>
      </c>
      <c r="BT18" s="67">
        <v>125</v>
      </c>
      <c r="BV18" s="62">
        <v>17</v>
      </c>
      <c r="BW18" s="61" t="s">
        <v>174</v>
      </c>
      <c r="BX18" s="61" t="s">
        <v>368</v>
      </c>
      <c r="BY18" s="67">
        <v>125</v>
      </c>
      <c r="CA18" s="62">
        <v>17</v>
      </c>
      <c r="CB18" s="61" t="s">
        <v>174</v>
      </c>
      <c r="CC18" s="61" t="s">
        <v>368</v>
      </c>
      <c r="CD18" s="67">
        <v>125</v>
      </c>
      <c r="CF18" s="62">
        <v>17</v>
      </c>
      <c r="CG18" s="61" t="s">
        <v>174</v>
      </c>
      <c r="CH18" s="61" t="s">
        <v>365</v>
      </c>
      <c r="CI18" s="67">
        <v>138.88888888888869</v>
      </c>
      <c r="CK18" s="62">
        <v>17</v>
      </c>
      <c r="CL18" s="61" t="s">
        <v>174</v>
      </c>
      <c r="CM18" s="61" t="s">
        <v>362</v>
      </c>
      <c r="CN18" s="67">
        <v>138.88888888888869</v>
      </c>
      <c r="CP18" s="62">
        <v>17</v>
      </c>
      <c r="CQ18" s="61" t="s">
        <v>174</v>
      </c>
      <c r="CR18" s="61" t="s">
        <v>378</v>
      </c>
      <c r="CS18" s="67">
        <v>138.88888888888869</v>
      </c>
      <c r="CU18" s="62">
        <v>17</v>
      </c>
      <c r="CV18" s="61" t="s">
        <v>205</v>
      </c>
      <c r="CW18" s="61" t="s">
        <v>374</v>
      </c>
      <c r="CX18" s="67">
        <v>156.53099732960243</v>
      </c>
      <c r="CZ18" s="62">
        <v>17</v>
      </c>
      <c r="DA18" s="61" t="s">
        <v>205</v>
      </c>
      <c r="DB18" s="61" t="s">
        <v>374</v>
      </c>
      <c r="DC18" s="67">
        <v>156.53099732960243</v>
      </c>
      <c r="DE18" s="62">
        <v>17</v>
      </c>
      <c r="DF18" s="61" t="s">
        <v>205</v>
      </c>
      <c r="DG18" s="61" t="s">
        <v>374</v>
      </c>
      <c r="DH18" s="67">
        <v>156.53099732960243</v>
      </c>
      <c r="DJ18" s="62">
        <v>17</v>
      </c>
      <c r="DK18" s="61" t="s">
        <v>205</v>
      </c>
      <c r="DL18" s="61" t="s">
        <v>374</v>
      </c>
      <c r="DM18" s="67">
        <v>156.53099732960243</v>
      </c>
      <c r="DO18" s="62">
        <v>17</v>
      </c>
      <c r="DP18" s="61" t="s">
        <v>205</v>
      </c>
      <c r="DQ18" s="61" t="s">
        <v>377</v>
      </c>
      <c r="DR18" s="67">
        <v>178.89256837668853</v>
      </c>
    </row>
    <row r="19" spans="1:122" ht="15" thickBot="1">
      <c r="B19" s="286" t="s">
        <v>325</v>
      </c>
      <c r="C19" s="287"/>
      <c r="D19" s="287"/>
      <c r="E19" s="287"/>
      <c r="F19" s="287"/>
      <c r="G19" s="287"/>
      <c r="H19" s="287"/>
      <c r="I19" s="288"/>
      <c r="J19" s="60" t="s">
        <v>335</v>
      </c>
      <c r="K19" s="60" t="s">
        <v>189</v>
      </c>
      <c r="S19" s="62">
        <v>18</v>
      </c>
      <c r="T19" s="61" t="s">
        <v>174</v>
      </c>
      <c r="U19" s="61" t="s">
        <v>368</v>
      </c>
      <c r="V19" s="67">
        <v>73.529411764705856</v>
      </c>
      <c r="X19" s="62">
        <v>18</v>
      </c>
      <c r="Y19" s="61" t="s">
        <v>174</v>
      </c>
      <c r="Z19" s="61" t="s">
        <v>374</v>
      </c>
      <c r="AA19" s="67">
        <v>78.125</v>
      </c>
      <c r="AC19" s="62">
        <v>18</v>
      </c>
      <c r="AD19" s="61" t="s">
        <v>174</v>
      </c>
      <c r="AE19" s="61" t="s">
        <v>374</v>
      </c>
      <c r="AF19" s="67">
        <v>83.333333333333485</v>
      </c>
      <c r="AH19" s="62">
        <v>18</v>
      </c>
      <c r="AI19" s="61" t="s">
        <v>174</v>
      </c>
      <c r="AJ19" s="61" t="s">
        <v>374</v>
      </c>
      <c r="AK19" s="67">
        <v>89.285714285714448</v>
      </c>
      <c r="AM19" s="62">
        <v>18</v>
      </c>
      <c r="AN19" s="61" t="s">
        <v>174</v>
      </c>
      <c r="AO19" s="61" t="s">
        <v>374</v>
      </c>
      <c r="AP19" s="67">
        <v>96.153846153846189</v>
      </c>
      <c r="AR19" s="62">
        <v>18</v>
      </c>
      <c r="AS19" s="61" t="s">
        <v>174</v>
      </c>
      <c r="AT19" s="61" t="s">
        <v>374</v>
      </c>
      <c r="AU19" s="67">
        <v>96.153846153846189</v>
      </c>
      <c r="AW19" s="62">
        <v>18</v>
      </c>
      <c r="AX19" s="61" t="s">
        <v>174</v>
      </c>
      <c r="AY19" s="61" t="s">
        <v>374</v>
      </c>
      <c r="AZ19" s="67">
        <v>104.16666666666652</v>
      </c>
      <c r="BB19" s="62">
        <v>18</v>
      </c>
      <c r="BC19" s="61" t="s">
        <v>174</v>
      </c>
      <c r="BD19" s="61" t="s">
        <v>374</v>
      </c>
      <c r="BE19" s="67">
        <v>104.16666666666652</v>
      </c>
      <c r="BG19" s="62">
        <v>18</v>
      </c>
      <c r="BH19" s="61" t="s">
        <v>174</v>
      </c>
      <c r="BI19" s="61" t="s">
        <v>374</v>
      </c>
      <c r="BJ19" s="67">
        <v>113.63636363636351</v>
      </c>
      <c r="BL19" s="62">
        <v>18</v>
      </c>
      <c r="BM19" s="61" t="s">
        <v>174</v>
      </c>
      <c r="BN19" s="61" t="s">
        <v>374</v>
      </c>
      <c r="BO19" s="67">
        <v>113.63636363636351</v>
      </c>
      <c r="BQ19" s="62">
        <v>18</v>
      </c>
      <c r="BR19" s="61" t="s">
        <v>174</v>
      </c>
      <c r="BS19" s="61" t="s">
        <v>382</v>
      </c>
      <c r="BT19" s="67">
        <v>125</v>
      </c>
      <c r="BV19" s="62">
        <v>18</v>
      </c>
      <c r="BW19" s="61" t="s">
        <v>174</v>
      </c>
      <c r="BX19" s="61" t="s">
        <v>375</v>
      </c>
      <c r="BY19" s="67">
        <v>125</v>
      </c>
      <c r="CA19" s="62">
        <v>18</v>
      </c>
      <c r="CB19" s="61" t="s">
        <v>174</v>
      </c>
      <c r="CC19" s="61" t="s">
        <v>375</v>
      </c>
      <c r="CD19" s="67">
        <v>125</v>
      </c>
      <c r="CF19" s="62">
        <v>18</v>
      </c>
      <c r="CG19" s="61" t="s">
        <v>174</v>
      </c>
      <c r="CH19" s="61" t="s">
        <v>355</v>
      </c>
      <c r="CI19" s="67">
        <v>138.88888888888914</v>
      </c>
      <c r="CK19" s="62">
        <v>18</v>
      </c>
      <c r="CL19" s="61" t="s">
        <v>174</v>
      </c>
      <c r="CM19" s="61" t="s">
        <v>355</v>
      </c>
      <c r="CN19" s="67">
        <v>138.88888888888914</v>
      </c>
      <c r="CP19" s="62">
        <v>18</v>
      </c>
      <c r="CQ19" s="61" t="s">
        <v>174</v>
      </c>
      <c r="CR19" s="61" t="s">
        <v>355</v>
      </c>
      <c r="CS19" s="67">
        <v>138.88888888888914</v>
      </c>
      <c r="CU19" s="62">
        <v>18</v>
      </c>
      <c r="CV19" s="61" t="s">
        <v>205</v>
      </c>
      <c r="CW19" s="61" t="s">
        <v>374</v>
      </c>
      <c r="CX19" s="67">
        <v>156.53099732960243</v>
      </c>
      <c r="CZ19" s="62">
        <v>18</v>
      </c>
      <c r="DA19" s="61" t="s">
        <v>205</v>
      </c>
      <c r="DB19" s="61" t="s">
        <v>368</v>
      </c>
      <c r="DC19" s="67">
        <v>156.53099732960243</v>
      </c>
      <c r="DE19" s="62">
        <v>18</v>
      </c>
      <c r="DF19" s="61" t="s">
        <v>205</v>
      </c>
      <c r="DG19" s="61" t="s">
        <v>368</v>
      </c>
      <c r="DH19" s="67">
        <v>156.53099732960243</v>
      </c>
      <c r="DJ19" s="62">
        <v>18</v>
      </c>
      <c r="DK19" s="61" t="s">
        <v>205</v>
      </c>
      <c r="DL19" s="61" t="s">
        <v>368</v>
      </c>
      <c r="DM19" s="67">
        <v>156.53099732960243</v>
      </c>
      <c r="DO19" s="62">
        <v>18</v>
      </c>
      <c r="DP19" s="61" t="s">
        <v>205</v>
      </c>
      <c r="DQ19" s="61" t="s">
        <v>363</v>
      </c>
      <c r="DR19" s="67">
        <v>178.89256837668847</v>
      </c>
    </row>
    <row r="20" spans="1:122" ht="19.5" thickBot="1">
      <c r="B20" s="239" t="s">
        <v>336</v>
      </c>
      <c r="C20" s="240" t="s">
        <v>337</v>
      </c>
      <c r="D20" s="240" t="s">
        <v>338</v>
      </c>
      <c r="E20" s="240" t="s">
        <v>343</v>
      </c>
      <c r="F20" s="240" t="s">
        <v>317</v>
      </c>
      <c r="G20" s="240" t="s">
        <v>316</v>
      </c>
      <c r="H20" s="240" t="s">
        <v>342</v>
      </c>
      <c r="I20" s="241" t="s">
        <v>281</v>
      </c>
      <c r="J20" s="60" t="s">
        <v>334</v>
      </c>
      <c r="S20" s="62">
        <v>19</v>
      </c>
      <c r="T20" s="61" t="s">
        <v>174</v>
      </c>
      <c r="U20" s="61" t="s">
        <v>374</v>
      </c>
      <c r="V20" s="67">
        <v>73.529411764705856</v>
      </c>
      <c r="X20" s="62">
        <v>19</v>
      </c>
      <c r="Y20" s="61" t="s">
        <v>174</v>
      </c>
      <c r="Z20" s="61" t="s">
        <v>374</v>
      </c>
      <c r="AA20" s="67">
        <v>78.125</v>
      </c>
      <c r="AC20" s="62">
        <v>19</v>
      </c>
      <c r="AD20" s="61" t="s">
        <v>174</v>
      </c>
      <c r="AE20" s="61" t="s">
        <v>374</v>
      </c>
      <c r="AF20" s="67">
        <v>83.333333333333258</v>
      </c>
      <c r="AH20" s="62">
        <v>19</v>
      </c>
      <c r="AI20" s="61" t="s">
        <v>174</v>
      </c>
      <c r="AJ20" s="61" t="s">
        <v>374</v>
      </c>
      <c r="AK20" s="67">
        <v>89.285714285714221</v>
      </c>
      <c r="AM20" s="62">
        <v>19</v>
      </c>
      <c r="AN20" s="61" t="s">
        <v>174</v>
      </c>
      <c r="AO20" s="61" t="s">
        <v>374</v>
      </c>
      <c r="AP20" s="67">
        <v>96.153846153846189</v>
      </c>
      <c r="AR20" s="62">
        <v>19</v>
      </c>
      <c r="AS20" s="61" t="s">
        <v>174</v>
      </c>
      <c r="AT20" s="61" t="s">
        <v>374</v>
      </c>
      <c r="AU20" s="67">
        <v>96.153846153846189</v>
      </c>
      <c r="AW20" s="62">
        <v>19</v>
      </c>
      <c r="AX20" s="61" t="s">
        <v>174</v>
      </c>
      <c r="AY20" s="61" t="s">
        <v>374</v>
      </c>
      <c r="AZ20" s="67">
        <v>104.16666666666674</v>
      </c>
      <c r="BB20" s="62">
        <v>19</v>
      </c>
      <c r="BC20" s="61" t="s">
        <v>174</v>
      </c>
      <c r="BD20" s="61" t="s">
        <v>374</v>
      </c>
      <c r="BE20" s="67">
        <v>104.16666666666674</v>
      </c>
      <c r="BG20" s="62">
        <v>19</v>
      </c>
      <c r="BH20" s="61" t="s">
        <v>174</v>
      </c>
      <c r="BI20" s="61" t="s">
        <v>379</v>
      </c>
      <c r="BJ20" s="67">
        <v>113.63636363636351</v>
      </c>
      <c r="BL20" s="62">
        <v>19</v>
      </c>
      <c r="BM20" s="61" t="s">
        <v>174</v>
      </c>
      <c r="BN20" s="61" t="s">
        <v>379</v>
      </c>
      <c r="BO20" s="67">
        <v>113.63636363636351</v>
      </c>
      <c r="BQ20" s="62">
        <v>19</v>
      </c>
      <c r="BR20" s="61" t="s">
        <v>174</v>
      </c>
      <c r="BS20" s="61" t="s">
        <v>366</v>
      </c>
      <c r="BT20" s="67">
        <v>125</v>
      </c>
      <c r="BV20" s="62">
        <v>19</v>
      </c>
      <c r="BW20" s="61" t="s">
        <v>174</v>
      </c>
      <c r="BX20" s="61" t="s">
        <v>385</v>
      </c>
      <c r="BY20" s="67">
        <v>125</v>
      </c>
      <c r="CA20" s="62">
        <v>19</v>
      </c>
      <c r="CB20" s="61" t="s">
        <v>174</v>
      </c>
      <c r="CC20" s="61" t="s">
        <v>356</v>
      </c>
      <c r="CD20" s="67">
        <v>125</v>
      </c>
      <c r="CF20" s="62">
        <v>19</v>
      </c>
      <c r="CG20" s="61" t="s">
        <v>205</v>
      </c>
      <c r="CH20" s="61" t="s">
        <v>374</v>
      </c>
      <c r="CI20" s="67">
        <v>139.13866429297994</v>
      </c>
      <c r="CK20" s="62">
        <v>19</v>
      </c>
      <c r="CL20" s="61" t="s">
        <v>205</v>
      </c>
      <c r="CM20" s="61" t="s">
        <v>374</v>
      </c>
      <c r="CN20" s="67">
        <v>139.13866429297994</v>
      </c>
      <c r="CP20" s="62">
        <v>19</v>
      </c>
      <c r="CQ20" s="61" t="s">
        <v>205</v>
      </c>
      <c r="CR20" s="61" t="s">
        <v>374</v>
      </c>
      <c r="CS20" s="67">
        <v>139.13866429297994</v>
      </c>
      <c r="CU20" s="62">
        <v>19</v>
      </c>
      <c r="CV20" s="61" t="s">
        <v>205</v>
      </c>
      <c r="CW20" s="61" t="s">
        <v>382</v>
      </c>
      <c r="CX20" s="67">
        <v>156.53099732960243</v>
      </c>
      <c r="CZ20" s="62">
        <v>19</v>
      </c>
      <c r="DA20" s="61" t="s">
        <v>205</v>
      </c>
      <c r="DB20" s="61" t="s">
        <v>375</v>
      </c>
      <c r="DC20" s="67">
        <v>156.53099732960243</v>
      </c>
      <c r="DE20" s="62">
        <v>19</v>
      </c>
      <c r="DF20" s="61" t="s">
        <v>205</v>
      </c>
      <c r="DG20" s="61" t="s">
        <v>375</v>
      </c>
      <c r="DH20" s="67">
        <v>156.53099732960243</v>
      </c>
      <c r="DJ20" s="62">
        <v>19</v>
      </c>
      <c r="DK20" s="61" t="s">
        <v>205</v>
      </c>
      <c r="DL20" s="61" t="s">
        <v>375</v>
      </c>
      <c r="DM20" s="67">
        <v>156.53099732960243</v>
      </c>
      <c r="DO20" s="62">
        <v>19</v>
      </c>
      <c r="DP20" s="61" t="s">
        <v>205</v>
      </c>
      <c r="DQ20" s="61" t="s">
        <v>386</v>
      </c>
      <c r="DR20" s="67">
        <v>178.89256837668847</v>
      </c>
    </row>
    <row r="21" spans="1:122">
      <c r="A21" s="260">
        <f>(C21-B21)/($E$4/2)</f>
        <v>6</v>
      </c>
      <c r="B21" s="261">
        <v>0</v>
      </c>
      <c r="C21" s="262">
        <v>75</v>
      </c>
      <c r="D21" s="262">
        <f>B21</f>
        <v>0</v>
      </c>
      <c r="E21" s="270">
        <f t="shared" ref="E21:E41" si="0">EVEN(ROUND($E$4*100/C21,0))</f>
        <v>34</v>
      </c>
      <c r="F21" s="242">
        <f t="shared" ref="F21:F41" si="1">ROUND($E$4*1/E21,3)*100</f>
        <v>73.5</v>
      </c>
      <c r="G21" s="243">
        <f t="shared" ref="G21:G41" si="2">180*ATAN((C21/1000)/(F21/1000))/PI()</f>
        <v>45.578725565607769</v>
      </c>
      <c r="H21" s="243">
        <v>1137.7790480912374</v>
      </c>
      <c r="I21" s="248">
        <v>-1.0258584024826649</v>
      </c>
      <c r="J21" s="60">
        <f>H21/$E$4/1000</f>
        <v>4.5511161923649499E-2</v>
      </c>
      <c r="S21" s="62">
        <v>20</v>
      </c>
      <c r="T21" s="61" t="s">
        <v>174</v>
      </c>
      <c r="U21" s="61" t="s">
        <v>374</v>
      </c>
      <c r="V21" s="67">
        <v>73.529411764705856</v>
      </c>
      <c r="X21" s="62">
        <v>20</v>
      </c>
      <c r="Y21" s="61" t="s">
        <v>174</v>
      </c>
      <c r="Z21" s="61" t="s">
        <v>374</v>
      </c>
      <c r="AA21" s="67">
        <v>78.125</v>
      </c>
      <c r="AC21" s="62">
        <v>20</v>
      </c>
      <c r="AD21" s="61" t="s">
        <v>174</v>
      </c>
      <c r="AE21" s="61" t="s">
        <v>374</v>
      </c>
      <c r="AF21" s="67">
        <v>83.333333333333258</v>
      </c>
      <c r="AH21" s="62">
        <v>20</v>
      </c>
      <c r="AI21" s="61" t="s">
        <v>174</v>
      </c>
      <c r="AJ21" s="61" t="s">
        <v>374</v>
      </c>
      <c r="AK21" s="67">
        <v>89.285714285714221</v>
      </c>
      <c r="AM21" s="62">
        <v>20</v>
      </c>
      <c r="AN21" s="61" t="s">
        <v>174</v>
      </c>
      <c r="AO21" s="61" t="s">
        <v>374</v>
      </c>
      <c r="AP21" s="67">
        <v>96.153846153846189</v>
      </c>
      <c r="AR21" s="62">
        <v>20</v>
      </c>
      <c r="AS21" s="61" t="s">
        <v>174</v>
      </c>
      <c r="AT21" s="61" t="s">
        <v>374</v>
      </c>
      <c r="AU21" s="67">
        <v>96.153846153846189</v>
      </c>
      <c r="AW21" s="62">
        <v>20</v>
      </c>
      <c r="AX21" s="61" t="s">
        <v>174</v>
      </c>
      <c r="AY21" s="61" t="s">
        <v>368</v>
      </c>
      <c r="AZ21" s="67">
        <v>104.16666666666674</v>
      </c>
      <c r="BB21" s="62">
        <v>20</v>
      </c>
      <c r="BC21" s="61" t="s">
        <v>174</v>
      </c>
      <c r="BD21" s="61" t="s">
        <v>368</v>
      </c>
      <c r="BE21" s="67">
        <v>104.16666666666674</v>
      </c>
      <c r="BG21" s="62">
        <v>20</v>
      </c>
      <c r="BH21" s="61" t="s">
        <v>174</v>
      </c>
      <c r="BI21" s="61" t="s">
        <v>375</v>
      </c>
      <c r="BJ21" s="67">
        <v>113.63636363636397</v>
      </c>
      <c r="BL21" s="62">
        <v>20</v>
      </c>
      <c r="BM21" s="61" t="s">
        <v>174</v>
      </c>
      <c r="BN21" s="61" t="s">
        <v>375</v>
      </c>
      <c r="BO21" s="67">
        <v>113.63636363636397</v>
      </c>
      <c r="BQ21" s="62">
        <v>20</v>
      </c>
      <c r="BR21" s="61" t="s">
        <v>174</v>
      </c>
      <c r="BS21" s="61" t="s">
        <v>355</v>
      </c>
      <c r="BT21" s="67">
        <v>125</v>
      </c>
      <c r="BV21" s="62">
        <v>20</v>
      </c>
      <c r="BW21" s="61" t="s">
        <v>174</v>
      </c>
      <c r="BX21" s="61" t="s">
        <v>355</v>
      </c>
      <c r="BY21" s="67">
        <v>125</v>
      </c>
      <c r="CA21" s="62">
        <v>20</v>
      </c>
      <c r="CB21" s="61" t="s">
        <v>174</v>
      </c>
      <c r="CC21" s="61" t="s">
        <v>355</v>
      </c>
      <c r="CD21" s="67">
        <v>125</v>
      </c>
      <c r="CF21" s="62">
        <v>20</v>
      </c>
      <c r="CG21" s="61" t="s">
        <v>205</v>
      </c>
      <c r="CH21" s="61" t="s">
        <v>374</v>
      </c>
      <c r="CI21" s="67">
        <v>139.13866429297994</v>
      </c>
      <c r="CK21" s="62">
        <v>20</v>
      </c>
      <c r="CL21" s="61" t="s">
        <v>205</v>
      </c>
      <c r="CM21" s="61" t="s">
        <v>374</v>
      </c>
      <c r="CN21" s="67">
        <v>139.13866429297994</v>
      </c>
      <c r="CP21" s="62">
        <v>20</v>
      </c>
      <c r="CQ21" s="61" t="s">
        <v>205</v>
      </c>
      <c r="CR21" s="61" t="s">
        <v>374</v>
      </c>
      <c r="CS21" s="67">
        <v>139.13866429297994</v>
      </c>
      <c r="CU21" s="62">
        <v>20</v>
      </c>
      <c r="CV21" s="61" t="s">
        <v>205</v>
      </c>
      <c r="CW21" s="61" t="s">
        <v>376</v>
      </c>
      <c r="CX21" s="67">
        <v>156.53099732960243</v>
      </c>
      <c r="CZ21" s="62">
        <v>20</v>
      </c>
      <c r="DA21" s="61" t="s">
        <v>205</v>
      </c>
      <c r="DB21" s="61" t="s">
        <v>377</v>
      </c>
      <c r="DC21" s="67">
        <v>156.53099732960243</v>
      </c>
      <c r="DE21" s="62">
        <v>20</v>
      </c>
      <c r="DF21" s="61" t="s">
        <v>205</v>
      </c>
      <c r="DG21" s="61" t="s">
        <v>364</v>
      </c>
      <c r="DH21" s="67">
        <v>156.53099732960243</v>
      </c>
      <c r="DJ21" s="62">
        <v>20</v>
      </c>
      <c r="DK21" s="61" t="s">
        <v>205</v>
      </c>
      <c r="DL21" s="61" t="s">
        <v>377</v>
      </c>
      <c r="DM21" s="67">
        <v>156.53099732960243</v>
      </c>
      <c r="DO21" s="62">
        <v>20</v>
      </c>
      <c r="DP21" s="61" t="s">
        <v>205</v>
      </c>
      <c r="DQ21" s="61" t="s">
        <v>359</v>
      </c>
      <c r="DR21" s="67">
        <v>178.89256837668859</v>
      </c>
    </row>
    <row r="22" spans="1:122">
      <c r="A22" s="260">
        <f t="shared" ref="A22:A41" si="3">(C22-B22)/($E$4/2)</f>
        <v>6</v>
      </c>
      <c r="B22" s="263">
        <f>B21+5</f>
        <v>5</v>
      </c>
      <c r="C22" s="264">
        <f>C21+5</f>
        <v>80</v>
      </c>
      <c r="D22" s="265">
        <f>B22</f>
        <v>5</v>
      </c>
      <c r="E22" s="271">
        <f t="shared" si="0"/>
        <v>32</v>
      </c>
      <c r="F22" s="244">
        <f t="shared" si="1"/>
        <v>78.100000000000009</v>
      </c>
      <c r="G22" s="245">
        <f t="shared" si="2"/>
        <v>45.688530934336775</v>
      </c>
      <c r="H22" s="245">
        <v>1014.6976670282507</v>
      </c>
      <c r="I22" s="249">
        <v>-2.4995953509035665E-3</v>
      </c>
      <c r="J22" s="60">
        <f t="shared" ref="J22:J41" si="4">H22/$E$4/1000</f>
        <v>4.0587906681130027E-2</v>
      </c>
      <c r="K22" s="60" t="s">
        <v>190</v>
      </c>
      <c r="S22" s="62">
        <v>21</v>
      </c>
      <c r="T22" s="61" t="s">
        <v>174</v>
      </c>
      <c r="U22" s="61" t="s">
        <v>374</v>
      </c>
      <c r="V22" s="67">
        <v>73.529411764706083</v>
      </c>
      <c r="X22" s="62">
        <v>21</v>
      </c>
      <c r="Y22" s="61" t="s">
        <v>174</v>
      </c>
      <c r="Z22" s="61" t="s">
        <v>374</v>
      </c>
      <c r="AA22" s="67">
        <v>78.125</v>
      </c>
      <c r="AC22" s="62">
        <v>21</v>
      </c>
      <c r="AD22" s="61" t="s">
        <v>174</v>
      </c>
      <c r="AE22" s="61" t="s">
        <v>374</v>
      </c>
      <c r="AF22" s="67">
        <v>83.333333333333485</v>
      </c>
      <c r="AH22" s="62">
        <v>21</v>
      </c>
      <c r="AI22" s="61" t="s">
        <v>174</v>
      </c>
      <c r="AJ22" s="61" t="s">
        <v>374</v>
      </c>
      <c r="AK22" s="67">
        <v>89.285714285714448</v>
      </c>
      <c r="AM22" s="62">
        <v>21</v>
      </c>
      <c r="AN22" s="61" t="s">
        <v>174</v>
      </c>
      <c r="AO22" s="61" t="s">
        <v>374</v>
      </c>
      <c r="AP22" s="67">
        <v>96.153846153845961</v>
      </c>
      <c r="AR22" s="62">
        <v>21</v>
      </c>
      <c r="AS22" s="61" t="s">
        <v>174</v>
      </c>
      <c r="AT22" s="61" t="s">
        <v>374</v>
      </c>
      <c r="AU22" s="67">
        <v>96.153846153845961</v>
      </c>
      <c r="AW22" s="62">
        <v>21</v>
      </c>
      <c r="AX22" s="61" t="s">
        <v>174</v>
      </c>
      <c r="AY22" s="61" t="s">
        <v>388</v>
      </c>
      <c r="AZ22" s="67">
        <v>104.16666666666652</v>
      </c>
      <c r="BB22" s="62">
        <v>21</v>
      </c>
      <c r="BC22" s="61" t="s">
        <v>174</v>
      </c>
      <c r="BD22" s="61" t="s">
        <v>388</v>
      </c>
      <c r="BE22" s="67">
        <v>104.16666666666652</v>
      </c>
      <c r="BG22" s="62">
        <v>21</v>
      </c>
      <c r="BH22" s="61" t="s">
        <v>174</v>
      </c>
      <c r="BI22" s="61" t="s">
        <v>355</v>
      </c>
      <c r="BJ22" s="67">
        <v>113.63636363636351</v>
      </c>
      <c r="BL22" s="62">
        <v>21</v>
      </c>
      <c r="BM22" s="61" t="s">
        <v>174</v>
      </c>
      <c r="BN22" s="61" t="s">
        <v>355</v>
      </c>
      <c r="BO22" s="67">
        <v>113.63636363636351</v>
      </c>
      <c r="BQ22" s="62">
        <v>21</v>
      </c>
      <c r="BR22" s="61" t="s">
        <v>205</v>
      </c>
      <c r="BS22" s="61" t="s">
        <v>374</v>
      </c>
      <c r="BT22" s="67">
        <v>125.22479786368194</v>
      </c>
      <c r="BV22" s="62">
        <v>21</v>
      </c>
      <c r="BW22" s="61" t="s">
        <v>205</v>
      </c>
      <c r="BX22" s="61" t="s">
        <v>374</v>
      </c>
      <c r="BY22" s="67">
        <v>125.22479786368194</v>
      </c>
      <c r="CA22" s="62">
        <v>21</v>
      </c>
      <c r="CB22" s="61" t="s">
        <v>205</v>
      </c>
      <c r="CC22" s="61" t="s">
        <v>374</v>
      </c>
      <c r="CD22" s="67">
        <v>125.22479786368194</v>
      </c>
      <c r="CF22" s="62">
        <v>21</v>
      </c>
      <c r="CG22" s="61" t="s">
        <v>205</v>
      </c>
      <c r="CH22" s="61" t="s">
        <v>405</v>
      </c>
      <c r="CI22" s="67">
        <v>139.13866429297991</v>
      </c>
      <c r="CK22" s="62">
        <v>21</v>
      </c>
      <c r="CL22" s="61" t="s">
        <v>205</v>
      </c>
      <c r="CM22" s="61" t="s">
        <v>381</v>
      </c>
      <c r="CN22" s="67">
        <v>139.13866429297991</v>
      </c>
      <c r="CP22" s="62">
        <v>21</v>
      </c>
      <c r="CQ22" s="61" t="s">
        <v>205</v>
      </c>
      <c r="CR22" s="61" t="s">
        <v>381</v>
      </c>
      <c r="CS22" s="67">
        <v>139.13866429297991</v>
      </c>
      <c r="CU22" s="62">
        <v>21</v>
      </c>
      <c r="CV22" s="61" t="s">
        <v>205</v>
      </c>
      <c r="CW22" s="61" t="s">
        <v>412</v>
      </c>
      <c r="CX22" s="67">
        <v>156.53099732960243</v>
      </c>
      <c r="CZ22" s="62">
        <v>21</v>
      </c>
      <c r="DA22" s="61" t="s">
        <v>205</v>
      </c>
      <c r="DB22" s="61" t="s">
        <v>419</v>
      </c>
      <c r="DC22" s="67">
        <v>156.53099732960243</v>
      </c>
      <c r="DE22" s="62">
        <v>21</v>
      </c>
      <c r="DF22" s="61" t="s">
        <v>205</v>
      </c>
      <c r="DG22" s="61" t="s">
        <v>378</v>
      </c>
      <c r="DH22" s="67">
        <v>156.53099732960243</v>
      </c>
      <c r="DJ22" s="62">
        <v>21</v>
      </c>
      <c r="DK22" s="61" t="s">
        <v>205</v>
      </c>
      <c r="DL22" s="61" t="s">
        <v>378</v>
      </c>
      <c r="DM22" s="67">
        <v>156.53099732960243</v>
      </c>
      <c r="DO22" s="62">
        <v>21</v>
      </c>
      <c r="DP22" s="61" t="s">
        <v>205</v>
      </c>
      <c r="DQ22" s="61" t="s">
        <v>423</v>
      </c>
      <c r="DR22" s="67">
        <v>178.89256837668836</v>
      </c>
    </row>
    <row r="23" spans="1:122">
      <c r="A23" s="260">
        <f t="shared" si="3"/>
        <v>6</v>
      </c>
      <c r="B23" s="263">
        <f t="shared" ref="B23:B41" si="5">B22+5</f>
        <v>10</v>
      </c>
      <c r="C23" s="264">
        <f t="shared" ref="C23:C41" si="6">C22+5</f>
        <v>85</v>
      </c>
      <c r="D23" s="264">
        <f t="shared" ref="D23:D41" si="7">B23</f>
        <v>10</v>
      </c>
      <c r="E23" s="271">
        <f t="shared" si="0"/>
        <v>30</v>
      </c>
      <c r="F23" s="244">
        <f t="shared" si="1"/>
        <v>83.3</v>
      </c>
      <c r="G23" s="245">
        <f t="shared" si="2"/>
        <v>45.578725565607769</v>
      </c>
      <c r="H23" s="245">
        <v>971.07069040879605</v>
      </c>
      <c r="I23" s="249">
        <v>-5.5603067725721461E-3</v>
      </c>
      <c r="J23" s="60">
        <f t="shared" si="4"/>
        <v>3.8842827616351841E-2</v>
      </c>
      <c r="S23" s="62">
        <v>22</v>
      </c>
      <c r="T23" s="61" t="s">
        <v>174</v>
      </c>
      <c r="U23" s="61" t="s">
        <v>374</v>
      </c>
      <c r="V23" s="67">
        <v>73.529411764705856</v>
      </c>
      <c r="X23" s="62">
        <v>22</v>
      </c>
      <c r="Y23" s="61" t="s">
        <v>174</v>
      </c>
      <c r="Z23" s="61" t="s">
        <v>374</v>
      </c>
      <c r="AA23" s="67">
        <v>78.125</v>
      </c>
      <c r="AC23" s="62">
        <v>22</v>
      </c>
      <c r="AD23" s="61" t="s">
        <v>174</v>
      </c>
      <c r="AE23" s="61" t="s">
        <v>374</v>
      </c>
      <c r="AF23" s="67">
        <v>83.333333333333258</v>
      </c>
      <c r="AH23" s="62">
        <v>22</v>
      </c>
      <c r="AI23" s="61" t="s">
        <v>174</v>
      </c>
      <c r="AJ23" s="61" t="s">
        <v>374</v>
      </c>
      <c r="AK23" s="67">
        <v>89.285714285714221</v>
      </c>
      <c r="AM23" s="62">
        <v>22</v>
      </c>
      <c r="AN23" s="61" t="s">
        <v>174</v>
      </c>
      <c r="AO23" s="61" t="s">
        <v>372</v>
      </c>
      <c r="AP23" s="67">
        <v>96.153846153846416</v>
      </c>
      <c r="AR23" s="62">
        <v>22</v>
      </c>
      <c r="AS23" s="61" t="s">
        <v>174</v>
      </c>
      <c r="AT23" s="61" t="s">
        <v>372</v>
      </c>
      <c r="AU23" s="67">
        <v>96.153846153846416</v>
      </c>
      <c r="AW23" s="62">
        <v>22</v>
      </c>
      <c r="AX23" s="61" t="s">
        <v>174</v>
      </c>
      <c r="AY23" s="61" t="s">
        <v>378</v>
      </c>
      <c r="AZ23" s="67">
        <v>104.16666666666697</v>
      </c>
      <c r="BB23" s="62">
        <v>22</v>
      </c>
      <c r="BC23" s="61" t="s">
        <v>174</v>
      </c>
      <c r="BD23" s="61" t="s">
        <v>376</v>
      </c>
      <c r="BE23" s="67">
        <v>104.16666666666697</v>
      </c>
      <c r="BG23" s="62">
        <v>22</v>
      </c>
      <c r="BH23" s="61" t="s">
        <v>174</v>
      </c>
      <c r="BI23" s="61" t="s">
        <v>355</v>
      </c>
      <c r="BJ23" s="67">
        <v>113.63636363636351</v>
      </c>
      <c r="BL23" s="62">
        <v>22</v>
      </c>
      <c r="BM23" s="61" t="s">
        <v>174</v>
      </c>
      <c r="BN23" s="61" t="s">
        <v>355</v>
      </c>
      <c r="BO23" s="67">
        <v>113.63636363636351</v>
      </c>
      <c r="BQ23" s="62">
        <v>22</v>
      </c>
      <c r="BR23" s="61" t="s">
        <v>205</v>
      </c>
      <c r="BS23" s="61" t="s">
        <v>374</v>
      </c>
      <c r="BT23" s="67">
        <v>125.22479786368194</v>
      </c>
      <c r="BV23" s="62">
        <v>22</v>
      </c>
      <c r="BW23" s="61" t="s">
        <v>205</v>
      </c>
      <c r="BX23" s="61" t="s">
        <v>374</v>
      </c>
      <c r="BY23" s="67">
        <v>125.22479786368194</v>
      </c>
      <c r="CA23" s="62">
        <v>22</v>
      </c>
      <c r="CB23" s="61" t="s">
        <v>205</v>
      </c>
      <c r="CC23" s="61" t="s">
        <v>374</v>
      </c>
      <c r="CD23" s="67">
        <v>125.22479786368194</v>
      </c>
      <c r="CF23" s="62">
        <v>22</v>
      </c>
      <c r="CG23" s="61" t="s">
        <v>205</v>
      </c>
      <c r="CH23" s="61" t="s">
        <v>377</v>
      </c>
      <c r="CI23" s="67">
        <v>139.13866429297997</v>
      </c>
      <c r="CK23" s="62">
        <v>22</v>
      </c>
      <c r="CL23" s="61" t="s">
        <v>205</v>
      </c>
      <c r="CM23" s="61" t="s">
        <v>377</v>
      </c>
      <c r="CN23" s="67">
        <v>139.13866429297997</v>
      </c>
      <c r="CP23" s="62">
        <v>22</v>
      </c>
      <c r="CQ23" s="61" t="s">
        <v>205</v>
      </c>
      <c r="CR23" s="61" t="s">
        <v>387</v>
      </c>
      <c r="CS23" s="67">
        <v>139.13866429297997</v>
      </c>
      <c r="CU23" s="62">
        <v>22</v>
      </c>
      <c r="CV23" s="61" t="s">
        <v>205</v>
      </c>
      <c r="CW23" s="61" t="s">
        <v>386</v>
      </c>
      <c r="CX23" s="67">
        <v>156.53099732960243</v>
      </c>
      <c r="CZ23" s="62">
        <v>22</v>
      </c>
      <c r="DA23" s="61" t="s">
        <v>205</v>
      </c>
      <c r="DB23" s="61" t="s">
        <v>370</v>
      </c>
      <c r="DC23" s="67">
        <v>156.53099732960243</v>
      </c>
      <c r="DE23" s="62">
        <v>22</v>
      </c>
      <c r="DF23" s="61" t="s">
        <v>205</v>
      </c>
      <c r="DG23" s="61" t="s">
        <v>367</v>
      </c>
      <c r="DH23" s="67">
        <v>156.53099732960243</v>
      </c>
      <c r="DJ23" s="62">
        <v>22</v>
      </c>
      <c r="DK23" s="61" t="s">
        <v>205</v>
      </c>
      <c r="DL23" s="61" t="s">
        <v>367</v>
      </c>
      <c r="DM23" s="67">
        <v>156.53099732960243</v>
      </c>
      <c r="DO23" s="62">
        <v>22</v>
      </c>
      <c r="DP23" s="61" t="s">
        <v>205</v>
      </c>
      <c r="DQ23" s="61" t="s">
        <v>423</v>
      </c>
      <c r="DR23" s="67">
        <v>178.89256837668859</v>
      </c>
    </row>
    <row r="24" spans="1:122">
      <c r="A24" s="260">
        <f t="shared" si="3"/>
        <v>6</v>
      </c>
      <c r="B24" s="263">
        <f t="shared" si="5"/>
        <v>15</v>
      </c>
      <c r="C24" s="264">
        <f t="shared" si="6"/>
        <v>90</v>
      </c>
      <c r="D24" s="264">
        <f t="shared" si="7"/>
        <v>15</v>
      </c>
      <c r="E24" s="271">
        <f t="shared" si="0"/>
        <v>28</v>
      </c>
      <c r="F24" s="244">
        <f t="shared" si="1"/>
        <v>89.3</v>
      </c>
      <c r="G24" s="245">
        <f t="shared" si="2"/>
        <v>45.223685677041388</v>
      </c>
      <c r="H24" s="245">
        <v>901.02384076253463</v>
      </c>
      <c r="I24" s="249">
        <v>-9.1601175274128518E-3</v>
      </c>
      <c r="J24" s="60">
        <f t="shared" si="4"/>
        <v>3.6040953630501388E-2</v>
      </c>
      <c r="S24" s="62">
        <v>23</v>
      </c>
      <c r="T24" s="61" t="s">
        <v>174</v>
      </c>
      <c r="U24" s="61" t="s">
        <v>374</v>
      </c>
      <c r="V24" s="67">
        <v>73.529411764705856</v>
      </c>
      <c r="X24" s="62">
        <v>23</v>
      </c>
      <c r="Y24" s="61" t="s">
        <v>174</v>
      </c>
      <c r="Z24" s="61" t="s">
        <v>374</v>
      </c>
      <c r="AA24" s="67">
        <v>78.125</v>
      </c>
      <c r="AC24" s="62">
        <v>23</v>
      </c>
      <c r="AD24" s="61" t="s">
        <v>174</v>
      </c>
      <c r="AE24" s="61" t="s">
        <v>374</v>
      </c>
      <c r="AF24" s="67">
        <v>83.333333333333258</v>
      </c>
      <c r="AH24" s="62">
        <v>23</v>
      </c>
      <c r="AI24" s="61" t="s">
        <v>174</v>
      </c>
      <c r="AJ24" s="61" t="s">
        <v>374</v>
      </c>
      <c r="AK24" s="67">
        <v>89.285714285714448</v>
      </c>
      <c r="AM24" s="62">
        <v>23</v>
      </c>
      <c r="AN24" s="61" t="s">
        <v>174</v>
      </c>
      <c r="AO24" s="61" t="s">
        <v>381</v>
      </c>
      <c r="AP24" s="67">
        <v>96.153846153846189</v>
      </c>
      <c r="AR24" s="62">
        <v>23</v>
      </c>
      <c r="AS24" s="61" t="s">
        <v>174</v>
      </c>
      <c r="AT24" s="61" t="s">
        <v>381</v>
      </c>
      <c r="AU24" s="67">
        <v>96.153846153846189</v>
      </c>
      <c r="AW24" s="62">
        <v>23</v>
      </c>
      <c r="AX24" s="61" t="s">
        <v>174</v>
      </c>
      <c r="AY24" s="61" t="s">
        <v>355</v>
      </c>
      <c r="AZ24" s="67">
        <v>104.16666666666652</v>
      </c>
      <c r="BB24" s="62">
        <v>23</v>
      </c>
      <c r="BC24" s="61" t="s">
        <v>174</v>
      </c>
      <c r="BD24" s="61" t="s">
        <v>355</v>
      </c>
      <c r="BE24" s="67">
        <v>104.16666666666652</v>
      </c>
      <c r="BG24" s="62">
        <v>23</v>
      </c>
      <c r="BH24" s="61" t="s">
        <v>205</v>
      </c>
      <c r="BI24" s="61" t="s">
        <v>374</v>
      </c>
      <c r="BJ24" s="67">
        <v>113.84072533061995</v>
      </c>
      <c r="BL24" s="62">
        <v>23</v>
      </c>
      <c r="BM24" s="61" t="s">
        <v>205</v>
      </c>
      <c r="BN24" s="61" t="s">
        <v>374</v>
      </c>
      <c r="BO24" s="67">
        <v>113.84072533061995</v>
      </c>
      <c r="BQ24" s="62">
        <v>23</v>
      </c>
      <c r="BR24" s="61" t="s">
        <v>205</v>
      </c>
      <c r="BS24" s="61" t="s">
        <v>405</v>
      </c>
      <c r="BT24" s="67">
        <v>125.22479786368194</v>
      </c>
      <c r="BV24" s="62">
        <v>23</v>
      </c>
      <c r="BW24" s="61" t="s">
        <v>205</v>
      </c>
      <c r="BX24" s="61" t="s">
        <v>381</v>
      </c>
      <c r="BY24" s="67">
        <v>125.22479786368194</v>
      </c>
      <c r="CA24" s="62">
        <v>23</v>
      </c>
      <c r="CB24" s="61" t="s">
        <v>205</v>
      </c>
      <c r="CC24" s="61" t="s">
        <v>381</v>
      </c>
      <c r="CD24" s="67">
        <v>125.22479786368194</v>
      </c>
      <c r="CF24" s="62">
        <v>23</v>
      </c>
      <c r="CG24" s="61" t="s">
        <v>205</v>
      </c>
      <c r="CH24" s="61" t="s">
        <v>362</v>
      </c>
      <c r="CI24" s="67">
        <v>139.13866429297997</v>
      </c>
      <c r="CK24" s="62">
        <v>23</v>
      </c>
      <c r="CL24" s="61" t="s">
        <v>205</v>
      </c>
      <c r="CM24" s="61" t="s">
        <v>362</v>
      </c>
      <c r="CN24" s="67">
        <v>139.13866429297997</v>
      </c>
      <c r="CP24" s="62">
        <v>23</v>
      </c>
      <c r="CQ24" s="61" t="s">
        <v>205</v>
      </c>
      <c r="CR24" s="61" t="s">
        <v>378</v>
      </c>
      <c r="CS24" s="67">
        <v>139.13866429297997</v>
      </c>
      <c r="CU24" s="62">
        <v>23</v>
      </c>
      <c r="CV24" s="61" t="s">
        <v>205</v>
      </c>
      <c r="CW24" s="61" t="s">
        <v>416</v>
      </c>
      <c r="CX24" s="67">
        <v>156.53099732960243</v>
      </c>
      <c r="CZ24" s="62">
        <v>23</v>
      </c>
      <c r="DA24" s="61" t="s">
        <v>205</v>
      </c>
      <c r="DB24" s="61" t="s">
        <v>412</v>
      </c>
      <c r="DC24" s="67">
        <v>156.53099732960243</v>
      </c>
      <c r="DE24" s="62">
        <v>23</v>
      </c>
      <c r="DF24" s="61" t="s">
        <v>205</v>
      </c>
      <c r="DG24" s="61" t="s">
        <v>361</v>
      </c>
      <c r="DH24" s="67">
        <v>156.53099732960243</v>
      </c>
      <c r="DJ24" s="62">
        <v>23</v>
      </c>
      <c r="DK24" s="61" t="s">
        <v>205</v>
      </c>
      <c r="DL24" s="61" t="s">
        <v>367</v>
      </c>
      <c r="DM24" s="67">
        <v>156.53099732960243</v>
      </c>
      <c r="DO24" s="62">
        <v>23</v>
      </c>
      <c r="DP24" s="61" t="s">
        <v>205</v>
      </c>
      <c r="DQ24" s="61" t="s">
        <v>359</v>
      </c>
      <c r="DR24" s="67">
        <v>178.89256837668859</v>
      </c>
    </row>
    <row r="25" spans="1:122">
      <c r="A25" s="260">
        <f t="shared" si="3"/>
        <v>6</v>
      </c>
      <c r="B25" s="263">
        <f t="shared" si="5"/>
        <v>20</v>
      </c>
      <c r="C25" s="264">
        <f t="shared" si="6"/>
        <v>95</v>
      </c>
      <c r="D25" s="264">
        <f t="shared" si="7"/>
        <v>20</v>
      </c>
      <c r="E25" s="271">
        <f t="shared" si="0"/>
        <v>26</v>
      </c>
      <c r="F25" s="244">
        <f t="shared" si="1"/>
        <v>96.2</v>
      </c>
      <c r="G25" s="245">
        <f t="shared" si="2"/>
        <v>44.640407778853543</v>
      </c>
      <c r="H25" s="245">
        <v>828.71672991678622</v>
      </c>
      <c r="I25" s="249">
        <v>-1.3632122642482269E-2</v>
      </c>
      <c r="J25" s="60">
        <f t="shared" si="4"/>
        <v>3.3148669196671449E-2</v>
      </c>
      <c r="K25" s="60" t="s">
        <v>204</v>
      </c>
      <c r="O25" s="60" t="s">
        <v>209</v>
      </c>
      <c r="S25" s="62">
        <v>24</v>
      </c>
      <c r="T25" s="61" t="s">
        <v>174</v>
      </c>
      <c r="U25" s="61" t="s">
        <v>374</v>
      </c>
      <c r="V25" s="67">
        <v>73.529411764705856</v>
      </c>
      <c r="X25" s="62">
        <v>24</v>
      </c>
      <c r="Y25" s="61" t="s">
        <v>174</v>
      </c>
      <c r="Z25" s="61" t="s">
        <v>374</v>
      </c>
      <c r="AA25" s="67">
        <v>78.125</v>
      </c>
      <c r="AC25" s="62">
        <v>24</v>
      </c>
      <c r="AD25" s="61" t="s">
        <v>174</v>
      </c>
      <c r="AE25" s="61" t="s">
        <v>374</v>
      </c>
      <c r="AF25" s="67">
        <v>83.333333333333485</v>
      </c>
      <c r="AH25" s="62">
        <v>24</v>
      </c>
      <c r="AI25" s="61" t="s">
        <v>174</v>
      </c>
      <c r="AJ25" s="61" t="s">
        <v>379</v>
      </c>
      <c r="AK25" s="67">
        <v>89.285714285714221</v>
      </c>
      <c r="AM25" s="62">
        <v>24</v>
      </c>
      <c r="AN25" s="61" t="s">
        <v>174</v>
      </c>
      <c r="AO25" s="61" t="s">
        <v>360</v>
      </c>
      <c r="AP25" s="67">
        <v>96.153846153845734</v>
      </c>
      <c r="AR25" s="62">
        <v>24</v>
      </c>
      <c r="AS25" s="61" t="s">
        <v>174</v>
      </c>
      <c r="AT25" s="61" t="s">
        <v>367</v>
      </c>
      <c r="AU25" s="67">
        <v>96.153846153845734</v>
      </c>
      <c r="AW25" s="62">
        <v>24</v>
      </c>
      <c r="AX25" s="61" t="s">
        <v>174</v>
      </c>
      <c r="AY25" s="61" t="s">
        <v>355</v>
      </c>
      <c r="AZ25" s="67">
        <v>104.16666666666652</v>
      </c>
      <c r="BB25" s="62">
        <v>24</v>
      </c>
      <c r="BC25" s="61" t="s">
        <v>174</v>
      </c>
      <c r="BD25" s="61" t="s">
        <v>355</v>
      </c>
      <c r="BE25" s="67">
        <v>104.16666666666652</v>
      </c>
      <c r="BG25" s="62">
        <v>24</v>
      </c>
      <c r="BH25" s="61" t="s">
        <v>205</v>
      </c>
      <c r="BI25" s="61" t="s">
        <v>374</v>
      </c>
      <c r="BJ25" s="67">
        <v>113.84072533061995</v>
      </c>
      <c r="BL25" s="62">
        <v>24</v>
      </c>
      <c r="BM25" s="61" t="s">
        <v>205</v>
      </c>
      <c r="BN25" s="61" t="s">
        <v>374</v>
      </c>
      <c r="BO25" s="67">
        <v>113.84072533061995</v>
      </c>
      <c r="BQ25" s="62">
        <v>24</v>
      </c>
      <c r="BR25" s="61" t="s">
        <v>205</v>
      </c>
      <c r="BS25" s="61" t="s">
        <v>376</v>
      </c>
      <c r="BT25" s="67">
        <v>125.22479786368194</v>
      </c>
      <c r="BV25" s="62">
        <v>24</v>
      </c>
      <c r="BW25" s="61" t="s">
        <v>205</v>
      </c>
      <c r="BX25" s="61" t="s">
        <v>377</v>
      </c>
      <c r="BY25" s="67">
        <v>125.22479786368194</v>
      </c>
      <c r="CA25" s="62">
        <v>24</v>
      </c>
      <c r="CB25" s="61" t="s">
        <v>205</v>
      </c>
      <c r="CC25" s="61" t="s">
        <v>402</v>
      </c>
      <c r="CD25" s="67">
        <v>125.22479786368194</v>
      </c>
      <c r="CF25" s="62">
        <v>24</v>
      </c>
      <c r="CG25" s="61" t="s">
        <v>205</v>
      </c>
      <c r="CH25" s="61" t="s">
        <v>367</v>
      </c>
      <c r="CI25" s="67">
        <v>139.13866429297983</v>
      </c>
      <c r="CK25" s="62">
        <v>24</v>
      </c>
      <c r="CL25" s="61" t="s">
        <v>205</v>
      </c>
      <c r="CM25" s="61" t="s">
        <v>412</v>
      </c>
      <c r="CN25" s="67">
        <v>139.13866429297983</v>
      </c>
      <c r="CP25" s="62">
        <v>24</v>
      </c>
      <c r="CQ25" s="61" t="s">
        <v>205</v>
      </c>
      <c r="CR25" s="61" t="s">
        <v>365</v>
      </c>
      <c r="CS25" s="67">
        <v>139.13866429297983</v>
      </c>
      <c r="CU25" s="62">
        <v>24</v>
      </c>
      <c r="CV25" s="61" t="s">
        <v>205</v>
      </c>
      <c r="CW25" s="61" t="s">
        <v>416</v>
      </c>
      <c r="CX25" s="67">
        <v>156.53099732960243</v>
      </c>
      <c r="CZ25" s="62">
        <v>24</v>
      </c>
      <c r="DA25" s="61" t="s">
        <v>205</v>
      </c>
      <c r="DB25" s="61" t="s">
        <v>412</v>
      </c>
      <c r="DC25" s="67">
        <v>156.53099732960243</v>
      </c>
      <c r="DE25" s="62">
        <v>24</v>
      </c>
      <c r="DF25" s="61" t="s">
        <v>205</v>
      </c>
      <c r="DG25" s="61" t="s">
        <v>361</v>
      </c>
      <c r="DH25" s="67">
        <v>156.53099732960243</v>
      </c>
      <c r="DJ25" s="62">
        <v>24</v>
      </c>
      <c r="DK25" s="61" t="s">
        <v>205</v>
      </c>
      <c r="DL25" s="61" t="s">
        <v>367</v>
      </c>
      <c r="DM25" s="67">
        <v>156.53099732960243</v>
      </c>
      <c r="DO25" s="62">
        <v>24</v>
      </c>
      <c r="DP25" s="61" t="s">
        <v>205</v>
      </c>
      <c r="DQ25" s="61" t="s">
        <v>386</v>
      </c>
      <c r="DR25" s="67">
        <v>178.89256837668836</v>
      </c>
    </row>
    <row r="26" spans="1:122">
      <c r="A26" s="260">
        <f t="shared" si="3"/>
        <v>6</v>
      </c>
      <c r="B26" s="263">
        <f t="shared" si="5"/>
        <v>25</v>
      </c>
      <c r="C26" s="264">
        <f t="shared" si="6"/>
        <v>100</v>
      </c>
      <c r="D26" s="264">
        <f t="shared" si="7"/>
        <v>25</v>
      </c>
      <c r="E26" s="271">
        <f t="shared" si="0"/>
        <v>26</v>
      </c>
      <c r="F26" s="244">
        <f t="shared" si="1"/>
        <v>96.2</v>
      </c>
      <c r="G26" s="245">
        <f t="shared" si="2"/>
        <v>46.109565464505351</v>
      </c>
      <c r="H26" s="245">
        <v>727.9202529060143</v>
      </c>
      <c r="I26" s="249">
        <v>-1.708981929151215E-2</v>
      </c>
      <c r="J26" s="60">
        <f t="shared" si="4"/>
        <v>2.9116810116240573E-2</v>
      </c>
      <c r="S26" s="62">
        <v>25</v>
      </c>
      <c r="T26" s="61" t="s">
        <v>174</v>
      </c>
      <c r="U26" s="61" t="s">
        <v>374</v>
      </c>
      <c r="V26" s="67">
        <v>73.529411764705856</v>
      </c>
      <c r="X26" s="62">
        <v>25</v>
      </c>
      <c r="Y26" s="61" t="s">
        <v>174</v>
      </c>
      <c r="Z26" s="61" t="s">
        <v>374</v>
      </c>
      <c r="AA26" s="67">
        <v>78.125</v>
      </c>
      <c r="AC26" s="62">
        <v>25</v>
      </c>
      <c r="AD26" s="61" t="s">
        <v>174</v>
      </c>
      <c r="AE26" s="61" t="s">
        <v>374</v>
      </c>
      <c r="AF26" s="67">
        <v>83.33333333333303</v>
      </c>
      <c r="AH26" s="62">
        <v>25</v>
      </c>
      <c r="AI26" s="61" t="s">
        <v>174</v>
      </c>
      <c r="AJ26" s="61" t="s">
        <v>375</v>
      </c>
      <c r="AK26" s="67">
        <v>89.285714285714221</v>
      </c>
      <c r="AM26" s="62">
        <v>25</v>
      </c>
      <c r="AN26" s="61" t="s">
        <v>174</v>
      </c>
      <c r="AO26" s="61" t="s">
        <v>355</v>
      </c>
      <c r="AP26" s="67">
        <v>96.153846153846189</v>
      </c>
      <c r="AR26" s="62">
        <v>25</v>
      </c>
      <c r="AS26" s="61" t="s">
        <v>174</v>
      </c>
      <c r="AT26" s="61" t="s">
        <v>355</v>
      </c>
      <c r="AU26" s="67">
        <v>96.153846153846189</v>
      </c>
      <c r="AW26" s="62">
        <v>25</v>
      </c>
      <c r="AX26" s="61" t="s">
        <v>205</v>
      </c>
      <c r="AY26" s="61" t="s">
        <v>374</v>
      </c>
      <c r="AZ26" s="67">
        <v>104.35399821973495</v>
      </c>
      <c r="BB26" s="62">
        <v>25</v>
      </c>
      <c r="BC26" s="61" t="s">
        <v>205</v>
      </c>
      <c r="BD26" s="61" t="s">
        <v>374</v>
      </c>
      <c r="BE26" s="67">
        <v>104.35399821973495</v>
      </c>
      <c r="BG26" s="62">
        <v>25</v>
      </c>
      <c r="BH26" s="61" t="s">
        <v>205</v>
      </c>
      <c r="BI26" s="61" t="s">
        <v>379</v>
      </c>
      <c r="BJ26" s="67">
        <v>113.84072533061996</v>
      </c>
      <c r="BL26" s="62">
        <v>25</v>
      </c>
      <c r="BM26" s="61" t="s">
        <v>205</v>
      </c>
      <c r="BN26" s="61" t="s">
        <v>388</v>
      </c>
      <c r="BO26" s="67">
        <v>113.84072533061996</v>
      </c>
      <c r="BQ26" s="62">
        <v>25</v>
      </c>
      <c r="BR26" s="61" t="s">
        <v>205</v>
      </c>
      <c r="BS26" s="61" t="s">
        <v>360</v>
      </c>
      <c r="BT26" s="67">
        <v>125.22479786368194</v>
      </c>
      <c r="BV26" s="62">
        <v>25</v>
      </c>
      <c r="BW26" s="61" t="s">
        <v>205</v>
      </c>
      <c r="BX26" s="61" t="s">
        <v>362</v>
      </c>
      <c r="BY26" s="67">
        <v>125.22479786368194</v>
      </c>
      <c r="CA26" s="62">
        <v>25</v>
      </c>
      <c r="CB26" s="61" t="s">
        <v>205</v>
      </c>
      <c r="CC26" s="61" t="s">
        <v>367</v>
      </c>
      <c r="CD26" s="67">
        <v>125.22479786368194</v>
      </c>
      <c r="CF26" s="62">
        <v>25</v>
      </c>
      <c r="CG26" s="61" t="s">
        <v>205</v>
      </c>
      <c r="CH26" s="61" t="s">
        <v>360</v>
      </c>
      <c r="CI26" s="67">
        <v>139.13866429297997</v>
      </c>
      <c r="CK26" s="62">
        <v>25</v>
      </c>
      <c r="CL26" s="61" t="s">
        <v>205</v>
      </c>
      <c r="CM26" s="61" t="s">
        <v>365</v>
      </c>
      <c r="CN26" s="67">
        <v>139.13866429297997</v>
      </c>
      <c r="CP26" s="62">
        <v>25</v>
      </c>
      <c r="CQ26" s="61" t="s">
        <v>205</v>
      </c>
      <c r="CR26" s="61" t="s">
        <v>386</v>
      </c>
      <c r="CS26" s="67">
        <v>139.13866429297997</v>
      </c>
      <c r="CU26" s="62">
        <v>25</v>
      </c>
      <c r="CV26" s="61" t="s">
        <v>205</v>
      </c>
      <c r="CW26" s="61" t="s">
        <v>416</v>
      </c>
      <c r="CX26" s="67">
        <v>156.53099732960243</v>
      </c>
      <c r="CZ26" s="62">
        <v>25</v>
      </c>
      <c r="DA26" s="61" t="s">
        <v>205</v>
      </c>
      <c r="DB26" s="61" t="s">
        <v>412</v>
      </c>
      <c r="DC26" s="67">
        <v>156.53099732960243</v>
      </c>
      <c r="DE26" s="62">
        <v>25</v>
      </c>
      <c r="DF26" s="61" t="s">
        <v>205</v>
      </c>
      <c r="DG26" s="61" t="s">
        <v>361</v>
      </c>
      <c r="DH26" s="67">
        <v>156.53099732960243</v>
      </c>
      <c r="DJ26" s="62">
        <v>25</v>
      </c>
      <c r="DK26" s="61" t="s">
        <v>205</v>
      </c>
      <c r="DL26" s="61" t="s">
        <v>367</v>
      </c>
      <c r="DM26" s="67">
        <v>156.53099732960243</v>
      </c>
      <c r="DO26" s="62">
        <v>25</v>
      </c>
      <c r="DP26" s="61" t="s">
        <v>205</v>
      </c>
      <c r="DQ26" s="61" t="s">
        <v>363</v>
      </c>
      <c r="DR26" s="67">
        <v>178.89256837668859</v>
      </c>
    </row>
    <row r="27" spans="1:122">
      <c r="A27" s="260">
        <f t="shared" si="3"/>
        <v>6</v>
      </c>
      <c r="B27" s="263">
        <f t="shared" si="5"/>
        <v>30</v>
      </c>
      <c r="C27" s="264">
        <f t="shared" si="6"/>
        <v>105</v>
      </c>
      <c r="D27" s="264">
        <f t="shared" si="7"/>
        <v>30</v>
      </c>
      <c r="E27" s="271">
        <f t="shared" si="0"/>
        <v>24</v>
      </c>
      <c r="F27" s="244">
        <f t="shared" si="1"/>
        <v>104.2</v>
      </c>
      <c r="G27" s="245">
        <f t="shared" si="2"/>
        <v>45.219103251334069</v>
      </c>
      <c r="H27" s="245">
        <v>627.80674084624184</v>
      </c>
      <c r="I27" s="249">
        <v>-2.2259924402255233E-2</v>
      </c>
      <c r="J27" s="60">
        <f t="shared" si="4"/>
        <v>2.5112269633849674E-2</v>
      </c>
      <c r="S27" s="62">
        <v>26</v>
      </c>
      <c r="T27" s="61" t="s">
        <v>174</v>
      </c>
      <c r="U27" s="61" t="s">
        <v>374</v>
      </c>
      <c r="V27" s="67">
        <v>73.529411764705856</v>
      </c>
      <c r="X27" s="62">
        <v>26</v>
      </c>
      <c r="Y27" s="61" t="s">
        <v>174</v>
      </c>
      <c r="Z27" s="61" t="s">
        <v>374</v>
      </c>
      <c r="AA27" s="67">
        <v>78.125</v>
      </c>
      <c r="AC27" s="62">
        <v>26</v>
      </c>
      <c r="AD27" s="61" t="s">
        <v>174</v>
      </c>
      <c r="AE27" s="61" t="s">
        <v>383</v>
      </c>
      <c r="AF27" s="67">
        <v>83.333333333333485</v>
      </c>
      <c r="AH27" s="62">
        <v>26</v>
      </c>
      <c r="AI27" s="61" t="s">
        <v>174</v>
      </c>
      <c r="AJ27" s="61" t="s">
        <v>359</v>
      </c>
      <c r="AK27" s="67">
        <v>89.285714285714221</v>
      </c>
      <c r="AM27" s="62">
        <v>26</v>
      </c>
      <c r="AN27" s="61" t="s">
        <v>174</v>
      </c>
      <c r="AO27" s="61" t="s">
        <v>355</v>
      </c>
      <c r="AP27" s="67">
        <v>96.153846153846189</v>
      </c>
      <c r="AR27" s="62">
        <v>26</v>
      </c>
      <c r="AS27" s="61" t="s">
        <v>174</v>
      </c>
      <c r="AT27" s="61" t="s">
        <v>355</v>
      </c>
      <c r="AU27" s="67">
        <v>96.153846153846189</v>
      </c>
      <c r="AW27" s="62">
        <v>26</v>
      </c>
      <c r="AX27" s="61" t="s">
        <v>205</v>
      </c>
      <c r="AY27" s="61" t="s">
        <v>374</v>
      </c>
      <c r="AZ27" s="67">
        <v>104.35399821973495</v>
      </c>
      <c r="BB27" s="62">
        <v>26</v>
      </c>
      <c r="BC27" s="61" t="s">
        <v>205</v>
      </c>
      <c r="BD27" s="61" t="s">
        <v>374</v>
      </c>
      <c r="BE27" s="67">
        <v>104.35399821973495</v>
      </c>
      <c r="BG27" s="62">
        <v>26</v>
      </c>
      <c r="BH27" s="61" t="s">
        <v>205</v>
      </c>
      <c r="BI27" s="61" t="s">
        <v>402</v>
      </c>
      <c r="BJ27" s="67">
        <v>113.84072533061993</v>
      </c>
      <c r="BL27" s="62">
        <v>26</v>
      </c>
      <c r="BM27" s="61" t="s">
        <v>205</v>
      </c>
      <c r="BN27" s="61" t="s">
        <v>402</v>
      </c>
      <c r="BO27" s="67">
        <v>113.84072533061993</v>
      </c>
      <c r="BQ27" s="62">
        <v>26</v>
      </c>
      <c r="BR27" s="61" t="s">
        <v>205</v>
      </c>
      <c r="BS27" s="61" t="s">
        <v>361</v>
      </c>
      <c r="BT27" s="67">
        <v>125.22479786368194</v>
      </c>
      <c r="BV27" s="62">
        <v>26</v>
      </c>
      <c r="BW27" s="61" t="s">
        <v>205</v>
      </c>
      <c r="BX27" s="61" t="s">
        <v>360</v>
      </c>
      <c r="BY27" s="67">
        <v>125.22479786368194</v>
      </c>
      <c r="CA27" s="62">
        <v>26</v>
      </c>
      <c r="CB27" s="61" t="s">
        <v>205</v>
      </c>
      <c r="CC27" s="61" t="s">
        <v>360</v>
      </c>
      <c r="CD27" s="67">
        <v>125.22479786368194</v>
      </c>
      <c r="CF27" s="62">
        <v>26</v>
      </c>
      <c r="CG27" s="61" t="s">
        <v>205</v>
      </c>
      <c r="CH27" s="61" t="s">
        <v>399</v>
      </c>
      <c r="CI27" s="67">
        <v>139.13866429297997</v>
      </c>
      <c r="CK27" s="62">
        <v>26</v>
      </c>
      <c r="CL27" s="61" t="s">
        <v>205</v>
      </c>
      <c r="CM27" s="61" t="s">
        <v>386</v>
      </c>
      <c r="CN27" s="67">
        <v>139.13866429297997</v>
      </c>
      <c r="CP27" s="62">
        <v>26</v>
      </c>
      <c r="CQ27" s="61" t="s">
        <v>205</v>
      </c>
      <c r="CR27" s="61" t="s">
        <v>360</v>
      </c>
      <c r="CS27" s="67">
        <v>139.13866429297997</v>
      </c>
      <c r="CU27" s="62">
        <v>26</v>
      </c>
      <c r="CV27" s="61" t="s">
        <v>205</v>
      </c>
      <c r="CW27" s="61" t="s">
        <v>416</v>
      </c>
      <c r="CX27" s="67">
        <v>156.53099732960243</v>
      </c>
      <c r="CZ27" s="62">
        <v>26</v>
      </c>
      <c r="DA27" s="61" t="s">
        <v>205</v>
      </c>
      <c r="DB27" s="61" t="s">
        <v>412</v>
      </c>
      <c r="DC27" s="67">
        <v>156.53099732960243</v>
      </c>
      <c r="DE27" s="62">
        <v>26</v>
      </c>
      <c r="DF27" s="61" t="s">
        <v>205</v>
      </c>
      <c r="DG27" s="61" t="s">
        <v>361</v>
      </c>
      <c r="DH27" s="67">
        <v>156.53099732960243</v>
      </c>
      <c r="DJ27" s="62">
        <v>26</v>
      </c>
      <c r="DK27" s="61" t="s">
        <v>205</v>
      </c>
      <c r="DL27" s="61" t="s">
        <v>367</v>
      </c>
      <c r="DM27" s="67">
        <v>156.53099732960243</v>
      </c>
      <c r="DO27" s="62">
        <v>26</v>
      </c>
      <c r="DP27" s="61" t="s">
        <v>205</v>
      </c>
      <c r="DQ27" s="61" t="s">
        <v>377</v>
      </c>
      <c r="DR27" s="67">
        <v>178.89256837668859</v>
      </c>
    </row>
    <row r="28" spans="1:122">
      <c r="A28" s="260">
        <f t="shared" si="3"/>
        <v>6</v>
      </c>
      <c r="B28" s="263">
        <f t="shared" si="5"/>
        <v>35</v>
      </c>
      <c r="C28" s="264">
        <f t="shared" si="6"/>
        <v>110</v>
      </c>
      <c r="D28" s="264">
        <f t="shared" si="7"/>
        <v>35</v>
      </c>
      <c r="E28" s="271">
        <f t="shared" si="0"/>
        <v>24</v>
      </c>
      <c r="F28" s="244">
        <f t="shared" si="1"/>
        <v>104.2</v>
      </c>
      <c r="G28" s="245">
        <f t="shared" si="2"/>
        <v>46.551047338854133</v>
      </c>
      <c r="H28" s="245">
        <v>636.96386589299925</v>
      </c>
      <c r="I28" s="249">
        <v>-2.6067379665039449E-2</v>
      </c>
      <c r="J28" s="60">
        <f t="shared" si="4"/>
        <v>2.547855463571997E-2</v>
      </c>
      <c r="K28" s="60" t="s">
        <v>207</v>
      </c>
      <c r="S28" s="62">
        <v>27</v>
      </c>
      <c r="T28" s="61" t="s">
        <v>174</v>
      </c>
      <c r="U28" s="61" t="s">
        <v>374</v>
      </c>
      <c r="V28" s="67">
        <v>73.529411764705856</v>
      </c>
      <c r="X28" s="62">
        <v>27</v>
      </c>
      <c r="Y28" s="61" t="s">
        <v>174</v>
      </c>
      <c r="Z28" s="61" t="s">
        <v>374</v>
      </c>
      <c r="AA28" s="67">
        <v>78.125</v>
      </c>
      <c r="AC28" s="62">
        <v>27</v>
      </c>
      <c r="AD28" s="61" t="s">
        <v>174</v>
      </c>
      <c r="AE28" s="61" t="s">
        <v>357</v>
      </c>
      <c r="AF28" s="67">
        <v>83.333333333333485</v>
      </c>
      <c r="AH28" s="62">
        <v>27</v>
      </c>
      <c r="AI28" s="61" t="s">
        <v>174</v>
      </c>
      <c r="AJ28" s="61" t="s">
        <v>355</v>
      </c>
      <c r="AK28" s="67">
        <v>89.285714285714221</v>
      </c>
      <c r="AM28" s="62">
        <v>27</v>
      </c>
      <c r="AN28" s="61" t="s">
        <v>205</v>
      </c>
      <c r="AO28" s="61" t="s">
        <v>374</v>
      </c>
      <c r="AP28" s="67">
        <v>96.326767587447648</v>
      </c>
      <c r="AR28" s="62">
        <v>27</v>
      </c>
      <c r="AS28" s="61" t="s">
        <v>205</v>
      </c>
      <c r="AT28" s="61" t="s">
        <v>374</v>
      </c>
      <c r="AU28" s="67">
        <v>96.326767587447648</v>
      </c>
      <c r="AW28" s="62">
        <v>27</v>
      </c>
      <c r="AX28" s="61" t="s">
        <v>205</v>
      </c>
      <c r="AY28" s="61" t="s">
        <v>388</v>
      </c>
      <c r="AZ28" s="67">
        <v>104.35399821973493</v>
      </c>
      <c r="BB28" s="62">
        <v>27</v>
      </c>
      <c r="BC28" s="61" t="s">
        <v>205</v>
      </c>
      <c r="BD28" s="61" t="s">
        <v>357</v>
      </c>
      <c r="BE28" s="67">
        <v>104.35399821973493</v>
      </c>
      <c r="BG28" s="62">
        <v>27</v>
      </c>
      <c r="BH28" s="61" t="s">
        <v>205</v>
      </c>
      <c r="BI28" s="61" t="s">
        <v>367</v>
      </c>
      <c r="BJ28" s="67">
        <v>113.84072533061999</v>
      </c>
      <c r="BL28" s="62">
        <v>27</v>
      </c>
      <c r="BM28" s="61" t="s">
        <v>205</v>
      </c>
      <c r="BN28" s="61" t="s">
        <v>363</v>
      </c>
      <c r="BO28" s="67">
        <v>113.84072533061999</v>
      </c>
      <c r="BQ28" s="62">
        <v>27</v>
      </c>
      <c r="BR28" s="61" t="s">
        <v>205</v>
      </c>
      <c r="BS28" s="61" t="s">
        <v>359</v>
      </c>
      <c r="BT28" s="67">
        <v>125.22479786368194</v>
      </c>
      <c r="BV28" s="62">
        <v>27</v>
      </c>
      <c r="BW28" s="61" t="s">
        <v>205</v>
      </c>
      <c r="BX28" s="61" t="s">
        <v>360</v>
      </c>
      <c r="BY28" s="67">
        <v>125.22479786368194</v>
      </c>
      <c r="CA28" s="62">
        <v>27</v>
      </c>
      <c r="CB28" s="61" t="s">
        <v>205</v>
      </c>
      <c r="CC28" s="61" t="s">
        <v>360</v>
      </c>
      <c r="CD28" s="67">
        <v>125.22479786368194</v>
      </c>
      <c r="CF28" s="62">
        <v>27</v>
      </c>
      <c r="CG28" s="61" t="s">
        <v>205</v>
      </c>
      <c r="CH28" s="61" t="s">
        <v>399</v>
      </c>
      <c r="CI28" s="67">
        <v>139.13866429297997</v>
      </c>
      <c r="CK28" s="62">
        <v>27</v>
      </c>
      <c r="CL28" s="61" t="s">
        <v>205</v>
      </c>
      <c r="CM28" s="61" t="s">
        <v>386</v>
      </c>
      <c r="CN28" s="67">
        <v>139.13866429297997</v>
      </c>
      <c r="CP28" s="62">
        <v>27</v>
      </c>
      <c r="CQ28" s="61" t="s">
        <v>205</v>
      </c>
      <c r="CR28" s="61" t="s">
        <v>360</v>
      </c>
      <c r="CS28" s="67">
        <v>139.13866429297997</v>
      </c>
      <c r="CU28" s="62">
        <v>27</v>
      </c>
      <c r="CV28" s="61" t="s">
        <v>205</v>
      </c>
      <c r="CW28" s="61" t="s">
        <v>386</v>
      </c>
      <c r="CX28" s="67">
        <v>156.53099732960243</v>
      </c>
      <c r="CZ28" s="62">
        <v>27</v>
      </c>
      <c r="DA28" s="61" t="s">
        <v>205</v>
      </c>
      <c r="DB28" s="61" t="s">
        <v>370</v>
      </c>
      <c r="DC28" s="67">
        <v>156.53099732960243</v>
      </c>
      <c r="DE28" s="62">
        <v>27</v>
      </c>
      <c r="DF28" s="61" t="s">
        <v>205</v>
      </c>
      <c r="DG28" s="61" t="s">
        <v>367</v>
      </c>
      <c r="DH28" s="67">
        <v>156.53099732960243</v>
      </c>
      <c r="DJ28" s="62">
        <v>27</v>
      </c>
      <c r="DK28" s="61" t="s">
        <v>205</v>
      </c>
      <c r="DL28" s="61" t="s">
        <v>367</v>
      </c>
      <c r="DM28" s="67">
        <v>156.53099732960243</v>
      </c>
      <c r="DO28" s="62">
        <v>27</v>
      </c>
      <c r="DP28" s="61" t="s">
        <v>205</v>
      </c>
      <c r="DQ28" s="61" t="s">
        <v>357</v>
      </c>
      <c r="DR28" s="67">
        <v>178.89256837668836</v>
      </c>
    </row>
    <row r="29" spans="1:122">
      <c r="A29" s="260">
        <f t="shared" si="3"/>
        <v>6</v>
      </c>
      <c r="B29" s="263">
        <f t="shared" si="5"/>
        <v>40</v>
      </c>
      <c r="C29" s="264">
        <f t="shared" si="6"/>
        <v>115</v>
      </c>
      <c r="D29" s="264">
        <f t="shared" si="7"/>
        <v>40</v>
      </c>
      <c r="E29" s="271">
        <f t="shared" si="0"/>
        <v>22</v>
      </c>
      <c r="F29" s="244">
        <f t="shared" si="1"/>
        <v>113.6</v>
      </c>
      <c r="G29" s="245">
        <f t="shared" si="2"/>
        <v>45.350888401127236</v>
      </c>
      <c r="H29" s="245">
        <v>542.85385372163887</v>
      </c>
      <c r="I29" s="249">
        <v>-3.2688737912632625E-2</v>
      </c>
      <c r="J29" s="60">
        <f t="shared" si="4"/>
        <v>2.1714154148865555E-2</v>
      </c>
      <c r="S29" s="62">
        <v>28</v>
      </c>
      <c r="T29" s="61" t="s">
        <v>174</v>
      </c>
      <c r="U29" s="61" t="s">
        <v>374</v>
      </c>
      <c r="V29" s="67">
        <v>73.529411764706083</v>
      </c>
      <c r="X29" s="62">
        <v>28</v>
      </c>
      <c r="Y29" s="61" t="s">
        <v>174</v>
      </c>
      <c r="Z29" s="61" t="s">
        <v>388</v>
      </c>
      <c r="AA29" s="67">
        <v>78.125</v>
      </c>
      <c r="AC29" s="62">
        <v>28</v>
      </c>
      <c r="AD29" s="61" t="s">
        <v>174</v>
      </c>
      <c r="AE29" s="61" t="s">
        <v>355</v>
      </c>
      <c r="AF29" s="67">
        <v>83.33333333333303</v>
      </c>
      <c r="AH29" s="62">
        <v>28</v>
      </c>
      <c r="AI29" s="61" t="s">
        <v>174</v>
      </c>
      <c r="AJ29" s="61" t="s">
        <v>355</v>
      </c>
      <c r="AK29" s="67">
        <v>89.285714285714221</v>
      </c>
      <c r="AM29" s="62">
        <v>28</v>
      </c>
      <c r="AN29" s="61" t="s">
        <v>205</v>
      </c>
      <c r="AO29" s="61" t="s">
        <v>374</v>
      </c>
      <c r="AP29" s="67">
        <v>96.326767587447648</v>
      </c>
      <c r="AR29" s="62">
        <v>28</v>
      </c>
      <c r="AS29" s="61" t="s">
        <v>205</v>
      </c>
      <c r="AT29" s="61" t="s">
        <v>374</v>
      </c>
      <c r="AU29" s="67">
        <v>96.326767587447648</v>
      </c>
      <c r="AW29" s="62">
        <v>28</v>
      </c>
      <c r="AX29" s="61" t="s">
        <v>205</v>
      </c>
      <c r="AY29" s="61" t="s">
        <v>364</v>
      </c>
      <c r="AZ29" s="67">
        <v>104.35399821973496</v>
      </c>
      <c r="BB29" s="62">
        <v>28</v>
      </c>
      <c r="BC29" s="61" t="s">
        <v>205</v>
      </c>
      <c r="BD29" s="61" t="s">
        <v>371</v>
      </c>
      <c r="BE29" s="67">
        <v>104.35399821973496</v>
      </c>
      <c r="BG29" s="62">
        <v>28</v>
      </c>
      <c r="BH29" s="61" t="s">
        <v>205</v>
      </c>
      <c r="BI29" s="61" t="s">
        <v>399</v>
      </c>
      <c r="BJ29" s="67">
        <v>113.84072533061993</v>
      </c>
      <c r="BL29" s="62">
        <v>28</v>
      </c>
      <c r="BM29" s="61" t="s">
        <v>205</v>
      </c>
      <c r="BN29" s="61" t="s">
        <v>361</v>
      </c>
      <c r="BO29" s="67">
        <v>113.84072533061993</v>
      </c>
      <c r="BQ29" s="62">
        <v>28</v>
      </c>
      <c r="BR29" s="61" t="s">
        <v>205</v>
      </c>
      <c r="BS29" s="61" t="s">
        <v>380</v>
      </c>
      <c r="BT29" s="67">
        <v>125.22479786368194</v>
      </c>
      <c r="BV29" s="62">
        <v>28</v>
      </c>
      <c r="BW29" s="61" t="s">
        <v>205</v>
      </c>
      <c r="BX29" s="61" t="s">
        <v>360</v>
      </c>
      <c r="BY29" s="67">
        <v>125.22479786368194</v>
      </c>
      <c r="CA29" s="62">
        <v>28</v>
      </c>
      <c r="CB29" s="61" t="s">
        <v>205</v>
      </c>
      <c r="CC29" s="61" t="s">
        <v>360</v>
      </c>
      <c r="CD29" s="67">
        <v>125.22479786368194</v>
      </c>
      <c r="CF29" s="62">
        <v>28</v>
      </c>
      <c r="CG29" s="61" t="s">
        <v>205</v>
      </c>
      <c r="CH29" s="61" t="s">
        <v>399</v>
      </c>
      <c r="CI29" s="67">
        <v>139.13866429297997</v>
      </c>
      <c r="CK29" s="62">
        <v>28</v>
      </c>
      <c r="CL29" s="61" t="s">
        <v>205</v>
      </c>
      <c r="CM29" s="61" t="s">
        <v>386</v>
      </c>
      <c r="CN29" s="67">
        <v>139.13866429297997</v>
      </c>
      <c r="CP29" s="62">
        <v>28</v>
      </c>
      <c r="CQ29" s="61" t="s">
        <v>205</v>
      </c>
      <c r="CR29" s="61" t="s">
        <v>360</v>
      </c>
      <c r="CS29" s="67">
        <v>139.13866429297997</v>
      </c>
      <c r="CU29" s="62">
        <v>28</v>
      </c>
      <c r="CV29" s="61" t="s">
        <v>205</v>
      </c>
      <c r="CW29" s="61" t="s">
        <v>412</v>
      </c>
      <c r="CX29" s="67">
        <v>156.53099732960243</v>
      </c>
      <c r="CZ29" s="62">
        <v>28</v>
      </c>
      <c r="DA29" s="61" t="s">
        <v>205</v>
      </c>
      <c r="DB29" s="61" t="s">
        <v>419</v>
      </c>
      <c r="DC29" s="67">
        <v>156.53099732960243</v>
      </c>
      <c r="DE29" s="62">
        <v>28</v>
      </c>
      <c r="DF29" s="61" t="s">
        <v>205</v>
      </c>
      <c r="DG29" s="61" t="s">
        <v>378</v>
      </c>
      <c r="DH29" s="67">
        <v>156.53099732960243</v>
      </c>
      <c r="DJ29" s="62">
        <v>28</v>
      </c>
      <c r="DK29" s="61" t="s">
        <v>205</v>
      </c>
      <c r="DL29" s="61" t="s">
        <v>378</v>
      </c>
      <c r="DM29" s="67">
        <v>156.53099732960243</v>
      </c>
      <c r="DO29" s="62">
        <v>28</v>
      </c>
      <c r="DP29" s="61" t="s">
        <v>205</v>
      </c>
      <c r="DQ29" s="61" t="s">
        <v>374</v>
      </c>
      <c r="DR29" s="67">
        <v>178.89256837668836</v>
      </c>
    </row>
    <row r="30" spans="1:122">
      <c r="A30" s="260">
        <f t="shared" si="3"/>
        <v>6</v>
      </c>
      <c r="B30" s="263">
        <f t="shared" si="5"/>
        <v>45</v>
      </c>
      <c r="C30" s="264">
        <f t="shared" si="6"/>
        <v>120</v>
      </c>
      <c r="D30" s="264">
        <f t="shared" si="7"/>
        <v>45</v>
      </c>
      <c r="E30" s="271">
        <f t="shared" si="0"/>
        <v>22</v>
      </c>
      <c r="F30" s="244">
        <f t="shared" si="1"/>
        <v>113.6</v>
      </c>
      <c r="G30" s="245">
        <f t="shared" si="2"/>
        <v>46.56935480474899</v>
      </c>
      <c r="H30" s="245">
        <v>594.41124062403401</v>
      </c>
      <c r="I30" s="249">
        <v>-3.6906347779701094E-2</v>
      </c>
      <c r="J30" s="60">
        <f t="shared" si="4"/>
        <v>2.3776449624961359E-2</v>
      </c>
      <c r="S30" s="62">
        <v>29</v>
      </c>
      <c r="T30" s="61" t="s">
        <v>174</v>
      </c>
      <c r="U30" s="61" t="s">
        <v>391</v>
      </c>
      <c r="V30" s="67">
        <v>73.529411764705856</v>
      </c>
      <c r="X30" s="62">
        <v>29</v>
      </c>
      <c r="Y30" s="61" t="s">
        <v>174</v>
      </c>
      <c r="Z30" s="61" t="s">
        <v>364</v>
      </c>
      <c r="AA30" s="67">
        <v>78.125</v>
      </c>
      <c r="AC30" s="62">
        <v>29</v>
      </c>
      <c r="AD30" s="61" t="s">
        <v>174</v>
      </c>
      <c r="AE30" s="61" t="s">
        <v>355</v>
      </c>
      <c r="AF30" s="67">
        <v>83.333333333333485</v>
      </c>
      <c r="AH30" s="62">
        <v>29</v>
      </c>
      <c r="AI30" s="61" t="s">
        <v>205</v>
      </c>
      <c r="AJ30" s="61" t="s">
        <v>374</v>
      </c>
      <c r="AK30" s="67">
        <v>89.446284188344251</v>
      </c>
      <c r="AM30" s="62">
        <v>29</v>
      </c>
      <c r="AN30" s="61" t="s">
        <v>205</v>
      </c>
      <c r="AO30" s="61" t="s">
        <v>357</v>
      </c>
      <c r="AP30" s="67">
        <v>96.32676758744762</v>
      </c>
      <c r="AR30" s="62">
        <v>29</v>
      </c>
      <c r="AS30" s="61" t="s">
        <v>205</v>
      </c>
      <c r="AT30" s="61" t="s">
        <v>387</v>
      </c>
      <c r="AU30" s="67">
        <v>96.32676758744762</v>
      </c>
      <c r="AW30" s="62">
        <v>29</v>
      </c>
      <c r="AX30" s="61" t="s">
        <v>205</v>
      </c>
      <c r="AY30" s="61" t="s">
        <v>378</v>
      </c>
      <c r="AZ30" s="67">
        <v>104.35399821973496</v>
      </c>
      <c r="BB30" s="62">
        <v>29</v>
      </c>
      <c r="BC30" s="61" t="s">
        <v>205</v>
      </c>
      <c r="BD30" s="61" t="s">
        <v>367</v>
      </c>
      <c r="BE30" s="67">
        <v>104.35399821973496</v>
      </c>
      <c r="BG30" s="62">
        <v>29</v>
      </c>
      <c r="BH30" s="61" t="s">
        <v>205</v>
      </c>
      <c r="BI30" s="61" t="s">
        <v>399</v>
      </c>
      <c r="BJ30" s="67">
        <v>113.84072533061993</v>
      </c>
      <c r="BL30" s="62">
        <v>29</v>
      </c>
      <c r="BM30" s="61" t="s">
        <v>205</v>
      </c>
      <c r="BN30" s="61" t="s">
        <v>359</v>
      </c>
      <c r="BO30" s="67">
        <v>113.84072533061993</v>
      </c>
      <c r="BQ30" s="62">
        <v>29</v>
      </c>
      <c r="BR30" s="61" t="s">
        <v>205</v>
      </c>
      <c r="BS30" s="61" t="s">
        <v>380</v>
      </c>
      <c r="BT30" s="67">
        <v>125.22479786368194</v>
      </c>
      <c r="BV30" s="62">
        <v>29</v>
      </c>
      <c r="BW30" s="61" t="s">
        <v>205</v>
      </c>
      <c r="BX30" s="61" t="s">
        <v>399</v>
      </c>
      <c r="BY30" s="67">
        <v>125.22479786368194</v>
      </c>
      <c r="CA30" s="62">
        <v>29</v>
      </c>
      <c r="CB30" s="61" t="s">
        <v>205</v>
      </c>
      <c r="CC30" s="61" t="s">
        <v>360</v>
      </c>
      <c r="CD30" s="67">
        <v>125.22479786368194</v>
      </c>
      <c r="CF30" s="62">
        <v>29</v>
      </c>
      <c r="CG30" s="61" t="s">
        <v>205</v>
      </c>
      <c r="CH30" s="61" t="s">
        <v>399</v>
      </c>
      <c r="CI30" s="67">
        <v>139.13866429297997</v>
      </c>
      <c r="CK30" s="62">
        <v>29</v>
      </c>
      <c r="CL30" s="61" t="s">
        <v>205</v>
      </c>
      <c r="CM30" s="61" t="s">
        <v>386</v>
      </c>
      <c r="CN30" s="67">
        <v>139.13866429297997</v>
      </c>
      <c r="CP30" s="62">
        <v>29</v>
      </c>
      <c r="CQ30" s="61" t="s">
        <v>205</v>
      </c>
      <c r="CR30" s="61" t="s">
        <v>360</v>
      </c>
      <c r="CS30" s="67">
        <v>139.13866429297997</v>
      </c>
      <c r="CU30" s="62">
        <v>29</v>
      </c>
      <c r="CV30" s="61" t="s">
        <v>205</v>
      </c>
      <c r="CW30" s="61" t="s">
        <v>376</v>
      </c>
      <c r="CX30" s="67">
        <v>156.53099732960243</v>
      </c>
      <c r="CZ30" s="62">
        <v>29</v>
      </c>
      <c r="DA30" s="61" t="s">
        <v>205</v>
      </c>
      <c r="DB30" s="61" t="s">
        <v>377</v>
      </c>
      <c r="DC30" s="67">
        <v>156.53099732960243</v>
      </c>
      <c r="DE30" s="62">
        <v>29</v>
      </c>
      <c r="DF30" s="61" t="s">
        <v>205</v>
      </c>
      <c r="DG30" s="61" t="s">
        <v>364</v>
      </c>
      <c r="DH30" s="67">
        <v>156.53099732960243</v>
      </c>
      <c r="DJ30" s="62">
        <v>29</v>
      </c>
      <c r="DK30" s="61" t="s">
        <v>205</v>
      </c>
      <c r="DL30" s="61" t="s">
        <v>377</v>
      </c>
      <c r="DM30" s="67">
        <v>156.53099732960243</v>
      </c>
      <c r="DO30" s="62">
        <v>29</v>
      </c>
      <c r="DP30" s="61" t="s">
        <v>278</v>
      </c>
      <c r="DQ30" s="61" t="s">
        <v>329</v>
      </c>
      <c r="DR30" s="67">
        <v>100</v>
      </c>
    </row>
    <row r="31" spans="1:122">
      <c r="A31" s="260">
        <f t="shared" si="3"/>
        <v>6</v>
      </c>
      <c r="B31" s="263">
        <f t="shared" si="5"/>
        <v>50</v>
      </c>
      <c r="C31" s="264">
        <f t="shared" si="6"/>
        <v>125</v>
      </c>
      <c r="D31" s="264">
        <f t="shared" si="7"/>
        <v>50</v>
      </c>
      <c r="E31" s="271">
        <f t="shared" si="0"/>
        <v>20</v>
      </c>
      <c r="F31" s="244">
        <f t="shared" si="1"/>
        <v>125</v>
      </c>
      <c r="G31" s="245">
        <f t="shared" si="2"/>
        <v>45</v>
      </c>
      <c r="H31" s="245">
        <v>570.3969013085707</v>
      </c>
      <c r="I31" s="249">
        <v>-4.5363329441775013E-2</v>
      </c>
      <c r="J31" s="60">
        <f t="shared" si="4"/>
        <v>2.281587605234283E-2</v>
      </c>
      <c r="K31" s="60" t="s">
        <v>208</v>
      </c>
      <c r="S31" s="62">
        <v>30</v>
      </c>
      <c r="T31" s="61" t="s">
        <v>174</v>
      </c>
      <c r="U31" s="61" t="s">
        <v>383</v>
      </c>
      <c r="V31" s="67">
        <v>73.529411764705856</v>
      </c>
      <c r="X31" s="62">
        <v>30</v>
      </c>
      <c r="Y31" s="61" t="s">
        <v>174</v>
      </c>
      <c r="Z31" s="61" t="s">
        <v>355</v>
      </c>
      <c r="AA31" s="67">
        <v>78.125</v>
      </c>
      <c r="AC31" s="62">
        <v>30</v>
      </c>
      <c r="AD31" s="61" t="s">
        <v>174</v>
      </c>
      <c r="AE31" s="61" t="s">
        <v>355</v>
      </c>
      <c r="AF31" s="67">
        <v>83.333333333333485</v>
      </c>
      <c r="AH31" s="62">
        <v>30</v>
      </c>
      <c r="AI31" s="61" t="s">
        <v>205</v>
      </c>
      <c r="AJ31" s="61" t="s">
        <v>372</v>
      </c>
      <c r="AK31" s="67">
        <v>89.446284188344251</v>
      </c>
      <c r="AM31" s="62">
        <v>30</v>
      </c>
      <c r="AN31" s="61" t="s">
        <v>205</v>
      </c>
      <c r="AO31" s="61" t="s">
        <v>386</v>
      </c>
      <c r="AP31" s="67">
        <v>96.326767587447677</v>
      </c>
      <c r="AR31" s="62">
        <v>30</v>
      </c>
      <c r="AS31" s="61" t="s">
        <v>205</v>
      </c>
      <c r="AT31" s="61" t="s">
        <v>356</v>
      </c>
      <c r="AU31" s="67">
        <v>96.326767587447677</v>
      </c>
      <c r="AW31" s="62">
        <v>30</v>
      </c>
      <c r="AX31" s="61" t="s">
        <v>205</v>
      </c>
      <c r="AY31" s="61" t="s">
        <v>399</v>
      </c>
      <c r="AZ31" s="67">
        <v>104.3539982197349</v>
      </c>
      <c r="BB31" s="62">
        <v>30</v>
      </c>
      <c r="BC31" s="61" t="s">
        <v>205</v>
      </c>
      <c r="BD31" s="61" t="s">
        <v>360</v>
      </c>
      <c r="BE31" s="67">
        <v>104.3539982197349</v>
      </c>
      <c r="BG31" s="62">
        <v>30</v>
      </c>
      <c r="BH31" s="61" t="s">
        <v>205</v>
      </c>
      <c r="BI31" s="61" t="s">
        <v>361</v>
      </c>
      <c r="BJ31" s="67">
        <v>113.84072533061993</v>
      </c>
      <c r="BL31" s="62">
        <v>30</v>
      </c>
      <c r="BM31" s="61" t="s">
        <v>205</v>
      </c>
      <c r="BN31" s="61" t="s">
        <v>380</v>
      </c>
      <c r="BO31" s="67">
        <v>113.84072533061993</v>
      </c>
      <c r="BQ31" s="62">
        <v>30</v>
      </c>
      <c r="BR31" s="61" t="s">
        <v>205</v>
      </c>
      <c r="BS31" s="61" t="s">
        <v>359</v>
      </c>
      <c r="BT31" s="67">
        <v>125.22479786368194</v>
      </c>
      <c r="BV31" s="62">
        <v>30</v>
      </c>
      <c r="BW31" s="61" t="s">
        <v>205</v>
      </c>
      <c r="BX31" s="61" t="s">
        <v>399</v>
      </c>
      <c r="BY31" s="67">
        <v>125.22479786368194</v>
      </c>
      <c r="CA31" s="62">
        <v>30</v>
      </c>
      <c r="CB31" s="61" t="s">
        <v>205</v>
      </c>
      <c r="CC31" s="61" t="s">
        <v>360</v>
      </c>
      <c r="CD31" s="67">
        <v>125.22479786368194</v>
      </c>
      <c r="CF31" s="62">
        <v>30</v>
      </c>
      <c r="CG31" s="61" t="s">
        <v>205</v>
      </c>
      <c r="CH31" s="61" t="s">
        <v>360</v>
      </c>
      <c r="CI31" s="67">
        <v>139.13866429297974</v>
      </c>
      <c r="CK31" s="62">
        <v>30</v>
      </c>
      <c r="CL31" s="61" t="s">
        <v>205</v>
      </c>
      <c r="CM31" s="61" t="s">
        <v>365</v>
      </c>
      <c r="CN31" s="67">
        <v>139.13866429297974</v>
      </c>
      <c r="CP31" s="62">
        <v>30</v>
      </c>
      <c r="CQ31" s="61" t="s">
        <v>205</v>
      </c>
      <c r="CR31" s="61" t="s">
        <v>386</v>
      </c>
      <c r="CS31" s="67">
        <v>139.13866429297974</v>
      </c>
      <c r="CU31" s="62">
        <v>30</v>
      </c>
      <c r="CV31" s="61" t="s">
        <v>205</v>
      </c>
      <c r="CW31" s="61" t="s">
        <v>382</v>
      </c>
      <c r="CX31" s="67">
        <v>156.53099732960243</v>
      </c>
      <c r="CZ31" s="62">
        <v>30</v>
      </c>
      <c r="DA31" s="61" t="s">
        <v>205</v>
      </c>
      <c r="DB31" s="61" t="s">
        <v>375</v>
      </c>
      <c r="DC31" s="67">
        <v>156.53099732960243</v>
      </c>
      <c r="DE31" s="62">
        <v>30</v>
      </c>
      <c r="DF31" s="61" t="s">
        <v>205</v>
      </c>
      <c r="DG31" s="61" t="s">
        <v>375</v>
      </c>
      <c r="DH31" s="67">
        <v>156.53099732960243</v>
      </c>
      <c r="DJ31" s="62">
        <v>30</v>
      </c>
      <c r="DK31" s="61" t="s">
        <v>205</v>
      </c>
      <c r="DL31" s="61" t="s">
        <v>375</v>
      </c>
      <c r="DM31" s="67">
        <v>156.53099732960243</v>
      </c>
      <c r="DO31" s="62">
        <v>30</v>
      </c>
      <c r="DP31" s="61" t="s">
        <v>278</v>
      </c>
      <c r="DQ31" s="61" t="s">
        <v>329</v>
      </c>
      <c r="DR31" s="67">
        <v>110.71428571428571</v>
      </c>
    </row>
    <row r="32" spans="1:122">
      <c r="A32" s="260">
        <f t="shared" si="3"/>
        <v>6</v>
      </c>
      <c r="B32" s="263">
        <f t="shared" si="5"/>
        <v>55</v>
      </c>
      <c r="C32" s="264">
        <f t="shared" si="6"/>
        <v>130</v>
      </c>
      <c r="D32" s="264">
        <f t="shared" si="7"/>
        <v>55</v>
      </c>
      <c r="E32" s="271">
        <f t="shared" si="0"/>
        <v>20</v>
      </c>
      <c r="F32" s="244">
        <f t="shared" si="1"/>
        <v>125</v>
      </c>
      <c r="G32" s="245">
        <f t="shared" si="2"/>
        <v>46.123302714075429</v>
      </c>
      <c r="H32" s="245">
        <v>487.01584594914715</v>
      </c>
      <c r="I32" s="249">
        <v>-4.9884378483912251E-2</v>
      </c>
      <c r="J32" s="60">
        <f t="shared" si="4"/>
        <v>1.9480633837965885E-2</v>
      </c>
      <c r="S32" s="62">
        <v>31</v>
      </c>
      <c r="T32" s="61" t="s">
        <v>174</v>
      </c>
      <c r="U32" s="61" t="s">
        <v>371</v>
      </c>
      <c r="V32" s="67">
        <v>73.529411764705856</v>
      </c>
      <c r="X32" s="62">
        <v>31</v>
      </c>
      <c r="Y32" s="61" t="s">
        <v>174</v>
      </c>
      <c r="Z32" s="61" t="s">
        <v>355</v>
      </c>
      <c r="AA32" s="67">
        <v>78.125</v>
      </c>
      <c r="AC32" s="62">
        <v>31</v>
      </c>
      <c r="AD32" s="61" t="s">
        <v>205</v>
      </c>
      <c r="AE32" s="61" t="s">
        <v>374</v>
      </c>
      <c r="AF32" s="67">
        <v>83.483198575787952</v>
      </c>
      <c r="AH32" s="62">
        <v>31</v>
      </c>
      <c r="AI32" s="61" t="s">
        <v>205</v>
      </c>
      <c r="AJ32" s="61" t="s">
        <v>382</v>
      </c>
      <c r="AK32" s="67">
        <v>89.446284188344265</v>
      </c>
      <c r="AM32" s="62">
        <v>31</v>
      </c>
      <c r="AN32" s="61" t="s">
        <v>205</v>
      </c>
      <c r="AO32" s="61" t="s">
        <v>361</v>
      </c>
      <c r="AP32" s="67">
        <v>96.326767587447677</v>
      </c>
      <c r="AR32" s="62">
        <v>31</v>
      </c>
      <c r="AS32" s="61" t="s">
        <v>205</v>
      </c>
      <c r="AT32" s="61" t="s">
        <v>396</v>
      </c>
      <c r="AU32" s="67">
        <v>96.326767587447677</v>
      </c>
      <c r="AW32" s="62">
        <v>31</v>
      </c>
      <c r="AX32" s="61" t="s">
        <v>205</v>
      </c>
      <c r="AY32" s="61" t="s">
        <v>359</v>
      </c>
      <c r="AZ32" s="67">
        <v>104.35399821973502</v>
      </c>
      <c r="BB32" s="62">
        <v>31</v>
      </c>
      <c r="BC32" s="61" t="s">
        <v>205</v>
      </c>
      <c r="BD32" s="61" t="s">
        <v>358</v>
      </c>
      <c r="BE32" s="67">
        <v>104.35399821973502</v>
      </c>
      <c r="BG32" s="62">
        <v>31</v>
      </c>
      <c r="BH32" s="61" t="s">
        <v>205</v>
      </c>
      <c r="BI32" s="61" t="s">
        <v>361</v>
      </c>
      <c r="BJ32" s="67">
        <v>113.84072533061993</v>
      </c>
      <c r="BL32" s="62">
        <v>31</v>
      </c>
      <c r="BM32" s="61" t="s">
        <v>205</v>
      </c>
      <c r="BN32" s="61" t="s">
        <v>380</v>
      </c>
      <c r="BO32" s="67">
        <v>113.84072533061993</v>
      </c>
      <c r="BQ32" s="62">
        <v>31</v>
      </c>
      <c r="BR32" s="61" t="s">
        <v>205</v>
      </c>
      <c r="BS32" s="61" t="s">
        <v>359</v>
      </c>
      <c r="BT32" s="67">
        <v>125.22479786368194</v>
      </c>
      <c r="BV32" s="62">
        <v>31</v>
      </c>
      <c r="BW32" s="61" t="s">
        <v>205</v>
      </c>
      <c r="BX32" s="61" t="s">
        <v>399</v>
      </c>
      <c r="BY32" s="67">
        <v>125.22479786368194</v>
      </c>
      <c r="CA32" s="62">
        <v>31</v>
      </c>
      <c r="CB32" s="61" t="s">
        <v>205</v>
      </c>
      <c r="CC32" s="61" t="s">
        <v>360</v>
      </c>
      <c r="CD32" s="67">
        <v>125.22479786368194</v>
      </c>
      <c r="CF32" s="62">
        <v>31</v>
      </c>
      <c r="CG32" s="61" t="s">
        <v>205</v>
      </c>
      <c r="CH32" s="61" t="s">
        <v>367</v>
      </c>
      <c r="CI32" s="67">
        <v>139.13866429297997</v>
      </c>
      <c r="CK32" s="62">
        <v>31</v>
      </c>
      <c r="CL32" s="61" t="s">
        <v>205</v>
      </c>
      <c r="CM32" s="61" t="s">
        <v>412</v>
      </c>
      <c r="CN32" s="67">
        <v>139.13866429297997</v>
      </c>
      <c r="CP32" s="62">
        <v>31</v>
      </c>
      <c r="CQ32" s="61" t="s">
        <v>205</v>
      </c>
      <c r="CR32" s="61" t="s">
        <v>365</v>
      </c>
      <c r="CS32" s="67">
        <v>139.13866429297997</v>
      </c>
      <c r="CU32" s="62">
        <v>31</v>
      </c>
      <c r="CV32" s="61" t="s">
        <v>205</v>
      </c>
      <c r="CW32" s="61" t="s">
        <v>374</v>
      </c>
      <c r="CX32" s="67">
        <v>156.53099732960243</v>
      </c>
      <c r="CZ32" s="62">
        <v>31</v>
      </c>
      <c r="DA32" s="61" t="s">
        <v>205</v>
      </c>
      <c r="DB32" s="61" t="s">
        <v>368</v>
      </c>
      <c r="DC32" s="67">
        <v>156.53099732960243</v>
      </c>
      <c r="DE32" s="62">
        <v>31</v>
      </c>
      <c r="DF32" s="61" t="s">
        <v>205</v>
      </c>
      <c r="DG32" s="61" t="s">
        <v>368</v>
      </c>
      <c r="DH32" s="67">
        <v>156.53099732960243</v>
      </c>
      <c r="DJ32" s="62">
        <v>31</v>
      </c>
      <c r="DK32" s="61" t="s">
        <v>205</v>
      </c>
      <c r="DL32" s="61" t="s">
        <v>368</v>
      </c>
      <c r="DM32" s="67">
        <v>156.53099732960243</v>
      </c>
      <c r="DO32" s="62">
        <v>31</v>
      </c>
      <c r="DP32" s="61" t="s">
        <v>278</v>
      </c>
      <c r="DQ32" s="61" t="s">
        <v>329</v>
      </c>
      <c r="DR32" s="67">
        <v>121.42857142857142</v>
      </c>
    </row>
    <row r="33" spans="1:122">
      <c r="A33" s="260">
        <f t="shared" si="3"/>
        <v>6</v>
      </c>
      <c r="B33" s="263">
        <f t="shared" si="5"/>
        <v>60</v>
      </c>
      <c r="C33" s="264">
        <f t="shared" si="6"/>
        <v>135</v>
      </c>
      <c r="D33" s="264">
        <f t="shared" si="7"/>
        <v>60</v>
      </c>
      <c r="E33" s="271">
        <f t="shared" si="0"/>
        <v>20</v>
      </c>
      <c r="F33" s="244">
        <f t="shared" si="1"/>
        <v>125</v>
      </c>
      <c r="G33" s="245">
        <f t="shared" si="2"/>
        <v>47.202598161765813</v>
      </c>
      <c r="H33" s="245">
        <v>473.96214629251563</v>
      </c>
      <c r="I33" s="249">
        <v>-5.417836983724203E-2</v>
      </c>
      <c r="J33" s="60">
        <f t="shared" si="4"/>
        <v>1.8958485851700627E-2</v>
      </c>
      <c r="S33" s="62">
        <v>32</v>
      </c>
      <c r="T33" s="61" t="s">
        <v>174</v>
      </c>
      <c r="U33" s="61" t="s">
        <v>355</v>
      </c>
      <c r="V33" s="67">
        <v>73.529411764705856</v>
      </c>
      <c r="X33" s="62">
        <v>32</v>
      </c>
      <c r="Y33" s="61" t="s">
        <v>174</v>
      </c>
      <c r="Z33" s="61" t="s">
        <v>355</v>
      </c>
      <c r="AA33" s="67">
        <v>78.125</v>
      </c>
      <c r="AC33" s="62">
        <v>32</v>
      </c>
      <c r="AD33" s="61" t="s">
        <v>205</v>
      </c>
      <c r="AE33" s="61" t="s">
        <v>372</v>
      </c>
      <c r="AF33" s="67">
        <v>83.483198575787952</v>
      </c>
      <c r="AH33" s="62">
        <v>32</v>
      </c>
      <c r="AI33" s="61" t="s">
        <v>205</v>
      </c>
      <c r="AJ33" s="61" t="s">
        <v>386</v>
      </c>
      <c r="AK33" s="67">
        <v>89.446284188344237</v>
      </c>
      <c r="AM33" s="62">
        <v>32</v>
      </c>
      <c r="AN33" s="61" t="s">
        <v>205</v>
      </c>
      <c r="AO33" s="61" t="s">
        <v>358</v>
      </c>
      <c r="AP33" s="67">
        <v>96.326767587447563</v>
      </c>
      <c r="AR33" s="62">
        <v>32</v>
      </c>
      <c r="AS33" s="61" t="s">
        <v>205</v>
      </c>
      <c r="AT33" s="61" t="s">
        <v>398</v>
      </c>
      <c r="AU33" s="67">
        <v>96.326767587447563</v>
      </c>
      <c r="AW33" s="62">
        <v>32</v>
      </c>
      <c r="AX33" s="61" t="s">
        <v>205</v>
      </c>
      <c r="AY33" s="61" t="s">
        <v>359</v>
      </c>
      <c r="AZ33" s="67">
        <v>104.3539982197349</v>
      </c>
      <c r="BB33" s="62">
        <v>32</v>
      </c>
      <c r="BC33" s="61" t="s">
        <v>205</v>
      </c>
      <c r="BD33" s="61" t="s">
        <v>358</v>
      </c>
      <c r="BE33" s="67">
        <v>104.3539982197349</v>
      </c>
      <c r="BG33" s="62">
        <v>32</v>
      </c>
      <c r="BH33" s="61" t="s">
        <v>205</v>
      </c>
      <c r="BI33" s="61" t="s">
        <v>356</v>
      </c>
      <c r="BJ33" s="67">
        <v>113.84072533062005</v>
      </c>
      <c r="BL33" s="62">
        <v>32</v>
      </c>
      <c r="BM33" s="61" t="s">
        <v>205</v>
      </c>
      <c r="BN33" s="61" t="s">
        <v>359</v>
      </c>
      <c r="BO33" s="67">
        <v>113.84072533062005</v>
      </c>
      <c r="BQ33" s="62">
        <v>32</v>
      </c>
      <c r="BR33" s="61" t="s">
        <v>205</v>
      </c>
      <c r="BS33" s="61" t="s">
        <v>380</v>
      </c>
      <c r="BT33" s="67">
        <v>125.22479786368194</v>
      </c>
      <c r="BV33" s="62">
        <v>32</v>
      </c>
      <c r="BW33" s="61" t="s">
        <v>205</v>
      </c>
      <c r="BX33" s="61" t="s">
        <v>399</v>
      </c>
      <c r="BY33" s="67">
        <v>125.22479786368194</v>
      </c>
      <c r="CA33" s="62">
        <v>32</v>
      </c>
      <c r="CB33" s="61" t="s">
        <v>205</v>
      </c>
      <c r="CC33" s="61" t="s">
        <v>360</v>
      </c>
      <c r="CD33" s="67">
        <v>125.22479786368194</v>
      </c>
      <c r="CF33" s="62">
        <v>32</v>
      </c>
      <c r="CG33" s="61" t="s">
        <v>205</v>
      </c>
      <c r="CH33" s="61" t="s">
        <v>362</v>
      </c>
      <c r="CI33" s="67">
        <v>139.13866429297997</v>
      </c>
      <c r="CK33" s="62">
        <v>32</v>
      </c>
      <c r="CL33" s="61" t="s">
        <v>205</v>
      </c>
      <c r="CM33" s="61" t="s">
        <v>362</v>
      </c>
      <c r="CN33" s="67">
        <v>139.13866429297997</v>
      </c>
      <c r="CP33" s="62">
        <v>32</v>
      </c>
      <c r="CQ33" s="61" t="s">
        <v>205</v>
      </c>
      <c r="CR33" s="61" t="s">
        <v>378</v>
      </c>
      <c r="CS33" s="67">
        <v>139.13866429297997</v>
      </c>
      <c r="CU33" s="62">
        <v>32</v>
      </c>
      <c r="CV33" s="61" t="s">
        <v>205</v>
      </c>
      <c r="CW33" s="61" t="s">
        <v>374</v>
      </c>
      <c r="CX33" s="67">
        <v>156.53099732960243</v>
      </c>
      <c r="CZ33" s="62">
        <v>32</v>
      </c>
      <c r="DA33" s="61" t="s">
        <v>205</v>
      </c>
      <c r="DB33" s="61" t="s">
        <v>374</v>
      </c>
      <c r="DC33" s="67">
        <v>156.53099732960243</v>
      </c>
      <c r="DE33" s="62">
        <v>32</v>
      </c>
      <c r="DF33" s="61" t="s">
        <v>205</v>
      </c>
      <c r="DG33" s="61" t="s">
        <v>374</v>
      </c>
      <c r="DH33" s="67">
        <v>156.53099732960243</v>
      </c>
      <c r="DJ33" s="62">
        <v>32</v>
      </c>
      <c r="DK33" s="61" t="s">
        <v>205</v>
      </c>
      <c r="DL33" s="61" t="s">
        <v>374</v>
      </c>
      <c r="DM33" s="67">
        <v>156.53099732960243</v>
      </c>
      <c r="DO33" s="62">
        <v>32</v>
      </c>
      <c r="DP33" s="61" t="s">
        <v>278</v>
      </c>
      <c r="DQ33" s="61" t="s">
        <v>329</v>
      </c>
      <c r="DR33" s="67">
        <v>132.14285714285714</v>
      </c>
    </row>
    <row r="34" spans="1:122">
      <c r="A34" s="260">
        <f t="shared" si="3"/>
        <v>6</v>
      </c>
      <c r="B34" s="263">
        <f t="shared" si="5"/>
        <v>65</v>
      </c>
      <c r="C34" s="264">
        <f t="shared" si="6"/>
        <v>140</v>
      </c>
      <c r="D34" s="264">
        <f t="shared" si="7"/>
        <v>65</v>
      </c>
      <c r="E34" s="271">
        <f t="shared" si="0"/>
        <v>18</v>
      </c>
      <c r="F34" s="244">
        <f t="shared" si="1"/>
        <v>138.9</v>
      </c>
      <c r="G34" s="245">
        <f t="shared" si="2"/>
        <v>45.225977162664663</v>
      </c>
      <c r="H34" s="245">
        <v>477.90967837398784</v>
      </c>
      <c r="I34" s="249">
        <v>-6.5936806873835629E-2</v>
      </c>
      <c r="J34" s="60">
        <f t="shared" si="4"/>
        <v>1.9116387134959514E-2</v>
      </c>
      <c r="S34" s="62">
        <v>33</v>
      </c>
      <c r="T34" s="61" t="s">
        <v>174</v>
      </c>
      <c r="U34" s="61" t="s">
        <v>355</v>
      </c>
      <c r="V34" s="67">
        <v>73.529411764705856</v>
      </c>
      <c r="X34" s="62">
        <v>33</v>
      </c>
      <c r="Y34" s="61" t="s">
        <v>205</v>
      </c>
      <c r="Z34" s="61" t="s">
        <v>374</v>
      </c>
      <c r="AA34" s="67">
        <v>78.265498664801214</v>
      </c>
      <c r="AC34" s="62">
        <v>33</v>
      </c>
      <c r="AD34" s="61" t="s">
        <v>205</v>
      </c>
      <c r="AE34" s="61" t="s">
        <v>356</v>
      </c>
      <c r="AF34" s="67">
        <v>83.483198575787966</v>
      </c>
      <c r="AH34" s="62">
        <v>33</v>
      </c>
      <c r="AI34" s="61" t="s">
        <v>205</v>
      </c>
      <c r="AJ34" s="61" t="s">
        <v>396</v>
      </c>
      <c r="AK34" s="67">
        <v>89.446284188344237</v>
      </c>
      <c r="AM34" s="62">
        <v>33</v>
      </c>
      <c r="AN34" s="61" t="s">
        <v>205</v>
      </c>
      <c r="AO34" s="61" t="s">
        <v>355</v>
      </c>
      <c r="AP34" s="67">
        <v>96.326767587447677</v>
      </c>
      <c r="AR34" s="62">
        <v>33</v>
      </c>
      <c r="AS34" s="61" t="s">
        <v>205</v>
      </c>
      <c r="AT34" s="61" t="s">
        <v>358</v>
      </c>
      <c r="AU34" s="67">
        <v>96.326767587447677</v>
      </c>
      <c r="AW34" s="62">
        <v>33</v>
      </c>
      <c r="AX34" s="61" t="s">
        <v>205</v>
      </c>
      <c r="AY34" s="61" t="s">
        <v>359</v>
      </c>
      <c r="AZ34" s="67">
        <v>104.3539982197349</v>
      </c>
      <c r="BB34" s="62">
        <v>33</v>
      </c>
      <c r="BC34" s="61" t="s">
        <v>205</v>
      </c>
      <c r="BD34" s="61" t="s">
        <v>358</v>
      </c>
      <c r="BE34" s="67">
        <v>104.3539982197349</v>
      </c>
      <c r="BG34" s="62">
        <v>33</v>
      </c>
      <c r="BH34" s="61" t="s">
        <v>205</v>
      </c>
      <c r="BI34" s="61" t="s">
        <v>359</v>
      </c>
      <c r="BJ34" s="67">
        <v>113.84072533061982</v>
      </c>
      <c r="BL34" s="62">
        <v>33</v>
      </c>
      <c r="BM34" s="61" t="s">
        <v>205</v>
      </c>
      <c r="BN34" s="61" t="s">
        <v>398</v>
      </c>
      <c r="BO34" s="67">
        <v>113.84072533061982</v>
      </c>
      <c r="BQ34" s="62">
        <v>33</v>
      </c>
      <c r="BR34" s="61" t="s">
        <v>205</v>
      </c>
      <c r="BS34" s="61" t="s">
        <v>380</v>
      </c>
      <c r="BT34" s="67">
        <v>125.22479786368194</v>
      </c>
      <c r="BV34" s="62">
        <v>33</v>
      </c>
      <c r="BW34" s="61" t="s">
        <v>205</v>
      </c>
      <c r="BX34" s="61" t="s">
        <v>360</v>
      </c>
      <c r="BY34" s="67">
        <v>125.22479786368194</v>
      </c>
      <c r="CA34" s="62">
        <v>33</v>
      </c>
      <c r="CB34" s="61" t="s">
        <v>205</v>
      </c>
      <c r="CC34" s="61" t="s">
        <v>360</v>
      </c>
      <c r="CD34" s="67">
        <v>125.22479786368194</v>
      </c>
      <c r="CF34" s="62">
        <v>33</v>
      </c>
      <c r="CG34" s="61" t="s">
        <v>205</v>
      </c>
      <c r="CH34" s="61" t="s">
        <v>377</v>
      </c>
      <c r="CI34" s="67">
        <v>139.13866429298017</v>
      </c>
      <c r="CK34" s="62">
        <v>33</v>
      </c>
      <c r="CL34" s="61" t="s">
        <v>205</v>
      </c>
      <c r="CM34" s="61" t="s">
        <v>377</v>
      </c>
      <c r="CN34" s="67">
        <v>139.13866429298017</v>
      </c>
      <c r="CP34" s="62">
        <v>33</v>
      </c>
      <c r="CQ34" s="61" t="s">
        <v>205</v>
      </c>
      <c r="CR34" s="61" t="s">
        <v>387</v>
      </c>
      <c r="CS34" s="67">
        <v>139.13866429298017</v>
      </c>
      <c r="CU34" s="62">
        <v>33</v>
      </c>
      <c r="CV34" s="61" t="s">
        <v>278</v>
      </c>
      <c r="CW34" s="61" t="s">
        <v>329</v>
      </c>
      <c r="CX34" s="67">
        <v>80</v>
      </c>
      <c r="CZ34" s="62">
        <v>33</v>
      </c>
      <c r="DA34" s="61" t="s">
        <v>278</v>
      </c>
      <c r="DB34" s="61" t="s">
        <v>329</v>
      </c>
      <c r="DC34" s="67">
        <v>85</v>
      </c>
      <c r="DE34" s="62">
        <v>33</v>
      </c>
      <c r="DF34" s="61" t="s">
        <v>278</v>
      </c>
      <c r="DG34" s="61" t="s">
        <v>329</v>
      </c>
      <c r="DH34" s="67">
        <v>90</v>
      </c>
      <c r="DJ34" s="62">
        <v>33</v>
      </c>
      <c r="DK34" s="61" t="s">
        <v>278</v>
      </c>
      <c r="DL34" s="61" t="s">
        <v>329</v>
      </c>
      <c r="DM34" s="67">
        <v>95</v>
      </c>
      <c r="DO34" s="62">
        <v>33</v>
      </c>
      <c r="DP34" s="61" t="s">
        <v>278</v>
      </c>
      <c r="DQ34" s="61" t="s">
        <v>329</v>
      </c>
      <c r="DR34" s="67">
        <v>142.85714285714286</v>
      </c>
    </row>
    <row r="35" spans="1:122">
      <c r="A35" s="260">
        <f t="shared" si="3"/>
        <v>6</v>
      </c>
      <c r="B35" s="263">
        <f t="shared" si="5"/>
        <v>70</v>
      </c>
      <c r="C35" s="264">
        <f t="shared" si="6"/>
        <v>145</v>
      </c>
      <c r="D35" s="264">
        <f t="shared" si="7"/>
        <v>70</v>
      </c>
      <c r="E35" s="271">
        <f t="shared" si="0"/>
        <v>18</v>
      </c>
      <c r="F35" s="244">
        <f t="shared" si="1"/>
        <v>138.9</v>
      </c>
      <c r="G35" s="245">
        <f t="shared" si="2"/>
        <v>46.230892867405707</v>
      </c>
      <c r="H35" s="245">
        <v>454.97807326825017</v>
      </c>
      <c r="I35" s="249">
        <v>-7.1078532287092905E-2</v>
      </c>
      <c r="J35" s="60">
        <f t="shared" si="4"/>
        <v>1.8199122930730005E-2</v>
      </c>
      <c r="S35" s="62">
        <v>34</v>
      </c>
      <c r="T35" s="61" t="s">
        <v>174</v>
      </c>
      <c r="U35" s="61" t="s">
        <v>355</v>
      </c>
      <c r="V35" s="67">
        <v>73.529411764705856</v>
      </c>
      <c r="X35" s="62">
        <v>34</v>
      </c>
      <c r="Y35" s="61" t="s">
        <v>205</v>
      </c>
      <c r="Z35" s="61" t="s">
        <v>375</v>
      </c>
      <c r="AA35" s="67">
        <v>78.265498664801214</v>
      </c>
      <c r="AC35" s="62">
        <v>34</v>
      </c>
      <c r="AD35" s="61" t="s">
        <v>205</v>
      </c>
      <c r="AE35" s="61" t="s">
        <v>359</v>
      </c>
      <c r="AF35" s="67">
        <v>83.483198575787938</v>
      </c>
      <c r="AH35" s="62">
        <v>34</v>
      </c>
      <c r="AI35" s="61" t="s">
        <v>205</v>
      </c>
      <c r="AJ35" s="61" t="s">
        <v>355</v>
      </c>
      <c r="AK35" s="67">
        <v>89.446284188344293</v>
      </c>
      <c r="AM35" s="62">
        <v>34</v>
      </c>
      <c r="AN35" s="61" t="s">
        <v>205</v>
      </c>
      <c r="AO35" s="61" t="s">
        <v>355</v>
      </c>
      <c r="AP35" s="67">
        <v>96.326767587447677</v>
      </c>
      <c r="AR35" s="62">
        <v>34</v>
      </c>
      <c r="AS35" s="61" t="s">
        <v>205</v>
      </c>
      <c r="AT35" s="61" t="s">
        <v>373</v>
      </c>
      <c r="AU35" s="67">
        <v>96.326767587447677</v>
      </c>
      <c r="AW35" s="62">
        <v>34</v>
      </c>
      <c r="AX35" s="61" t="s">
        <v>205</v>
      </c>
      <c r="AY35" s="61" t="s">
        <v>358</v>
      </c>
      <c r="AZ35" s="67">
        <v>104.35399821973502</v>
      </c>
      <c r="BB35" s="62">
        <v>34</v>
      </c>
      <c r="BC35" s="61" t="s">
        <v>205</v>
      </c>
      <c r="BD35" s="61" t="s">
        <v>358</v>
      </c>
      <c r="BE35" s="67">
        <v>104.35399821973502</v>
      </c>
      <c r="BG35" s="62">
        <v>34</v>
      </c>
      <c r="BH35" s="61" t="s">
        <v>205</v>
      </c>
      <c r="BI35" s="61" t="s">
        <v>359</v>
      </c>
      <c r="BJ35" s="67">
        <v>113.84072533062005</v>
      </c>
      <c r="BL35" s="62">
        <v>34</v>
      </c>
      <c r="BM35" s="61" t="s">
        <v>205</v>
      </c>
      <c r="BN35" s="61" t="s">
        <v>398</v>
      </c>
      <c r="BO35" s="67">
        <v>113.84072533062005</v>
      </c>
      <c r="BQ35" s="62">
        <v>34</v>
      </c>
      <c r="BR35" s="61" t="s">
        <v>205</v>
      </c>
      <c r="BS35" s="61" t="s">
        <v>359</v>
      </c>
      <c r="BT35" s="67">
        <v>125.22479786368194</v>
      </c>
      <c r="BV35" s="62">
        <v>34</v>
      </c>
      <c r="BW35" s="61" t="s">
        <v>205</v>
      </c>
      <c r="BX35" s="61" t="s">
        <v>360</v>
      </c>
      <c r="BY35" s="67">
        <v>125.22479786368194</v>
      </c>
      <c r="CA35" s="62">
        <v>34</v>
      </c>
      <c r="CB35" s="61" t="s">
        <v>205</v>
      </c>
      <c r="CC35" s="61" t="s">
        <v>360</v>
      </c>
      <c r="CD35" s="67">
        <v>125.22479786368194</v>
      </c>
      <c r="CF35" s="62">
        <v>34</v>
      </c>
      <c r="CG35" s="61" t="s">
        <v>205</v>
      </c>
      <c r="CH35" s="61" t="s">
        <v>405</v>
      </c>
      <c r="CI35" s="67">
        <v>139.13866429297974</v>
      </c>
      <c r="CK35" s="62">
        <v>34</v>
      </c>
      <c r="CL35" s="61" t="s">
        <v>205</v>
      </c>
      <c r="CM35" s="61" t="s">
        <v>381</v>
      </c>
      <c r="CN35" s="67">
        <v>139.13866429297974</v>
      </c>
      <c r="CP35" s="62">
        <v>34</v>
      </c>
      <c r="CQ35" s="61" t="s">
        <v>205</v>
      </c>
      <c r="CR35" s="61" t="s">
        <v>381</v>
      </c>
      <c r="CS35" s="67">
        <v>139.13866429297974</v>
      </c>
      <c r="CU35" s="62">
        <v>34</v>
      </c>
      <c r="CV35" s="61" t="s">
        <v>278</v>
      </c>
      <c r="CW35" s="61" t="s">
        <v>329</v>
      </c>
      <c r="CX35" s="67">
        <v>89.375</v>
      </c>
      <c r="CZ35" s="62">
        <v>34</v>
      </c>
      <c r="DA35" s="61" t="s">
        <v>278</v>
      </c>
      <c r="DB35" s="61" t="s">
        <v>329</v>
      </c>
      <c r="DC35" s="67">
        <v>94.375</v>
      </c>
      <c r="DE35" s="62">
        <v>34</v>
      </c>
      <c r="DF35" s="61" t="s">
        <v>278</v>
      </c>
      <c r="DG35" s="61" t="s">
        <v>329</v>
      </c>
      <c r="DH35" s="67">
        <v>99.375</v>
      </c>
      <c r="DJ35" s="62">
        <v>34</v>
      </c>
      <c r="DK35" s="61" t="s">
        <v>278</v>
      </c>
      <c r="DL35" s="61" t="s">
        <v>329</v>
      </c>
      <c r="DM35" s="67">
        <v>104.375</v>
      </c>
      <c r="DO35" s="62">
        <v>34</v>
      </c>
      <c r="DP35" s="61" t="s">
        <v>278</v>
      </c>
      <c r="DQ35" s="61" t="s">
        <v>329</v>
      </c>
      <c r="DR35" s="67">
        <v>153.57142857142858</v>
      </c>
    </row>
    <row r="36" spans="1:122">
      <c r="A36" s="260">
        <f t="shared" si="3"/>
        <v>6</v>
      </c>
      <c r="B36" s="263">
        <f t="shared" si="5"/>
        <v>75</v>
      </c>
      <c r="C36" s="264">
        <f t="shared" si="6"/>
        <v>150</v>
      </c>
      <c r="D36" s="264">
        <f t="shared" si="7"/>
        <v>75</v>
      </c>
      <c r="E36" s="271">
        <f t="shared" si="0"/>
        <v>18</v>
      </c>
      <c r="F36" s="244">
        <f t="shared" si="1"/>
        <v>138.9</v>
      </c>
      <c r="G36" s="245">
        <f t="shared" si="2"/>
        <v>47.200313185515249</v>
      </c>
      <c r="H36" s="245">
        <v>464.00506601479594</v>
      </c>
      <c r="I36" s="249">
        <v>-7.6344950440218717E-2</v>
      </c>
      <c r="J36" s="60">
        <f t="shared" si="4"/>
        <v>1.8560202640591838E-2</v>
      </c>
      <c r="S36" s="62">
        <v>35</v>
      </c>
      <c r="T36" s="61" t="s">
        <v>205</v>
      </c>
      <c r="U36" s="61" t="s">
        <v>355</v>
      </c>
      <c r="V36" s="67">
        <v>73.66164580216585</v>
      </c>
      <c r="X36" s="62">
        <v>35</v>
      </c>
      <c r="Y36" s="61" t="s">
        <v>205</v>
      </c>
      <c r="Z36" s="61" t="s">
        <v>359</v>
      </c>
      <c r="AA36" s="67">
        <v>78.265498664801214</v>
      </c>
      <c r="AC36" s="62">
        <v>35</v>
      </c>
      <c r="AD36" s="61" t="s">
        <v>205</v>
      </c>
      <c r="AE36" s="61" t="s">
        <v>359</v>
      </c>
      <c r="AF36" s="67">
        <v>83.483198575787938</v>
      </c>
      <c r="AH36" s="62">
        <v>35</v>
      </c>
      <c r="AI36" s="61" t="s">
        <v>205</v>
      </c>
      <c r="AJ36" s="61" t="s">
        <v>355</v>
      </c>
      <c r="AK36" s="67">
        <v>89.44628418834418</v>
      </c>
      <c r="AM36" s="62">
        <v>35</v>
      </c>
      <c r="AN36" s="61" t="s">
        <v>205</v>
      </c>
      <c r="AO36" s="61" t="s">
        <v>355</v>
      </c>
      <c r="AP36" s="67">
        <v>96.326767587447677</v>
      </c>
      <c r="AR36" s="62">
        <v>35</v>
      </c>
      <c r="AS36" s="61" t="s">
        <v>205</v>
      </c>
      <c r="AT36" s="61" t="s">
        <v>373</v>
      </c>
      <c r="AU36" s="67">
        <v>96.326767587447677</v>
      </c>
      <c r="AW36" s="62">
        <v>35</v>
      </c>
      <c r="AX36" s="61" t="s">
        <v>205</v>
      </c>
      <c r="AY36" s="61" t="s">
        <v>358</v>
      </c>
      <c r="AZ36" s="67">
        <v>104.35399821973502</v>
      </c>
      <c r="BB36" s="62">
        <v>35</v>
      </c>
      <c r="BC36" s="61" t="s">
        <v>205</v>
      </c>
      <c r="BD36" s="61" t="s">
        <v>359</v>
      </c>
      <c r="BE36" s="67">
        <v>104.35399821973502</v>
      </c>
      <c r="BG36" s="62">
        <v>35</v>
      </c>
      <c r="BH36" s="61" t="s">
        <v>205</v>
      </c>
      <c r="BI36" s="61" t="s">
        <v>356</v>
      </c>
      <c r="BJ36" s="67">
        <v>113.84072533061982</v>
      </c>
      <c r="BL36" s="62">
        <v>35</v>
      </c>
      <c r="BM36" s="61" t="s">
        <v>205</v>
      </c>
      <c r="BN36" s="61" t="s">
        <v>359</v>
      </c>
      <c r="BO36" s="67">
        <v>113.84072533061982</v>
      </c>
      <c r="BQ36" s="62">
        <v>35</v>
      </c>
      <c r="BR36" s="61" t="s">
        <v>205</v>
      </c>
      <c r="BS36" s="61" t="s">
        <v>361</v>
      </c>
      <c r="BT36" s="67">
        <v>125.22479786368194</v>
      </c>
      <c r="BV36" s="62">
        <v>35</v>
      </c>
      <c r="BW36" s="61" t="s">
        <v>205</v>
      </c>
      <c r="BX36" s="61" t="s">
        <v>360</v>
      </c>
      <c r="BY36" s="67">
        <v>125.22479786368194</v>
      </c>
      <c r="CA36" s="62">
        <v>35</v>
      </c>
      <c r="CB36" s="61" t="s">
        <v>205</v>
      </c>
      <c r="CC36" s="61" t="s">
        <v>360</v>
      </c>
      <c r="CD36" s="67">
        <v>125.22479786368194</v>
      </c>
      <c r="CF36" s="62">
        <v>35</v>
      </c>
      <c r="CG36" s="61" t="s">
        <v>205</v>
      </c>
      <c r="CH36" s="61" t="s">
        <v>374</v>
      </c>
      <c r="CI36" s="67">
        <v>139.13866429297974</v>
      </c>
      <c r="CK36" s="62">
        <v>35</v>
      </c>
      <c r="CL36" s="61" t="s">
        <v>205</v>
      </c>
      <c r="CM36" s="61" t="s">
        <v>374</v>
      </c>
      <c r="CN36" s="67">
        <v>139.13866429297974</v>
      </c>
      <c r="CP36" s="62">
        <v>35</v>
      </c>
      <c r="CQ36" s="61" t="s">
        <v>205</v>
      </c>
      <c r="CR36" s="61" t="s">
        <v>374</v>
      </c>
      <c r="CS36" s="67">
        <v>139.13866429297974</v>
      </c>
      <c r="CU36" s="62">
        <v>35</v>
      </c>
      <c r="CV36" s="61" t="s">
        <v>278</v>
      </c>
      <c r="CW36" s="61" t="s">
        <v>329</v>
      </c>
      <c r="CX36" s="67">
        <v>98.75</v>
      </c>
      <c r="CZ36" s="62">
        <v>35</v>
      </c>
      <c r="DA36" s="61" t="s">
        <v>278</v>
      </c>
      <c r="DB36" s="61" t="s">
        <v>329</v>
      </c>
      <c r="DC36" s="67">
        <v>103.75</v>
      </c>
      <c r="DE36" s="62">
        <v>35</v>
      </c>
      <c r="DF36" s="61" t="s">
        <v>278</v>
      </c>
      <c r="DG36" s="61" t="s">
        <v>329</v>
      </c>
      <c r="DH36" s="67">
        <v>108.75</v>
      </c>
      <c r="DJ36" s="62">
        <v>35</v>
      </c>
      <c r="DK36" s="61" t="s">
        <v>278</v>
      </c>
      <c r="DL36" s="61" t="s">
        <v>329</v>
      </c>
      <c r="DM36" s="67">
        <v>113.75</v>
      </c>
      <c r="DO36" s="62">
        <v>35</v>
      </c>
      <c r="DP36" s="61" t="s">
        <v>278</v>
      </c>
      <c r="DQ36" s="61" t="s">
        <v>329</v>
      </c>
      <c r="DR36" s="67">
        <v>164.28571428571431</v>
      </c>
    </row>
    <row r="37" spans="1:122">
      <c r="A37" s="260">
        <f t="shared" si="3"/>
        <v>6</v>
      </c>
      <c r="B37" s="263">
        <f t="shared" si="5"/>
        <v>80</v>
      </c>
      <c r="C37" s="264">
        <f t="shared" si="6"/>
        <v>155</v>
      </c>
      <c r="D37" s="264">
        <f t="shared" si="7"/>
        <v>80</v>
      </c>
      <c r="E37" s="271">
        <f t="shared" si="0"/>
        <v>16</v>
      </c>
      <c r="F37" s="244">
        <f t="shared" si="1"/>
        <v>156.29999999999998</v>
      </c>
      <c r="G37" s="245">
        <f t="shared" si="2"/>
        <v>44.760732154236443</v>
      </c>
      <c r="H37" s="245">
        <v>482.68313324677098</v>
      </c>
      <c r="I37" s="249">
        <v>-9.2334373147752516E-2</v>
      </c>
      <c r="J37" s="60">
        <f t="shared" si="4"/>
        <v>1.9307325329870839E-2</v>
      </c>
      <c r="S37" s="62">
        <v>36</v>
      </c>
      <c r="T37" s="61" t="s">
        <v>205</v>
      </c>
      <c r="U37" s="61" t="s">
        <v>355</v>
      </c>
      <c r="V37" s="67">
        <v>73.66164580216585</v>
      </c>
      <c r="X37" s="62">
        <v>36</v>
      </c>
      <c r="Y37" s="61" t="s">
        <v>205</v>
      </c>
      <c r="Z37" s="61" t="s">
        <v>380</v>
      </c>
      <c r="AA37" s="67">
        <v>78.265498664801214</v>
      </c>
      <c r="AC37" s="62">
        <v>36</v>
      </c>
      <c r="AD37" s="61" t="s">
        <v>205</v>
      </c>
      <c r="AE37" s="61" t="s">
        <v>355</v>
      </c>
      <c r="AF37" s="67">
        <v>83.483198575787995</v>
      </c>
      <c r="AH37" s="62">
        <v>36</v>
      </c>
      <c r="AI37" s="61" t="s">
        <v>205</v>
      </c>
      <c r="AJ37" s="61" t="s">
        <v>355</v>
      </c>
      <c r="AK37" s="67">
        <v>89.446284188344293</v>
      </c>
      <c r="AM37" s="62">
        <v>36</v>
      </c>
      <c r="AN37" s="61" t="s">
        <v>205</v>
      </c>
      <c r="AO37" s="61" t="s">
        <v>355</v>
      </c>
      <c r="AP37" s="67">
        <v>96.326767587447677</v>
      </c>
      <c r="AR37" s="62">
        <v>36</v>
      </c>
      <c r="AS37" s="61" t="s">
        <v>205</v>
      </c>
      <c r="AT37" s="61" t="s">
        <v>373</v>
      </c>
      <c r="AU37" s="67">
        <v>96.326767587447677</v>
      </c>
      <c r="AW37" s="62">
        <v>36</v>
      </c>
      <c r="AX37" s="61" t="s">
        <v>205</v>
      </c>
      <c r="AY37" s="61" t="s">
        <v>358</v>
      </c>
      <c r="AZ37" s="67">
        <v>104.35399821973479</v>
      </c>
      <c r="BB37" s="62">
        <v>36</v>
      </c>
      <c r="BC37" s="61" t="s">
        <v>205</v>
      </c>
      <c r="BD37" s="61" t="s">
        <v>359</v>
      </c>
      <c r="BE37" s="67">
        <v>104.35399821973479</v>
      </c>
      <c r="BG37" s="62">
        <v>36</v>
      </c>
      <c r="BH37" s="61" t="s">
        <v>205</v>
      </c>
      <c r="BI37" s="61" t="s">
        <v>361</v>
      </c>
      <c r="BJ37" s="67">
        <v>113.84072533062005</v>
      </c>
      <c r="BL37" s="62">
        <v>36</v>
      </c>
      <c r="BM37" s="61" t="s">
        <v>205</v>
      </c>
      <c r="BN37" s="61" t="s">
        <v>380</v>
      </c>
      <c r="BO37" s="67">
        <v>113.84072533062005</v>
      </c>
      <c r="BQ37" s="62">
        <v>36</v>
      </c>
      <c r="BR37" s="61" t="s">
        <v>205</v>
      </c>
      <c r="BS37" s="61" t="s">
        <v>360</v>
      </c>
      <c r="BT37" s="67">
        <v>125.22479786368194</v>
      </c>
      <c r="BV37" s="62">
        <v>36</v>
      </c>
      <c r="BW37" s="61" t="s">
        <v>205</v>
      </c>
      <c r="BX37" s="61" t="s">
        <v>362</v>
      </c>
      <c r="BY37" s="67">
        <v>125.22479786368194</v>
      </c>
      <c r="CA37" s="62">
        <v>36</v>
      </c>
      <c r="CB37" s="61" t="s">
        <v>205</v>
      </c>
      <c r="CC37" s="61" t="s">
        <v>367</v>
      </c>
      <c r="CD37" s="67">
        <v>125.22479786368194</v>
      </c>
      <c r="CF37" s="62">
        <v>36</v>
      </c>
      <c r="CG37" s="61" t="s">
        <v>205</v>
      </c>
      <c r="CH37" s="61" t="s">
        <v>374</v>
      </c>
      <c r="CI37" s="67">
        <v>139.13866429298017</v>
      </c>
      <c r="CK37" s="62">
        <v>36</v>
      </c>
      <c r="CL37" s="61" t="s">
        <v>205</v>
      </c>
      <c r="CM37" s="61" t="s">
        <v>374</v>
      </c>
      <c r="CN37" s="67">
        <v>139.13866429298017</v>
      </c>
      <c r="CP37" s="62">
        <v>36</v>
      </c>
      <c r="CQ37" s="61" t="s">
        <v>205</v>
      </c>
      <c r="CR37" s="61" t="s">
        <v>374</v>
      </c>
      <c r="CS37" s="67">
        <v>139.13866429298017</v>
      </c>
      <c r="CU37" s="62">
        <v>36</v>
      </c>
      <c r="CV37" s="61" t="s">
        <v>278</v>
      </c>
      <c r="CW37" s="61" t="s">
        <v>329</v>
      </c>
      <c r="CX37" s="67">
        <v>108.125</v>
      </c>
      <c r="CZ37" s="62">
        <v>36</v>
      </c>
      <c r="DA37" s="61" t="s">
        <v>278</v>
      </c>
      <c r="DB37" s="61" t="s">
        <v>329</v>
      </c>
      <c r="DC37" s="67">
        <v>113.125</v>
      </c>
      <c r="DE37" s="62">
        <v>36</v>
      </c>
      <c r="DF37" s="61" t="s">
        <v>278</v>
      </c>
      <c r="DG37" s="61" t="s">
        <v>329</v>
      </c>
      <c r="DH37" s="67">
        <v>118.125</v>
      </c>
      <c r="DJ37" s="62">
        <v>36</v>
      </c>
      <c r="DK37" s="61" t="s">
        <v>278</v>
      </c>
      <c r="DL37" s="61" t="s">
        <v>329</v>
      </c>
      <c r="DM37" s="67">
        <v>123.125</v>
      </c>
      <c r="DO37" s="62">
        <v>36</v>
      </c>
      <c r="DP37" s="61" t="s">
        <v>278</v>
      </c>
      <c r="DQ37" s="61" t="s">
        <v>329</v>
      </c>
      <c r="DR37" s="67">
        <v>175.00000000000003</v>
      </c>
    </row>
    <row r="38" spans="1:122">
      <c r="A38" s="260">
        <f t="shared" si="3"/>
        <v>6</v>
      </c>
      <c r="B38" s="263">
        <f t="shared" si="5"/>
        <v>85</v>
      </c>
      <c r="C38" s="264">
        <f t="shared" si="6"/>
        <v>160</v>
      </c>
      <c r="D38" s="264">
        <f t="shared" si="7"/>
        <v>85</v>
      </c>
      <c r="E38" s="271">
        <f t="shared" si="0"/>
        <v>16</v>
      </c>
      <c r="F38" s="244">
        <f t="shared" si="1"/>
        <v>156.29999999999998</v>
      </c>
      <c r="G38" s="245">
        <f t="shared" si="2"/>
        <v>45.670201439771937</v>
      </c>
      <c r="H38" s="245">
        <v>453.44483322297083</v>
      </c>
      <c r="I38" s="249">
        <v>-9.7948170613985641E-2</v>
      </c>
      <c r="J38" s="60">
        <f t="shared" si="4"/>
        <v>1.8137793328918832E-2</v>
      </c>
      <c r="S38" s="62">
        <v>37</v>
      </c>
      <c r="T38" s="61" t="s">
        <v>205</v>
      </c>
      <c r="U38" s="61" t="s">
        <v>355</v>
      </c>
      <c r="V38" s="67">
        <v>73.66164580216585</v>
      </c>
      <c r="X38" s="62">
        <v>37</v>
      </c>
      <c r="Y38" s="61" t="s">
        <v>205</v>
      </c>
      <c r="Z38" s="61" t="s">
        <v>355</v>
      </c>
      <c r="AA38" s="67">
        <v>78.265498664801214</v>
      </c>
      <c r="AC38" s="62">
        <v>37</v>
      </c>
      <c r="AD38" s="61" t="s">
        <v>205</v>
      </c>
      <c r="AE38" s="61" t="s">
        <v>355</v>
      </c>
      <c r="AF38" s="67">
        <v>83.483198575787881</v>
      </c>
      <c r="AH38" s="62">
        <v>37</v>
      </c>
      <c r="AI38" s="61" t="s">
        <v>205</v>
      </c>
      <c r="AJ38" s="61" t="s">
        <v>355</v>
      </c>
      <c r="AK38" s="67">
        <v>89.446284188344293</v>
      </c>
      <c r="AM38" s="62">
        <v>37</v>
      </c>
      <c r="AN38" s="61" t="s">
        <v>205</v>
      </c>
      <c r="AO38" s="61" t="s">
        <v>355</v>
      </c>
      <c r="AP38" s="67">
        <v>96.326767587447677</v>
      </c>
      <c r="AR38" s="62">
        <v>37</v>
      </c>
      <c r="AS38" s="61" t="s">
        <v>205</v>
      </c>
      <c r="AT38" s="61" t="s">
        <v>359</v>
      </c>
      <c r="AU38" s="67">
        <v>96.326767587447677</v>
      </c>
      <c r="AW38" s="62">
        <v>37</v>
      </c>
      <c r="AX38" s="61" t="s">
        <v>205</v>
      </c>
      <c r="AY38" s="61" t="s">
        <v>358</v>
      </c>
      <c r="AZ38" s="67">
        <v>104.35399821973502</v>
      </c>
      <c r="BB38" s="62">
        <v>37</v>
      </c>
      <c r="BC38" s="61" t="s">
        <v>205</v>
      </c>
      <c r="BD38" s="61" t="s">
        <v>359</v>
      </c>
      <c r="BE38" s="67">
        <v>104.35399821973502</v>
      </c>
      <c r="BG38" s="62">
        <v>37</v>
      </c>
      <c r="BH38" s="61" t="s">
        <v>205</v>
      </c>
      <c r="BI38" s="61" t="s">
        <v>361</v>
      </c>
      <c r="BJ38" s="67">
        <v>113.84072533061982</v>
      </c>
      <c r="BL38" s="62">
        <v>37</v>
      </c>
      <c r="BM38" s="61" t="s">
        <v>205</v>
      </c>
      <c r="BN38" s="61" t="s">
        <v>380</v>
      </c>
      <c r="BO38" s="67">
        <v>113.84072533061982</v>
      </c>
      <c r="BQ38" s="62">
        <v>37</v>
      </c>
      <c r="BR38" s="61" t="s">
        <v>205</v>
      </c>
      <c r="BS38" s="61" t="s">
        <v>376</v>
      </c>
      <c r="BT38" s="67">
        <v>125.22479786368194</v>
      </c>
      <c r="BV38" s="62">
        <v>37</v>
      </c>
      <c r="BW38" s="61" t="s">
        <v>205</v>
      </c>
      <c r="BX38" s="61" t="s">
        <v>377</v>
      </c>
      <c r="BY38" s="67">
        <v>125.22479786368194</v>
      </c>
      <c r="CA38" s="62">
        <v>37</v>
      </c>
      <c r="CB38" s="61" t="s">
        <v>205</v>
      </c>
      <c r="CC38" s="61" t="s">
        <v>402</v>
      </c>
      <c r="CD38" s="67">
        <v>125.22479786368194</v>
      </c>
      <c r="CF38" s="62">
        <v>37</v>
      </c>
      <c r="CG38" s="61" t="s">
        <v>278</v>
      </c>
      <c r="CH38" s="61" t="s">
        <v>329</v>
      </c>
      <c r="CI38" s="67">
        <v>65</v>
      </c>
      <c r="CK38" s="62">
        <v>37</v>
      </c>
      <c r="CL38" s="61" t="s">
        <v>278</v>
      </c>
      <c r="CM38" s="61" t="s">
        <v>329</v>
      </c>
      <c r="CN38" s="67">
        <v>70</v>
      </c>
      <c r="CP38" s="62">
        <v>37</v>
      </c>
      <c r="CQ38" s="61" t="s">
        <v>278</v>
      </c>
      <c r="CR38" s="61" t="s">
        <v>329</v>
      </c>
      <c r="CS38" s="67">
        <v>75</v>
      </c>
      <c r="CU38" s="62">
        <v>37</v>
      </c>
      <c r="CV38" s="61" t="s">
        <v>278</v>
      </c>
      <c r="CW38" s="61" t="s">
        <v>329</v>
      </c>
      <c r="CX38" s="67">
        <v>117.5</v>
      </c>
      <c r="CZ38" s="62">
        <v>37</v>
      </c>
      <c r="DA38" s="61" t="s">
        <v>278</v>
      </c>
      <c r="DB38" s="61" t="s">
        <v>329</v>
      </c>
      <c r="DC38" s="67">
        <v>122.5</v>
      </c>
      <c r="DE38" s="62">
        <v>37</v>
      </c>
      <c r="DF38" s="61" t="s">
        <v>278</v>
      </c>
      <c r="DG38" s="61" t="s">
        <v>329</v>
      </c>
      <c r="DH38" s="67">
        <v>127.5</v>
      </c>
      <c r="DJ38" s="62">
        <v>37</v>
      </c>
      <c r="DK38" s="61" t="s">
        <v>278</v>
      </c>
      <c r="DL38" s="61" t="s">
        <v>329</v>
      </c>
      <c r="DM38" s="67">
        <v>132.5</v>
      </c>
      <c r="DO38" s="62">
        <v>37</v>
      </c>
      <c r="DP38" s="61" t="s">
        <v>278</v>
      </c>
      <c r="DQ38" s="61" t="s">
        <v>329</v>
      </c>
      <c r="DR38" s="67">
        <v>164.28571428571431</v>
      </c>
    </row>
    <row r="39" spans="1:122">
      <c r="A39" s="260">
        <f t="shared" si="3"/>
        <v>6</v>
      </c>
      <c r="B39" s="263">
        <f t="shared" si="5"/>
        <v>90</v>
      </c>
      <c r="C39" s="264">
        <f t="shared" si="6"/>
        <v>165</v>
      </c>
      <c r="D39" s="264">
        <f t="shared" si="7"/>
        <v>90</v>
      </c>
      <c r="E39" s="271">
        <f t="shared" si="0"/>
        <v>16</v>
      </c>
      <c r="F39" s="244">
        <f t="shared" si="1"/>
        <v>156.29999999999998</v>
      </c>
      <c r="G39" s="245">
        <f t="shared" si="2"/>
        <v>46.551047338854133</v>
      </c>
      <c r="H39" s="245">
        <v>475.01494364600637</v>
      </c>
      <c r="I39" s="249">
        <v>-0.10384903940918701</v>
      </c>
      <c r="J39" s="60">
        <f t="shared" si="4"/>
        <v>1.9000597745840255E-2</v>
      </c>
      <c r="S39" s="62">
        <v>38</v>
      </c>
      <c r="T39" s="61" t="s">
        <v>205</v>
      </c>
      <c r="U39" s="61" t="s">
        <v>355</v>
      </c>
      <c r="V39" s="67">
        <v>73.66164580216585</v>
      </c>
      <c r="X39" s="62">
        <v>38</v>
      </c>
      <c r="Y39" s="61" t="s">
        <v>205</v>
      </c>
      <c r="Z39" s="61" t="s">
        <v>355</v>
      </c>
      <c r="AA39" s="67">
        <v>78.265498664801214</v>
      </c>
      <c r="AC39" s="62">
        <v>38</v>
      </c>
      <c r="AD39" s="61" t="s">
        <v>205</v>
      </c>
      <c r="AE39" s="61" t="s">
        <v>355</v>
      </c>
      <c r="AF39" s="67">
        <v>83.483198575787995</v>
      </c>
      <c r="AH39" s="62">
        <v>38</v>
      </c>
      <c r="AI39" s="61" t="s">
        <v>205</v>
      </c>
      <c r="AJ39" s="61" t="s">
        <v>355</v>
      </c>
      <c r="AK39" s="67">
        <v>89.44628418834418</v>
      </c>
      <c r="AM39" s="62">
        <v>38</v>
      </c>
      <c r="AN39" s="61" t="s">
        <v>205</v>
      </c>
      <c r="AO39" s="61" t="s">
        <v>380</v>
      </c>
      <c r="AP39" s="67">
        <v>96.326767587447449</v>
      </c>
      <c r="AR39" s="62">
        <v>38</v>
      </c>
      <c r="AS39" s="61" t="s">
        <v>205</v>
      </c>
      <c r="AT39" s="61" t="s">
        <v>359</v>
      </c>
      <c r="AU39" s="67">
        <v>96.326767587447449</v>
      </c>
      <c r="AW39" s="62">
        <v>38</v>
      </c>
      <c r="AX39" s="61" t="s">
        <v>205</v>
      </c>
      <c r="AY39" s="61" t="s">
        <v>358</v>
      </c>
      <c r="AZ39" s="67">
        <v>104.35399821973502</v>
      </c>
      <c r="BB39" s="62">
        <v>38</v>
      </c>
      <c r="BC39" s="61" t="s">
        <v>205</v>
      </c>
      <c r="BD39" s="61" t="s">
        <v>359</v>
      </c>
      <c r="BE39" s="67">
        <v>104.35399821973502</v>
      </c>
      <c r="BG39" s="62">
        <v>38</v>
      </c>
      <c r="BH39" s="61" t="s">
        <v>205</v>
      </c>
      <c r="BI39" s="61" t="s">
        <v>399</v>
      </c>
      <c r="BJ39" s="67">
        <v>113.84072533062005</v>
      </c>
      <c r="BL39" s="62">
        <v>38</v>
      </c>
      <c r="BM39" s="61" t="s">
        <v>205</v>
      </c>
      <c r="BN39" s="61" t="s">
        <v>359</v>
      </c>
      <c r="BO39" s="67">
        <v>113.84072533062005</v>
      </c>
      <c r="BQ39" s="62">
        <v>38</v>
      </c>
      <c r="BR39" s="61" t="s">
        <v>205</v>
      </c>
      <c r="BS39" s="61" t="s">
        <v>405</v>
      </c>
      <c r="BT39" s="67">
        <v>125.22479786368194</v>
      </c>
      <c r="BV39" s="62">
        <v>38</v>
      </c>
      <c r="BW39" s="61" t="s">
        <v>205</v>
      </c>
      <c r="BX39" s="61" t="s">
        <v>381</v>
      </c>
      <c r="BY39" s="67">
        <v>125.22479786368194</v>
      </c>
      <c r="CA39" s="62">
        <v>38</v>
      </c>
      <c r="CB39" s="61" t="s">
        <v>205</v>
      </c>
      <c r="CC39" s="61" t="s">
        <v>381</v>
      </c>
      <c r="CD39" s="67">
        <v>125.22479786368194</v>
      </c>
      <c r="CF39" s="62">
        <v>38</v>
      </c>
      <c r="CG39" s="61" t="s">
        <v>278</v>
      </c>
      <c r="CH39" s="61" t="s">
        <v>329</v>
      </c>
      <c r="CI39" s="67">
        <v>73.333333333333329</v>
      </c>
      <c r="CK39" s="62">
        <v>38</v>
      </c>
      <c r="CL39" s="61" t="s">
        <v>278</v>
      </c>
      <c r="CM39" s="61" t="s">
        <v>329</v>
      </c>
      <c r="CN39" s="67">
        <v>78.333333333333329</v>
      </c>
      <c r="CP39" s="62">
        <v>38</v>
      </c>
      <c r="CQ39" s="61" t="s">
        <v>278</v>
      </c>
      <c r="CR39" s="61" t="s">
        <v>329</v>
      </c>
      <c r="CS39" s="67">
        <v>83.333333333333329</v>
      </c>
      <c r="CU39" s="62">
        <v>38</v>
      </c>
      <c r="CV39" s="61" t="s">
        <v>278</v>
      </c>
      <c r="CW39" s="61" t="s">
        <v>329</v>
      </c>
      <c r="CX39" s="67">
        <v>126.875</v>
      </c>
      <c r="CZ39" s="62">
        <v>38</v>
      </c>
      <c r="DA39" s="61" t="s">
        <v>278</v>
      </c>
      <c r="DB39" s="61" t="s">
        <v>329</v>
      </c>
      <c r="DC39" s="67">
        <v>131.875</v>
      </c>
      <c r="DE39" s="62">
        <v>38</v>
      </c>
      <c r="DF39" s="61" t="s">
        <v>278</v>
      </c>
      <c r="DG39" s="61" t="s">
        <v>329</v>
      </c>
      <c r="DH39" s="67">
        <v>136.875</v>
      </c>
      <c r="DJ39" s="62">
        <v>38</v>
      </c>
      <c r="DK39" s="61" t="s">
        <v>278</v>
      </c>
      <c r="DL39" s="61" t="s">
        <v>329</v>
      </c>
      <c r="DM39" s="67">
        <v>141.875</v>
      </c>
      <c r="DO39" s="62">
        <v>38</v>
      </c>
      <c r="DP39" s="61" t="s">
        <v>278</v>
      </c>
      <c r="DQ39" s="61" t="s">
        <v>329</v>
      </c>
      <c r="DR39" s="67">
        <v>153.57142857142858</v>
      </c>
    </row>
    <row r="40" spans="1:122">
      <c r="A40" s="260">
        <f t="shared" si="3"/>
        <v>6</v>
      </c>
      <c r="B40" s="263">
        <f t="shared" si="5"/>
        <v>95</v>
      </c>
      <c r="C40" s="264">
        <f t="shared" si="6"/>
        <v>170</v>
      </c>
      <c r="D40" s="264">
        <f t="shared" si="7"/>
        <v>95</v>
      </c>
      <c r="E40" s="271">
        <f t="shared" si="0"/>
        <v>16</v>
      </c>
      <c r="F40" s="244">
        <f t="shared" si="1"/>
        <v>156.29999999999998</v>
      </c>
      <c r="G40" s="245">
        <f t="shared" si="2"/>
        <v>47.40420295579689</v>
      </c>
      <c r="H40" s="245">
        <v>450.4955758821834</v>
      </c>
      <c r="I40" s="249">
        <v>-0.10963779008974549</v>
      </c>
      <c r="J40" s="60">
        <f t="shared" si="4"/>
        <v>1.8019823035287333E-2</v>
      </c>
      <c r="S40" s="62">
        <v>39</v>
      </c>
      <c r="T40" s="61" t="s">
        <v>205</v>
      </c>
      <c r="U40" s="61" t="s">
        <v>355</v>
      </c>
      <c r="V40" s="67">
        <v>73.661645802165822</v>
      </c>
      <c r="X40" s="62">
        <v>39</v>
      </c>
      <c r="Y40" s="61" t="s">
        <v>205</v>
      </c>
      <c r="Z40" s="61" t="s">
        <v>355</v>
      </c>
      <c r="AA40" s="67">
        <v>78.265498664801214</v>
      </c>
      <c r="AC40" s="62">
        <v>39</v>
      </c>
      <c r="AD40" s="61" t="s">
        <v>205</v>
      </c>
      <c r="AE40" s="61" t="s">
        <v>355</v>
      </c>
      <c r="AF40" s="67">
        <v>83.483198575787995</v>
      </c>
      <c r="AH40" s="62">
        <v>39</v>
      </c>
      <c r="AI40" s="61" t="s">
        <v>205</v>
      </c>
      <c r="AJ40" s="61" t="s">
        <v>355</v>
      </c>
      <c r="AK40" s="67">
        <v>89.446284188344293</v>
      </c>
      <c r="AM40" s="62">
        <v>39</v>
      </c>
      <c r="AN40" s="61" t="s">
        <v>205</v>
      </c>
      <c r="AO40" s="61" t="s">
        <v>355</v>
      </c>
      <c r="AP40" s="67">
        <v>96.326767587447677</v>
      </c>
      <c r="AR40" s="62">
        <v>39</v>
      </c>
      <c r="AS40" s="61" t="s">
        <v>205</v>
      </c>
      <c r="AT40" s="61" t="s">
        <v>384</v>
      </c>
      <c r="AU40" s="67">
        <v>96.326767587447677</v>
      </c>
      <c r="AW40" s="62">
        <v>39</v>
      </c>
      <c r="AX40" s="61" t="s">
        <v>205</v>
      </c>
      <c r="AY40" s="61" t="s">
        <v>358</v>
      </c>
      <c r="AZ40" s="67">
        <v>104.35399821973479</v>
      </c>
      <c r="BB40" s="62">
        <v>39</v>
      </c>
      <c r="BC40" s="61" t="s">
        <v>205</v>
      </c>
      <c r="BD40" s="61" t="s">
        <v>358</v>
      </c>
      <c r="BE40" s="67">
        <v>104.35399821973479</v>
      </c>
      <c r="BG40" s="62">
        <v>39</v>
      </c>
      <c r="BH40" s="61" t="s">
        <v>205</v>
      </c>
      <c r="BI40" s="61" t="s">
        <v>399</v>
      </c>
      <c r="BJ40" s="67">
        <v>113.84072533062005</v>
      </c>
      <c r="BL40" s="62">
        <v>39</v>
      </c>
      <c r="BM40" s="61" t="s">
        <v>205</v>
      </c>
      <c r="BN40" s="61" t="s">
        <v>361</v>
      </c>
      <c r="BO40" s="67">
        <v>113.84072533062005</v>
      </c>
      <c r="BQ40" s="62">
        <v>39</v>
      </c>
      <c r="BR40" s="61" t="s">
        <v>205</v>
      </c>
      <c r="BS40" s="61" t="s">
        <v>374</v>
      </c>
      <c r="BT40" s="67">
        <v>125.22479786368194</v>
      </c>
      <c r="BV40" s="62">
        <v>39</v>
      </c>
      <c r="BW40" s="61" t="s">
        <v>205</v>
      </c>
      <c r="BX40" s="61" t="s">
        <v>374</v>
      </c>
      <c r="BY40" s="67">
        <v>125.22479786368194</v>
      </c>
      <c r="CA40" s="62">
        <v>39</v>
      </c>
      <c r="CB40" s="61" t="s">
        <v>205</v>
      </c>
      <c r="CC40" s="61" t="s">
        <v>374</v>
      </c>
      <c r="CD40" s="67">
        <v>125.22479786368194</v>
      </c>
      <c r="CF40" s="62">
        <v>39</v>
      </c>
      <c r="CG40" s="61" t="s">
        <v>278</v>
      </c>
      <c r="CH40" s="61" t="s">
        <v>329</v>
      </c>
      <c r="CI40" s="67">
        <v>81.666666666666657</v>
      </c>
      <c r="CK40" s="62">
        <v>39</v>
      </c>
      <c r="CL40" s="61" t="s">
        <v>278</v>
      </c>
      <c r="CM40" s="61" t="s">
        <v>329</v>
      </c>
      <c r="CN40" s="67">
        <v>86.666666666666657</v>
      </c>
      <c r="CP40" s="62">
        <v>39</v>
      </c>
      <c r="CQ40" s="61" t="s">
        <v>278</v>
      </c>
      <c r="CR40" s="61" t="s">
        <v>329</v>
      </c>
      <c r="CS40" s="67">
        <v>91.666666666666657</v>
      </c>
      <c r="CU40" s="62">
        <v>39</v>
      </c>
      <c r="CV40" s="61" t="s">
        <v>278</v>
      </c>
      <c r="CW40" s="61" t="s">
        <v>329</v>
      </c>
      <c r="CX40" s="67">
        <v>136.25</v>
      </c>
      <c r="CZ40" s="62">
        <v>39</v>
      </c>
      <c r="DA40" s="61" t="s">
        <v>278</v>
      </c>
      <c r="DB40" s="61" t="s">
        <v>329</v>
      </c>
      <c r="DC40" s="67">
        <v>141.25</v>
      </c>
      <c r="DE40" s="62">
        <v>39</v>
      </c>
      <c r="DF40" s="61" t="s">
        <v>278</v>
      </c>
      <c r="DG40" s="61" t="s">
        <v>329</v>
      </c>
      <c r="DH40" s="67">
        <v>146.25</v>
      </c>
      <c r="DJ40" s="62">
        <v>39</v>
      </c>
      <c r="DK40" s="61" t="s">
        <v>278</v>
      </c>
      <c r="DL40" s="61" t="s">
        <v>329</v>
      </c>
      <c r="DM40" s="67">
        <v>151.25</v>
      </c>
      <c r="DO40" s="62">
        <v>39</v>
      </c>
      <c r="DP40" s="61" t="s">
        <v>278</v>
      </c>
      <c r="DQ40" s="61" t="s">
        <v>329</v>
      </c>
      <c r="DR40" s="67">
        <v>142.85714285714286</v>
      </c>
    </row>
    <row r="41" spans="1:122" ht="15" thickBot="1">
      <c r="A41" s="260">
        <f t="shared" si="3"/>
        <v>6</v>
      </c>
      <c r="B41" s="273">
        <f t="shared" si="5"/>
        <v>100</v>
      </c>
      <c r="C41" s="266">
        <f t="shared" si="6"/>
        <v>175</v>
      </c>
      <c r="D41" s="266">
        <f t="shared" si="7"/>
        <v>100</v>
      </c>
      <c r="E41" s="272">
        <f t="shared" si="0"/>
        <v>14</v>
      </c>
      <c r="F41" s="246">
        <f t="shared" si="1"/>
        <v>178.6</v>
      </c>
      <c r="G41" s="247">
        <f t="shared" si="2"/>
        <v>44.416692081284715</v>
      </c>
      <c r="H41" s="247">
        <v>571.54580145666034</v>
      </c>
      <c r="I41" s="250">
        <v>-0.13205658949736201</v>
      </c>
      <c r="J41" s="60">
        <f t="shared" si="4"/>
        <v>2.2861832058266415E-2</v>
      </c>
      <c r="S41" s="62">
        <v>40</v>
      </c>
      <c r="T41" s="61" t="s">
        <v>205</v>
      </c>
      <c r="U41" s="61" t="s">
        <v>355</v>
      </c>
      <c r="V41" s="67">
        <v>73.661645802165879</v>
      </c>
      <c r="X41" s="62">
        <v>40</v>
      </c>
      <c r="Y41" s="61" t="s">
        <v>205</v>
      </c>
      <c r="Z41" s="61" t="s">
        <v>355</v>
      </c>
      <c r="AA41" s="67">
        <v>78.265498664801214</v>
      </c>
      <c r="AC41" s="62">
        <v>40</v>
      </c>
      <c r="AD41" s="61" t="s">
        <v>205</v>
      </c>
      <c r="AE41" s="61" t="s">
        <v>355</v>
      </c>
      <c r="AF41" s="67">
        <v>83.483198575787881</v>
      </c>
      <c r="AH41" s="62">
        <v>40</v>
      </c>
      <c r="AI41" s="61" t="s">
        <v>205</v>
      </c>
      <c r="AJ41" s="61" t="s">
        <v>355</v>
      </c>
      <c r="AK41" s="67">
        <v>89.446284188344293</v>
      </c>
      <c r="AM41" s="62">
        <v>40</v>
      </c>
      <c r="AN41" s="61" t="s">
        <v>205</v>
      </c>
      <c r="AO41" s="61" t="s">
        <v>355</v>
      </c>
      <c r="AP41" s="67">
        <v>96.326767587447677</v>
      </c>
      <c r="AR41" s="62">
        <v>40</v>
      </c>
      <c r="AS41" s="61" t="s">
        <v>205</v>
      </c>
      <c r="AT41" s="61" t="s">
        <v>384</v>
      </c>
      <c r="AU41" s="67">
        <v>96.326767587447677</v>
      </c>
      <c r="AW41" s="62">
        <v>40</v>
      </c>
      <c r="AX41" s="61" t="s">
        <v>205</v>
      </c>
      <c r="AY41" s="61" t="s">
        <v>359</v>
      </c>
      <c r="AZ41" s="67">
        <v>104.35399821973502</v>
      </c>
      <c r="BB41" s="62">
        <v>40</v>
      </c>
      <c r="BC41" s="61" t="s">
        <v>205</v>
      </c>
      <c r="BD41" s="61" t="s">
        <v>358</v>
      </c>
      <c r="BE41" s="67">
        <v>104.35399821973502</v>
      </c>
      <c r="BG41" s="62">
        <v>40</v>
      </c>
      <c r="BH41" s="61" t="s">
        <v>205</v>
      </c>
      <c r="BI41" s="61" t="s">
        <v>367</v>
      </c>
      <c r="BJ41" s="67">
        <v>113.84072533061982</v>
      </c>
      <c r="BL41" s="62">
        <v>40</v>
      </c>
      <c r="BM41" s="61" t="s">
        <v>205</v>
      </c>
      <c r="BN41" s="61" t="s">
        <v>363</v>
      </c>
      <c r="BO41" s="67">
        <v>113.84072533061982</v>
      </c>
      <c r="BQ41" s="62">
        <v>40</v>
      </c>
      <c r="BR41" s="61" t="s">
        <v>205</v>
      </c>
      <c r="BS41" s="61" t="s">
        <v>374</v>
      </c>
      <c r="BT41" s="67">
        <v>125.22479786368194</v>
      </c>
      <c r="BV41" s="62">
        <v>40</v>
      </c>
      <c r="BW41" s="61" t="s">
        <v>205</v>
      </c>
      <c r="BX41" s="61" t="s">
        <v>374</v>
      </c>
      <c r="BY41" s="67">
        <v>125.22479786368194</v>
      </c>
      <c r="CA41" s="62">
        <v>40</v>
      </c>
      <c r="CB41" s="61" t="s">
        <v>205</v>
      </c>
      <c r="CC41" s="61" t="s">
        <v>374</v>
      </c>
      <c r="CD41" s="67">
        <v>125.22479786368194</v>
      </c>
      <c r="CF41" s="62">
        <v>40</v>
      </c>
      <c r="CG41" s="61" t="s">
        <v>278</v>
      </c>
      <c r="CH41" s="61" t="s">
        <v>329</v>
      </c>
      <c r="CI41" s="67">
        <v>89.999999999999986</v>
      </c>
      <c r="CK41" s="62">
        <v>40</v>
      </c>
      <c r="CL41" s="61" t="s">
        <v>278</v>
      </c>
      <c r="CM41" s="61" t="s">
        <v>329</v>
      </c>
      <c r="CN41" s="67">
        <v>94.999999999999986</v>
      </c>
      <c r="CP41" s="62">
        <v>40</v>
      </c>
      <c r="CQ41" s="61" t="s">
        <v>278</v>
      </c>
      <c r="CR41" s="61" t="s">
        <v>329</v>
      </c>
      <c r="CS41" s="67">
        <v>99.999999999999986</v>
      </c>
      <c r="CU41" s="62">
        <v>40</v>
      </c>
      <c r="CV41" s="61" t="s">
        <v>278</v>
      </c>
      <c r="CW41" s="61" t="s">
        <v>329</v>
      </c>
      <c r="CX41" s="67">
        <v>145.625</v>
      </c>
      <c r="CZ41" s="62">
        <v>40</v>
      </c>
      <c r="DA41" s="61" t="s">
        <v>278</v>
      </c>
      <c r="DB41" s="61" t="s">
        <v>329</v>
      </c>
      <c r="DC41" s="67">
        <v>150.625</v>
      </c>
      <c r="DE41" s="62">
        <v>40</v>
      </c>
      <c r="DF41" s="61" t="s">
        <v>278</v>
      </c>
      <c r="DG41" s="61" t="s">
        <v>329</v>
      </c>
      <c r="DH41" s="67">
        <v>155.625</v>
      </c>
      <c r="DJ41" s="62">
        <v>40</v>
      </c>
      <c r="DK41" s="61" t="s">
        <v>278</v>
      </c>
      <c r="DL41" s="61" t="s">
        <v>329</v>
      </c>
      <c r="DM41" s="67">
        <v>160.625</v>
      </c>
      <c r="DO41" s="62">
        <v>40</v>
      </c>
      <c r="DP41" s="61" t="s">
        <v>278</v>
      </c>
      <c r="DQ41" s="61" t="s">
        <v>329</v>
      </c>
      <c r="DR41" s="67">
        <v>132.14285714285714</v>
      </c>
    </row>
    <row r="42" spans="1:122">
      <c r="S42" s="62">
        <v>41</v>
      </c>
      <c r="T42" s="61" t="s">
        <v>205</v>
      </c>
      <c r="U42" s="61" t="s">
        <v>355</v>
      </c>
      <c r="V42" s="67">
        <v>73.661645802165879</v>
      </c>
      <c r="X42" s="62">
        <v>41</v>
      </c>
      <c r="Y42" s="61" t="s">
        <v>205</v>
      </c>
      <c r="Z42" s="61" t="s">
        <v>355</v>
      </c>
      <c r="AA42" s="67">
        <v>78.265498664801214</v>
      </c>
      <c r="AC42" s="62">
        <v>41</v>
      </c>
      <c r="AD42" s="61" t="s">
        <v>205</v>
      </c>
      <c r="AE42" s="61" t="s">
        <v>355</v>
      </c>
      <c r="AF42" s="67">
        <v>83.483198575787995</v>
      </c>
      <c r="AH42" s="62">
        <v>41</v>
      </c>
      <c r="AI42" s="61" t="s">
        <v>205</v>
      </c>
      <c r="AJ42" s="61" t="s">
        <v>373</v>
      </c>
      <c r="AK42" s="67">
        <v>89.44628418834418</v>
      </c>
      <c r="AM42" s="62">
        <v>41</v>
      </c>
      <c r="AN42" s="61" t="s">
        <v>205</v>
      </c>
      <c r="AO42" s="61" t="s">
        <v>380</v>
      </c>
      <c r="AP42" s="67">
        <v>96.326767587447677</v>
      </c>
      <c r="AR42" s="62">
        <v>41</v>
      </c>
      <c r="AS42" s="61" t="s">
        <v>205</v>
      </c>
      <c r="AT42" s="61" t="s">
        <v>359</v>
      </c>
      <c r="AU42" s="67">
        <v>96.326767587447677</v>
      </c>
      <c r="AW42" s="62">
        <v>41</v>
      </c>
      <c r="AX42" s="61" t="s">
        <v>205</v>
      </c>
      <c r="AY42" s="61" t="s">
        <v>359</v>
      </c>
      <c r="AZ42" s="67">
        <v>104.35399821973502</v>
      </c>
      <c r="BB42" s="62">
        <v>41</v>
      </c>
      <c r="BC42" s="61" t="s">
        <v>205</v>
      </c>
      <c r="BD42" s="61" t="s">
        <v>358</v>
      </c>
      <c r="BE42" s="67">
        <v>104.35399821973502</v>
      </c>
      <c r="BG42" s="62">
        <v>41</v>
      </c>
      <c r="BH42" s="61" t="s">
        <v>205</v>
      </c>
      <c r="BI42" s="61" t="s">
        <v>402</v>
      </c>
      <c r="BJ42" s="67">
        <v>113.84072533061982</v>
      </c>
      <c r="BL42" s="62">
        <v>41</v>
      </c>
      <c r="BM42" s="61" t="s">
        <v>205</v>
      </c>
      <c r="BN42" s="61" t="s">
        <v>402</v>
      </c>
      <c r="BO42" s="67">
        <v>113.84072533061982</v>
      </c>
      <c r="BQ42" s="62">
        <v>41</v>
      </c>
      <c r="BR42" s="61" t="s">
        <v>278</v>
      </c>
      <c r="BS42" s="61" t="s">
        <v>329</v>
      </c>
      <c r="BT42" s="67">
        <v>50</v>
      </c>
      <c r="BV42" s="62">
        <v>41</v>
      </c>
      <c r="BW42" s="61" t="s">
        <v>278</v>
      </c>
      <c r="BX42" s="61" t="s">
        <v>329</v>
      </c>
      <c r="BY42" s="67">
        <v>55</v>
      </c>
      <c r="CA42" s="62">
        <v>41</v>
      </c>
      <c r="CB42" s="61" t="s">
        <v>278</v>
      </c>
      <c r="CC42" s="61" t="s">
        <v>329</v>
      </c>
      <c r="CD42" s="67">
        <v>60</v>
      </c>
      <c r="CF42" s="62">
        <v>41</v>
      </c>
      <c r="CG42" s="61" t="s">
        <v>278</v>
      </c>
      <c r="CH42" s="61" t="s">
        <v>329</v>
      </c>
      <c r="CI42" s="67">
        <v>98.333333333333314</v>
      </c>
      <c r="CK42" s="62">
        <v>41</v>
      </c>
      <c r="CL42" s="61" t="s">
        <v>278</v>
      </c>
      <c r="CM42" s="61" t="s">
        <v>329</v>
      </c>
      <c r="CN42" s="67">
        <v>103.33333333333331</v>
      </c>
      <c r="CP42" s="62">
        <v>41</v>
      </c>
      <c r="CQ42" s="61" t="s">
        <v>278</v>
      </c>
      <c r="CR42" s="61" t="s">
        <v>329</v>
      </c>
      <c r="CS42" s="67">
        <v>108.33333333333331</v>
      </c>
      <c r="CU42" s="62">
        <v>41</v>
      </c>
      <c r="CV42" s="61" t="s">
        <v>278</v>
      </c>
      <c r="CW42" s="61" t="s">
        <v>329</v>
      </c>
      <c r="CX42" s="67">
        <v>155</v>
      </c>
      <c r="CZ42" s="62">
        <v>41</v>
      </c>
      <c r="DA42" s="61" t="s">
        <v>278</v>
      </c>
      <c r="DB42" s="61" t="s">
        <v>329</v>
      </c>
      <c r="DC42" s="67">
        <v>160</v>
      </c>
      <c r="DE42" s="62">
        <v>41</v>
      </c>
      <c r="DF42" s="61" t="s">
        <v>278</v>
      </c>
      <c r="DG42" s="61" t="s">
        <v>329</v>
      </c>
      <c r="DH42" s="67">
        <v>165</v>
      </c>
      <c r="DJ42" s="62">
        <v>41</v>
      </c>
      <c r="DK42" s="61" t="s">
        <v>278</v>
      </c>
      <c r="DL42" s="61" t="s">
        <v>329</v>
      </c>
      <c r="DM42" s="67">
        <v>170</v>
      </c>
      <c r="DO42" s="62">
        <v>41</v>
      </c>
      <c r="DP42" s="61" t="s">
        <v>278</v>
      </c>
      <c r="DQ42" s="61" t="s">
        <v>329</v>
      </c>
      <c r="DR42" s="67">
        <v>121.42857142857143</v>
      </c>
    </row>
    <row r="43" spans="1:122">
      <c r="S43" s="62">
        <v>42</v>
      </c>
      <c r="T43" s="61" t="s">
        <v>205</v>
      </c>
      <c r="U43" s="61" t="s">
        <v>355</v>
      </c>
      <c r="V43" s="67">
        <v>73.661645802165822</v>
      </c>
      <c r="X43" s="62">
        <v>42</v>
      </c>
      <c r="Y43" s="61" t="s">
        <v>205</v>
      </c>
      <c r="Z43" s="61" t="s">
        <v>355</v>
      </c>
      <c r="AA43" s="67">
        <v>78.265498664801214</v>
      </c>
      <c r="AC43" s="62">
        <v>42</v>
      </c>
      <c r="AD43" s="61" t="s">
        <v>205</v>
      </c>
      <c r="AE43" s="61" t="s">
        <v>355</v>
      </c>
      <c r="AF43" s="67">
        <v>83.483198575787995</v>
      </c>
      <c r="AH43" s="62">
        <v>42</v>
      </c>
      <c r="AI43" s="61" t="s">
        <v>205</v>
      </c>
      <c r="AJ43" s="61" t="s">
        <v>355</v>
      </c>
      <c r="AK43" s="67">
        <v>89.44628418834418</v>
      </c>
      <c r="AM43" s="62">
        <v>42</v>
      </c>
      <c r="AN43" s="61" t="s">
        <v>205</v>
      </c>
      <c r="AO43" s="61" t="s">
        <v>355</v>
      </c>
      <c r="AP43" s="67">
        <v>96.326767587447677</v>
      </c>
      <c r="AR43" s="62">
        <v>42</v>
      </c>
      <c r="AS43" s="61" t="s">
        <v>205</v>
      </c>
      <c r="AT43" s="61" t="s">
        <v>359</v>
      </c>
      <c r="AU43" s="67">
        <v>96.326767587447677</v>
      </c>
      <c r="AW43" s="62">
        <v>42</v>
      </c>
      <c r="AX43" s="61" t="s">
        <v>205</v>
      </c>
      <c r="AY43" s="61" t="s">
        <v>359</v>
      </c>
      <c r="AZ43" s="67">
        <v>104.35399821973479</v>
      </c>
      <c r="BB43" s="62">
        <v>42</v>
      </c>
      <c r="BC43" s="61" t="s">
        <v>205</v>
      </c>
      <c r="BD43" s="61" t="s">
        <v>358</v>
      </c>
      <c r="BE43" s="67">
        <v>104.35399821973479</v>
      </c>
      <c r="BG43" s="62">
        <v>42</v>
      </c>
      <c r="BH43" s="61" t="s">
        <v>205</v>
      </c>
      <c r="BI43" s="61" t="s">
        <v>379</v>
      </c>
      <c r="BJ43" s="67">
        <v>113.84072533062026</v>
      </c>
      <c r="BL43" s="62">
        <v>42</v>
      </c>
      <c r="BM43" s="61" t="s">
        <v>205</v>
      </c>
      <c r="BN43" s="61" t="s">
        <v>388</v>
      </c>
      <c r="BO43" s="67">
        <v>113.84072533062026</v>
      </c>
      <c r="BQ43" s="62">
        <v>42</v>
      </c>
      <c r="BR43" s="61" t="s">
        <v>278</v>
      </c>
      <c r="BS43" s="61" t="s">
        <v>329</v>
      </c>
      <c r="BT43" s="67">
        <v>57.5</v>
      </c>
      <c r="BV43" s="62">
        <v>42</v>
      </c>
      <c r="BW43" s="61" t="s">
        <v>278</v>
      </c>
      <c r="BX43" s="61" t="s">
        <v>329</v>
      </c>
      <c r="BY43" s="67">
        <v>62.5</v>
      </c>
      <c r="CA43" s="62">
        <v>42</v>
      </c>
      <c r="CB43" s="61" t="s">
        <v>278</v>
      </c>
      <c r="CC43" s="61" t="s">
        <v>329</v>
      </c>
      <c r="CD43" s="67">
        <v>67.5</v>
      </c>
      <c r="CF43" s="62">
        <v>42</v>
      </c>
      <c r="CG43" s="61" t="s">
        <v>278</v>
      </c>
      <c r="CH43" s="61" t="s">
        <v>329</v>
      </c>
      <c r="CI43" s="67">
        <v>106.66666666666664</v>
      </c>
      <c r="CK43" s="62">
        <v>42</v>
      </c>
      <c r="CL43" s="61" t="s">
        <v>278</v>
      </c>
      <c r="CM43" s="61" t="s">
        <v>329</v>
      </c>
      <c r="CN43" s="67">
        <v>111.66666666666664</v>
      </c>
      <c r="CP43" s="62">
        <v>42</v>
      </c>
      <c r="CQ43" s="61" t="s">
        <v>278</v>
      </c>
      <c r="CR43" s="61" t="s">
        <v>329</v>
      </c>
      <c r="CS43" s="67">
        <v>116.66666666666664</v>
      </c>
      <c r="CU43" s="62">
        <v>42</v>
      </c>
      <c r="CV43" s="61" t="s">
        <v>278</v>
      </c>
      <c r="CW43" s="61" t="s">
        <v>329</v>
      </c>
      <c r="CX43" s="67">
        <v>145.625</v>
      </c>
      <c r="CZ43" s="62">
        <v>42</v>
      </c>
      <c r="DA43" s="61" t="s">
        <v>278</v>
      </c>
      <c r="DB43" s="61" t="s">
        <v>329</v>
      </c>
      <c r="DC43" s="67">
        <v>150.625</v>
      </c>
      <c r="DE43" s="62">
        <v>42</v>
      </c>
      <c r="DF43" s="61" t="s">
        <v>278</v>
      </c>
      <c r="DG43" s="61" t="s">
        <v>329</v>
      </c>
      <c r="DH43" s="67">
        <v>155.625</v>
      </c>
      <c r="DJ43" s="62">
        <v>42</v>
      </c>
      <c r="DK43" s="61" t="s">
        <v>278</v>
      </c>
      <c r="DL43" s="61" t="s">
        <v>329</v>
      </c>
      <c r="DM43" s="67">
        <v>160.625</v>
      </c>
      <c r="DO43" s="62">
        <v>42</v>
      </c>
      <c r="DP43" s="61" t="s">
        <v>278</v>
      </c>
      <c r="DQ43" s="61" t="s">
        <v>329</v>
      </c>
      <c r="DR43" s="67">
        <v>110.71428571428572</v>
      </c>
    </row>
    <row r="44" spans="1:122">
      <c r="S44" s="62">
        <v>43</v>
      </c>
      <c r="T44" s="61" t="s">
        <v>205</v>
      </c>
      <c r="U44" s="61" t="s">
        <v>355</v>
      </c>
      <c r="V44" s="67">
        <v>73.661645802165822</v>
      </c>
      <c r="X44" s="62">
        <v>43</v>
      </c>
      <c r="Y44" s="61" t="s">
        <v>205</v>
      </c>
      <c r="Z44" s="61" t="s">
        <v>355</v>
      </c>
      <c r="AA44" s="67">
        <v>78.265498664801214</v>
      </c>
      <c r="AC44" s="62">
        <v>43</v>
      </c>
      <c r="AD44" s="61" t="s">
        <v>205</v>
      </c>
      <c r="AE44" s="61" t="s">
        <v>355</v>
      </c>
      <c r="AF44" s="67">
        <v>83.483198575787881</v>
      </c>
      <c r="AH44" s="62">
        <v>43</v>
      </c>
      <c r="AI44" s="61" t="s">
        <v>205</v>
      </c>
      <c r="AJ44" s="61" t="s">
        <v>355</v>
      </c>
      <c r="AK44" s="67">
        <v>89.446284188344407</v>
      </c>
      <c r="AM44" s="62">
        <v>43</v>
      </c>
      <c r="AN44" s="61" t="s">
        <v>205</v>
      </c>
      <c r="AO44" s="61" t="s">
        <v>355</v>
      </c>
      <c r="AP44" s="67">
        <v>96.326767587447677</v>
      </c>
      <c r="AR44" s="62">
        <v>43</v>
      </c>
      <c r="AS44" s="61" t="s">
        <v>205</v>
      </c>
      <c r="AT44" s="61" t="s">
        <v>373</v>
      </c>
      <c r="AU44" s="67">
        <v>96.326767587447677</v>
      </c>
      <c r="AW44" s="62">
        <v>43</v>
      </c>
      <c r="AX44" s="61" t="s">
        <v>205</v>
      </c>
      <c r="AY44" s="61" t="s">
        <v>399</v>
      </c>
      <c r="AZ44" s="67">
        <v>104.35399821973502</v>
      </c>
      <c r="BB44" s="62">
        <v>43</v>
      </c>
      <c r="BC44" s="61" t="s">
        <v>205</v>
      </c>
      <c r="BD44" s="61" t="s">
        <v>360</v>
      </c>
      <c r="BE44" s="67">
        <v>104.35399821973502</v>
      </c>
      <c r="BG44" s="62">
        <v>43</v>
      </c>
      <c r="BH44" s="61" t="s">
        <v>205</v>
      </c>
      <c r="BI44" s="61" t="s">
        <v>374</v>
      </c>
      <c r="BJ44" s="67">
        <v>113.84072533061982</v>
      </c>
      <c r="BL44" s="62">
        <v>43</v>
      </c>
      <c r="BM44" s="61" t="s">
        <v>205</v>
      </c>
      <c r="BN44" s="61" t="s">
        <v>374</v>
      </c>
      <c r="BO44" s="67">
        <v>113.84072533061982</v>
      </c>
      <c r="BQ44" s="62">
        <v>43</v>
      </c>
      <c r="BR44" s="61" t="s">
        <v>278</v>
      </c>
      <c r="BS44" s="61" t="s">
        <v>329</v>
      </c>
      <c r="BT44" s="67">
        <v>65</v>
      </c>
      <c r="BV44" s="62">
        <v>43</v>
      </c>
      <c r="BW44" s="61" t="s">
        <v>278</v>
      </c>
      <c r="BX44" s="61" t="s">
        <v>329</v>
      </c>
      <c r="BY44" s="67">
        <v>70</v>
      </c>
      <c r="CA44" s="62">
        <v>43</v>
      </c>
      <c r="CB44" s="61" t="s">
        <v>278</v>
      </c>
      <c r="CC44" s="61" t="s">
        <v>329</v>
      </c>
      <c r="CD44" s="67">
        <v>75</v>
      </c>
      <c r="CF44" s="62">
        <v>43</v>
      </c>
      <c r="CG44" s="61" t="s">
        <v>278</v>
      </c>
      <c r="CH44" s="61" t="s">
        <v>329</v>
      </c>
      <c r="CI44" s="67">
        <v>114.99999999999997</v>
      </c>
      <c r="CK44" s="62">
        <v>43</v>
      </c>
      <c r="CL44" s="61" t="s">
        <v>278</v>
      </c>
      <c r="CM44" s="61" t="s">
        <v>329</v>
      </c>
      <c r="CN44" s="67">
        <v>119.99999999999997</v>
      </c>
      <c r="CP44" s="62">
        <v>43</v>
      </c>
      <c r="CQ44" s="61" t="s">
        <v>278</v>
      </c>
      <c r="CR44" s="61" t="s">
        <v>329</v>
      </c>
      <c r="CS44" s="67">
        <v>124.99999999999997</v>
      </c>
      <c r="CU44" s="62">
        <v>43</v>
      </c>
      <c r="CV44" s="61" t="s">
        <v>278</v>
      </c>
      <c r="CW44" s="61" t="s">
        <v>329</v>
      </c>
      <c r="CX44" s="67">
        <v>136.25</v>
      </c>
      <c r="CZ44" s="62">
        <v>43</v>
      </c>
      <c r="DA44" s="61" t="s">
        <v>278</v>
      </c>
      <c r="DB44" s="61" t="s">
        <v>329</v>
      </c>
      <c r="DC44" s="67">
        <v>141.25</v>
      </c>
      <c r="DE44" s="62">
        <v>43</v>
      </c>
      <c r="DF44" s="61" t="s">
        <v>278</v>
      </c>
      <c r="DG44" s="61" t="s">
        <v>329</v>
      </c>
      <c r="DH44" s="67">
        <v>146.25</v>
      </c>
      <c r="DJ44" s="62">
        <v>43</v>
      </c>
      <c r="DK44" s="61" t="s">
        <v>278</v>
      </c>
      <c r="DL44" s="61" t="s">
        <v>329</v>
      </c>
      <c r="DM44" s="67">
        <v>151.25</v>
      </c>
      <c r="DO44" s="62">
        <v>43</v>
      </c>
      <c r="DP44" s="61" t="s">
        <v>278</v>
      </c>
      <c r="DQ44" s="61" t="s">
        <v>329</v>
      </c>
      <c r="DR44" s="67">
        <v>100.00000000000001</v>
      </c>
    </row>
    <row r="45" spans="1:122">
      <c r="S45" s="62">
        <v>44</v>
      </c>
      <c r="T45" s="61" t="s">
        <v>205</v>
      </c>
      <c r="U45" s="61" t="s">
        <v>355</v>
      </c>
      <c r="V45" s="67">
        <v>73.661645802165822</v>
      </c>
      <c r="X45" s="62">
        <v>44</v>
      </c>
      <c r="Y45" s="61" t="s">
        <v>205</v>
      </c>
      <c r="Z45" s="61" t="s">
        <v>355</v>
      </c>
      <c r="AA45" s="67">
        <v>78.265498664801214</v>
      </c>
      <c r="AC45" s="62">
        <v>44</v>
      </c>
      <c r="AD45" s="61" t="s">
        <v>205</v>
      </c>
      <c r="AE45" s="61" t="s">
        <v>355</v>
      </c>
      <c r="AF45" s="67">
        <v>83.483198575787881</v>
      </c>
      <c r="AH45" s="62">
        <v>44</v>
      </c>
      <c r="AI45" s="61" t="s">
        <v>205</v>
      </c>
      <c r="AJ45" s="61" t="s">
        <v>373</v>
      </c>
      <c r="AK45" s="67">
        <v>89.44628418834418</v>
      </c>
      <c r="AM45" s="62">
        <v>44</v>
      </c>
      <c r="AN45" s="61" t="s">
        <v>205</v>
      </c>
      <c r="AO45" s="61" t="s">
        <v>355</v>
      </c>
      <c r="AP45" s="67">
        <v>96.326767587447677</v>
      </c>
      <c r="AR45" s="62">
        <v>44</v>
      </c>
      <c r="AS45" s="61" t="s">
        <v>205</v>
      </c>
      <c r="AT45" s="61" t="s">
        <v>373</v>
      </c>
      <c r="AU45" s="67">
        <v>96.326767587447677</v>
      </c>
      <c r="AW45" s="62">
        <v>44</v>
      </c>
      <c r="AX45" s="61" t="s">
        <v>205</v>
      </c>
      <c r="AY45" s="61" t="s">
        <v>378</v>
      </c>
      <c r="AZ45" s="67">
        <v>104.35399821973502</v>
      </c>
      <c r="BB45" s="62">
        <v>44</v>
      </c>
      <c r="BC45" s="61" t="s">
        <v>205</v>
      </c>
      <c r="BD45" s="61" t="s">
        <v>367</v>
      </c>
      <c r="BE45" s="67">
        <v>104.35399821973502</v>
      </c>
      <c r="BG45" s="62">
        <v>44</v>
      </c>
      <c r="BH45" s="61" t="s">
        <v>205</v>
      </c>
      <c r="BI45" s="61" t="s">
        <v>374</v>
      </c>
      <c r="BJ45" s="67">
        <v>113.84072533061982</v>
      </c>
      <c r="BL45" s="62">
        <v>44</v>
      </c>
      <c r="BM45" s="61" t="s">
        <v>205</v>
      </c>
      <c r="BN45" s="61" t="s">
        <v>374</v>
      </c>
      <c r="BO45" s="67">
        <v>113.84072533061982</v>
      </c>
      <c r="BQ45" s="62">
        <v>44</v>
      </c>
      <c r="BR45" s="61" t="s">
        <v>278</v>
      </c>
      <c r="BS45" s="61" t="s">
        <v>329</v>
      </c>
      <c r="BT45" s="67">
        <v>72.5</v>
      </c>
      <c r="BV45" s="62">
        <v>44</v>
      </c>
      <c r="BW45" s="61" t="s">
        <v>278</v>
      </c>
      <c r="BX45" s="61" t="s">
        <v>329</v>
      </c>
      <c r="BY45" s="67">
        <v>77.5</v>
      </c>
      <c r="CA45" s="62">
        <v>44</v>
      </c>
      <c r="CB45" s="61" t="s">
        <v>278</v>
      </c>
      <c r="CC45" s="61" t="s">
        <v>329</v>
      </c>
      <c r="CD45" s="67">
        <v>82.5</v>
      </c>
      <c r="CF45" s="62">
        <v>44</v>
      </c>
      <c r="CG45" s="61" t="s">
        <v>278</v>
      </c>
      <c r="CH45" s="61" t="s">
        <v>329</v>
      </c>
      <c r="CI45" s="67">
        <v>123.3333333333333</v>
      </c>
      <c r="CK45" s="62">
        <v>44</v>
      </c>
      <c r="CL45" s="61" t="s">
        <v>278</v>
      </c>
      <c r="CM45" s="61" t="s">
        <v>329</v>
      </c>
      <c r="CN45" s="67">
        <v>128.33333333333331</v>
      </c>
      <c r="CP45" s="62">
        <v>44</v>
      </c>
      <c r="CQ45" s="61" t="s">
        <v>278</v>
      </c>
      <c r="CR45" s="61" t="s">
        <v>329</v>
      </c>
      <c r="CS45" s="67">
        <v>133.33333333333331</v>
      </c>
      <c r="CU45" s="62">
        <v>44</v>
      </c>
      <c r="CV45" s="61" t="s">
        <v>278</v>
      </c>
      <c r="CW45" s="61" t="s">
        <v>329</v>
      </c>
      <c r="CX45" s="67">
        <v>126.875</v>
      </c>
      <c r="CZ45" s="62">
        <v>44</v>
      </c>
      <c r="DA45" s="61" t="s">
        <v>278</v>
      </c>
      <c r="DB45" s="61" t="s">
        <v>329</v>
      </c>
      <c r="DC45" s="67">
        <v>131.875</v>
      </c>
      <c r="DE45" s="62">
        <v>44</v>
      </c>
      <c r="DF45" s="61" t="s">
        <v>278</v>
      </c>
      <c r="DG45" s="61" t="s">
        <v>329</v>
      </c>
      <c r="DH45" s="67">
        <v>136.875</v>
      </c>
      <c r="DJ45" s="62">
        <v>44</v>
      </c>
      <c r="DK45" s="61" t="s">
        <v>278</v>
      </c>
      <c r="DL45" s="61" t="s">
        <v>329</v>
      </c>
      <c r="DM45" s="67">
        <v>141.875</v>
      </c>
      <c r="DO45" s="62">
        <v>44</v>
      </c>
      <c r="DP45" s="61" t="s">
        <v>206</v>
      </c>
      <c r="DQ45" s="61" t="s">
        <v>414</v>
      </c>
      <c r="DR45" s="67">
        <v>210.1080868583247</v>
      </c>
    </row>
    <row r="46" spans="1:122">
      <c r="S46" s="62">
        <v>45</v>
      </c>
      <c r="T46" s="61" t="s">
        <v>205</v>
      </c>
      <c r="U46" s="61" t="s">
        <v>355</v>
      </c>
      <c r="V46" s="67">
        <v>73.661645802165935</v>
      </c>
      <c r="X46" s="62">
        <v>45</v>
      </c>
      <c r="Y46" s="61" t="s">
        <v>205</v>
      </c>
      <c r="Z46" s="61" t="s">
        <v>355</v>
      </c>
      <c r="AA46" s="67">
        <v>78.265498664801214</v>
      </c>
      <c r="AC46" s="62">
        <v>45</v>
      </c>
      <c r="AD46" s="61" t="s">
        <v>205</v>
      </c>
      <c r="AE46" s="61" t="s">
        <v>355</v>
      </c>
      <c r="AF46" s="67">
        <v>83.483198575788109</v>
      </c>
      <c r="AH46" s="62">
        <v>45</v>
      </c>
      <c r="AI46" s="61" t="s">
        <v>205</v>
      </c>
      <c r="AJ46" s="61" t="s">
        <v>355</v>
      </c>
      <c r="AK46" s="67">
        <v>89.44628418834418</v>
      </c>
      <c r="AM46" s="62">
        <v>45</v>
      </c>
      <c r="AN46" s="61" t="s">
        <v>205</v>
      </c>
      <c r="AO46" s="61" t="s">
        <v>355</v>
      </c>
      <c r="AP46" s="67">
        <v>96.326767587447677</v>
      </c>
      <c r="AR46" s="62">
        <v>45</v>
      </c>
      <c r="AS46" s="61" t="s">
        <v>205</v>
      </c>
      <c r="AT46" s="61" t="s">
        <v>373</v>
      </c>
      <c r="AU46" s="67">
        <v>96.326767587447677</v>
      </c>
      <c r="AW46" s="62">
        <v>45</v>
      </c>
      <c r="AX46" s="61" t="s">
        <v>205</v>
      </c>
      <c r="AY46" s="61" t="s">
        <v>364</v>
      </c>
      <c r="AZ46" s="67">
        <v>104.35399821973479</v>
      </c>
      <c r="BB46" s="62">
        <v>45</v>
      </c>
      <c r="BC46" s="61" t="s">
        <v>205</v>
      </c>
      <c r="BD46" s="61" t="s">
        <v>371</v>
      </c>
      <c r="BE46" s="67">
        <v>104.35399821973479</v>
      </c>
      <c r="BG46" s="62">
        <v>45</v>
      </c>
      <c r="BH46" s="61" t="s">
        <v>278</v>
      </c>
      <c r="BI46" s="61" t="s">
        <v>329</v>
      </c>
      <c r="BJ46" s="67">
        <v>40</v>
      </c>
      <c r="BL46" s="62">
        <v>45</v>
      </c>
      <c r="BM46" s="61" t="s">
        <v>278</v>
      </c>
      <c r="BN46" s="61" t="s">
        <v>329</v>
      </c>
      <c r="BO46" s="67">
        <v>45</v>
      </c>
      <c r="BQ46" s="62">
        <v>45</v>
      </c>
      <c r="BR46" s="61" t="s">
        <v>278</v>
      </c>
      <c r="BS46" s="61" t="s">
        <v>329</v>
      </c>
      <c r="BT46" s="67">
        <v>80</v>
      </c>
      <c r="BV46" s="62">
        <v>45</v>
      </c>
      <c r="BW46" s="61" t="s">
        <v>278</v>
      </c>
      <c r="BX46" s="61" t="s">
        <v>329</v>
      </c>
      <c r="BY46" s="67">
        <v>85</v>
      </c>
      <c r="CA46" s="62">
        <v>45</v>
      </c>
      <c r="CB46" s="61" t="s">
        <v>278</v>
      </c>
      <c r="CC46" s="61" t="s">
        <v>329</v>
      </c>
      <c r="CD46" s="67">
        <v>90</v>
      </c>
      <c r="CF46" s="62">
        <v>45</v>
      </c>
      <c r="CG46" s="61" t="s">
        <v>278</v>
      </c>
      <c r="CH46" s="61" t="s">
        <v>329</v>
      </c>
      <c r="CI46" s="67">
        <v>131.66666666666663</v>
      </c>
      <c r="CK46" s="62">
        <v>45</v>
      </c>
      <c r="CL46" s="61" t="s">
        <v>278</v>
      </c>
      <c r="CM46" s="61" t="s">
        <v>329</v>
      </c>
      <c r="CN46" s="67">
        <v>136.66666666666666</v>
      </c>
      <c r="CP46" s="62">
        <v>45</v>
      </c>
      <c r="CQ46" s="61" t="s">
        <v>278</v>
      </c>
      <c r="CR46" s="61" t="s">
        <v>329</v>
      </c>
      <c r="CS46" s="67">
        <v>141.66666666666666</v>
      </c>
      <c r="CU46" s="62">
        <v>45</v>
      </c>
      <c r="CV46" s="61" t="s">
        <v>278</v>
      </c>
      <c r="CW46" s="61" t="s">
        <v>329</v>
      </c>
      <c r="CX46" s="67">
        <v>117.5</v>
      </c>
      <c r="CZ46" s="62">
        <v>45</v>
      </c>
      <c r="DA46" s="61" t="s">
        <v>278</v>
      </c>
      <c r="DB46" s="61" t="s">
        <v>329</v>
      </c>
      <c r="DC46" s="67">
        <v>122.5</v>
      </c>
      <c r="DE46" s="62">
        <v>45</v>
      </c>
      <c r="DF46" s="61" t="s">
        <v>278</v>
      </c>
      <c r="DG46" s="61" t="s">
        <v>329</v>
      </c>
      <c r="DH46" s="67">
        <v>127.5</v>
      </c>
      <c r="DJ46" s="62">
        <v>45</v>
      </c>
      <c r="DK46" s="61" t="s">
        <v>278</v>
      </c>
      <c r="DL46" s="61" t="s">
        <v>329</v>
      </c>
      <c r="DM46" s="67">
        <v>132.5</v>
      </c>
      <c r="DO46" s="62">
        <v>45</v>
      </c>
      <c r="DP46" s="61" t="s">
        <v>206</v>
      </c>
      <c r="DQ46" s="61" t="s">
        <v>417</v>
      </c>
      <c r="DR46" s="67">
        <v>215.94594939758534</v>
      </c>
    </row>
    <row r="47" spans="1:122">
      <c r="S47" s="62">
        <v>46</v>
      </c>
      <c r="T47" s="61" t="s">
        <v>205</v>
      </c>
      <c r="U47" s="61" t="s">
        <v>355</v>
      </c>
      <c r="V47" s="67">
        <v>73.661645802165822</v>
      </c>
      <c r="X47" s="62">
        <v>46</v>
      </c>
      <c r="Y47" s="61" t="s">
        <v>205</v>
      </c>
      <c r="Z47" s="61" t="s">
        <v>355</v>
      </c>
      <c r="AA47" s="67">
        <v>78.265498664801214</v>
      </c>
      <c r="AC47" s="62">
        <v>46</v>
      </c>
      <c r="AD47" s="61" t="s">
        <v>205</v>
      </c>
      <c r="AE47" s="61" t="s">
        <v>355</v>
      </c>
      <c r="AF47" s="67">
        <v>83.483198575787881</v>
      </c>
      <c r="AH47" s="62">
        <v>46</v>
      </c>
      <c r="AI47" s="61" t="s">
        <v>205</v>
      </c>
      <c r="AJ47" s="61" t="s">
        <v>355</v>
      </c>
      <c r="AK47" s="67">
        <v>89.446284188344407</v>
      </c>
      <c r="AM47" s="62">
        <v>46</v>
      </c>
      <c r="AN47" s="61" t="s">
        <v>205</v>
      </c>
      <c r="AO47" s="61" t="s">
        <v>355</v>
      </c>
      <c r="AP47" s="67">
        <v>96.326767587447677</v>
      </c>
      <c r="AR47" s="62">
        <v>46</v>
      </c>
      <c r="AS47" s="61" t="s">
        <v>205</v>
      </c>
      <c r="AT47" s="61" t="s">
        <v>358</v>
      </c>
      <c r="AU47" s="67">
        <v>96.326767587447677</v>
      </c>
      <c r="AW47" s="62">
        <v>46</v>
      </c>
      <c r="AX47" s="61" t="s">
        <v>205</v>
      </c>
      <c r="AY47" s="61" t="s">
        <v>388</v>
      </c>
      <c r="AZ47" s="67">
        <v>104.35399821973525</v>
      </c>
      <c r="BB47" s="62">
        <v>46</v>
      </c>
      <c r="BC47" s="61" t="s">
        <v>205</v>
      </c>
      <c r="BD47" s="61" t="s">
        <v>357</v>
      </c>
      <c r="BE47" s="67">
        <v>104.35399821973525</v>
      </c>
      <c r="BG47" s="62">
        <v>46</v>
      </c>
      <c r="BH47" s="61" t="s">
        <v>278</v>
      </c>
      <c r="BI47" s="61" t="s">
        <v>329</v>
      </c>
      <c r="BJ47" s="67">
        <v>46.81818181818182</v>
      </c>
      <c r="BL47" s="62">
        <v>46</v>
      </c>
      <c r="BM47" s="61" t="s">
        <v>278</v>
      </c>
      <c r="BN47" s="61" t="s">
        <v>329</v>
      </c>
      <c r="BO47" s="67">
        <v>51.81818181818182</v>
      </c>
      <c r="BQ47" s="62">
        <v>46</v>
      </c>
      <c r="BR47" s="61" t="s">
        <v>278</v>
      </c>
      <c r="BS47" s="61" t="s">
        <v>329</v>
      </c>
      <c r="BT47" s="67">
        <v>87.5</v>
      </c>
      <c r="BV47" s="62">
        <v>46</v>
      </c>
      <c r="BW47" s="61" t="s">
        <v>278</v>
      </c>
      <c r="BX47" s="61" t="s">
        <v>329</v>
      </c>
      <c r="BY47" s="67">
        <v>92.5</v>
      </c>
      <c r="CA47" s="62">
        <v>46</v>
      </c>
      <c r="CB47" s="61" t="s">
        <v>278</v>
      </c>
      <c r="CC47" s="61" t="s">
        <v>329</v>
      </c>
      <c r="CD47" s="67">
        <v>97.5</v>
      </c>
      <c r="CF47" s="62">
        <v>46</v>
      </c>
      <c r="CG47" s="61" t="s">
        <v>278</v>
      </c>
      <c r="CH47" s="61" t="s">
        <v>329</v>
      </c>
      <c r="CI47" s="67">
        <v>139.99999999999997</v>
      </c>
      <c r="CK47" s="62">
        <v>46</v>
      </c>
      <c r="CL47" s="61" t="s">
        <v>278</v>
      </c>
      <c r="CM47" s="61" t="s">
        <v>329</v>
      </c>
      <c r="CN47" s="67">
        <v>145</v>
      </c>
      <c r="CP47" s="62">
        <v>46</v>
      </c>
      <c r="CQ47" s="61" t="s">
        <v>278</v>
      </c>
      <c r="CR47" s="61" t="s">
        <v>329</v>
      </c>
      <c r="CS47" s="67">
        <v>150</v>
      </c>
      <c r="CU47" s="62">
        <v>46</v>
      </c>
      <c r="CV47" s="61" t="s">
        <v>278</v>
      </c>
      <c r="CW47" s="61" t="s">
        <v>329</v>
      </c>
      <c r="CX47" s="67">
        <v>108.125</v>
      </c>
      <c r="CZ47" s="62">
        <v>46</v>
      </c>
      <c r="DA47" s="61" t="s">
        <v>278</v>
      </c>
      <c r="DB47" s="61" t="s">
        <v>329</v>
      </c>
      <c r="DC47" s="67">
        <v>113.125</v>
      </c>
      <c r="DE47" s="62">
        <v>46</v>
      </c>
      <c r="DF47" s="61" t="s">
        <v>278</v>
      </c>
      <c r="DG47" s="61" t="s">
        <v>329</v>
      </c>
      <c r="DH47" s="67">
        <v>118.125</v>
      </c>
      <c r="DJ47" s="62">
        <v>46</v>
      </c>
      <c r="DK47" s="61" t="s">
        <v>278</v>
      </c>
      <c r="DL47" s="61" t="s">
        <v>329</v>
      </c>
      <c r="DM47" s="67">
        <v>123.125</v>
      </c>
      <c r="DO47" s="62">
        <v>46</v>
      </c>
      <c r="DP47" s="61" t="s">
        <v>206</v>
      </c>
      <c r="DQ47" s="61" t="s">
        <v>424</v>
      </c>
      <c r="DR47" s="67">
        <v>222.14745057262843</v>
      </c>
    </row>
    <row r="48" spans="1:122">
      <c r="S48" s="62">
        <v>47</v>
      </c>
      <c r="T48" s="61" t="s">
        <v>205</v>
      </c>
      <c r="U48" s="61" t="s">
        <v>355</v>
      </c>
      <c r="V48" s="67">
        <v>73.661645802165822</v>
      </c>
      <c r="X48" s="62">
        <v>47</v>
      </c>
      <c r="Y48" s="61" t="s">
        <v>205</v>
      </c>
      <c r="Z48" s="61" t="s">
        <v>355</v>
      </c>
      <c r="AA48" s="67">
        <v>78.265498664801214</v>
      </c>
      <c r="AC48" s="62">
        <v>47</v>
      </c>
      <c r="AD48" s="61" t="s">
        <v>205</v>
      </c>
      <c r="AE48" s="61" t="s">
        <v>355</v>
      </c>
      <c r="AF48" s="67">
        <v>83.483198575787881</v>
      </c>
      <c r="AH48" s="62">
        <v>47</v>
      </c>
      <c r="AI48" s="61" t="s">
        <v>205</v>
      </c>
      <c r="AJ48" s="61" t="s">
        <v>355</v>
      </c>
      <c r="AK48" s="67">
        <v>89.44628418834418</v>
      </c>
      <c r="AM48" s="62">
        <v>47</v>
      </c>
      <c r="AN48" s="61" t="s">
        <v>205</v>
      </c>
      <c r="AO48" s="61" t="s">
        <v>358</v>
      </c>
      <c r="AP48" s="67">
        <v>96.326767587447449</v>
      </c>
      <c r="AR48" s="62">
        <v>47</v>
      </c>
      <c r="AS48" s="61" t="s">
        <v>205</v>
      </c>
      <c r="AT48" s="61" t="s">
        <v>398</v>
      </c>
      <c r="AU48" s="67">
        <v>96.326767587447449</v>
      </c>
      <c r="AW48" s="62">
        <v>47</v>
      </c>
      <c r="AX48" s="61" t="s">
        <v>205</v>
      </c>
      <c r="AY48" s="61" t="s">
        <v>374</v>
      </c>
      <c r="AZ48" s="67">
        <v>104.35399821973479</v>
      </c>
      <c r="BB48" s="62">
        <v>47</v>
      </c>
      <c r="BC48" s="61" t="s">
        <v>205</v>
      </c>
      <c r="BD48" s="61" t="s">
        <v>374</v>
      </c>
      <c r="BE48" s="67">
        <v>104.35399821973479</v>
      </c>
      <c r="BG48" s="62">
        <v>47</v>
      </c>
      <c r="BH48" s="61" t="s">
        <v>278</v>
      </c>
      <c r="BI48" s="61" t="s">
        <v>329</v>
      </c>
      <c r="BJ48" s="67">
        <v>53.63636363636364</v>
      </c>
      <c r="BL48" s="62">
        <v>47</v>
      </c>
      <c r="BM48" s="61" t="s">
        <v>278</v>
      </c>
      <c r="BN48" s="61" t="s">
        <v>329</v>
      </c>
      <c r="BO48" s="67">
        <v>58.63636363636364</v>
      </c>
      <c r="BQ48" s="62">
        <v>47</v>
      </c>
      <c r="BR48" s="61" t="s">
        <v>278</v>
      </c>
      <c r="BS48" s="61" t="s">
        <v>329</v>
      </c>
      <c r="BT48" s="67">
        <v>95</v>
      </c>
      <c r="BV48" s="62">
        <v>47</v>
      </c>
      <c r="BW48" s="61" t="s">
        <v>278</v>
      </c>
      <c r="BX48" s="61" t="s">
        <v>329</v>
      </c>
      <c r="BY48" s="67">
        <v>100</v>
      </c>
      <c r="CA48" s="62">
        <v>47</v>
      </c>
      <c r="CB48" s="61" t="s">
        <v>278</v>
      </c>
      <c r="CC48" s="61" t="s">
        <v>329</v>
      </c>
      <c r="CD48" s="67">
        <v>105</v>
      </c>
      <c r="CF48" s="62">
        <v>47</v>
      </c>
      <c r="CG48" s="61" t="s">
        <v>278</v>
      </c>
      <c r="CH48" s="61" t="s">
        <v>329</v>
      </c>
      <c r="CI48" s="67">
        <v>131.66666666666663</v>
      </c>
      <c r="CK48" s="62">
        <v>47</v>
      </c>
      <c r="CL48" s="61" t="s">
        <v>278</v>
      </c>
      <c r="CM48" s="61" t="s">
        <v>329</v>
      </c>
      <c r="CN48" s="67">
        <v>136.66666666666666</v>
      </c>
      <c r="CP48" s="62">
        <v>47</v>
      </c>
      <c r="CQ48" s="61" t="s">
        <v>278</v>
      </c>
      <c r="CR48" s="61" t="s">
        <v>329</v>
      </c>
      <c r="CS48" s="67">
        <v>141.66666666666666</v>
      </c>
      <c r="CU48" s="62">
        <v>47</v>
      </c>
      <c r="CV48" s="61" t="s">
        <v>278</v>
      </c>
      <c r="CW48" s="61" t="s">
        <v>329</v>
      </c>
      <c r="CX48" s="67">
        <v>98.75</v>
      </c>
      <c r="CZ48" s="62">
        <v>47</v>
      </c>
      <c r="DA48" s="61" t="s">
        <v>278</v>
      </c>
      <c r="DB48" s="61" t="s">
        <v>329</v>
      </c>
      <c r="DC48" s="67">
        <v>103.75</v>
      </c>
      <c r="DE48" s="62">
        <v>47</v>
      </c>
      <c r="DF48" s="61" t="s">
        <v>278</v>
      </c>
      <c r="DG48" s="61" t="s">
        <v>329</v>
      </c>
      <c r="DH48" s="67">
        <v>108.75</v>
      </c>
      <c r="DJ48" s="62">
        <v>47</v>
      </c>
      <c r="DK48" s="61" t="s">
        <v>278</v>
      </c>
      <c r="DL48" s="61" t="s">
        <v>329</v>
      </c>
      <c r="DM48" s="67">
        <v>113.75</v>
      </c>
      <c r="DO48" s="62">
        <v>47</v>
      </c>
      <c r="DP48" s="61" t="s">
        <v>206</v>
      </c>
      <c r="DQ48" s="61" t="s">
        <v>425</v>
      </c>
      <c r="DR48" s="67">
        <v>228.68300847974459</v>
      </c>
    </row>
    <row r="49" spans="19:122">
      <c r="S49" s="62">
        <v>48</v>
      </c>
      <c r="T49" s="61" t="s">
        <v>205</v>
      </c>
      <c r="U49" s="61" t="s">
        <v>355</v>
      </c>
      <c r="V49" s="67">
        <v>73.661645802165935</v>
      </c>
      <c r="X49" s="62">
        <v>48</v>
      </c>
      <c r="Y49" s="61" t="s">
        <v>205</v>
      </c>
      <c r="Z49" s="61" t="s">
        <v>355</v>
      </c>
      <c r="AA49" s="67">
        <v>78.265498664801214</v>
      </c>
      <c r="AC49" s="62">
        <v>48</v>
      </c>
      <c r="AD49" s="61" t="s">
        <v>205</v>
      </c>
      <c r="AE49" s="61" t="s">
        <v>355</v>
      </c>
      <c r="AF49" s="67">
        <v>83.483198575788109</v>
      </c>
      <c r="AH49" s="62">
        <v>48</v>
      </c>
      <c r="AI49" s="61" t="s">
        <v>205</v>
      </c>
      <c r="AJ49" s="61" t="s">
        <v>355</v>
      </c>
      <c r="AK49" s="67">
        <v>89.44628418834418</v>
      </c>
      <c r="AM49" s="62">
        <v>48</v>
      </c>
      <c r="AN49" s="61" t="s">
        <v>205</v>
      </c>
      <c r="AO49" s="61" t="s">
        <v>361</v>
      </c>
      <c r="AP49" s="67">
        <v>96.326767587447904</v>
      </c>
      <c r="AR49" s="62">
        <v>48</v>
      </c>
      <c r="AS49" s="61" t="s">
        <v>205</v>
      </c>
      <c r="AT49" s="61" t="s">
        <v>396</v>
      </c>
      <c r="AU49" s="67">
        <v>96.326767587447904</v>
      </c>
      <c r="AW49" s="62">
        <v>48</v>
      </c>
      <c r="AX49" s="61" t="s">
        <v>205</v>
      </c>
      <c r="AY49" s="61" t="s">
        <v>374</v>
      </c>
      <c r="AZ49" s="67">
        <v>104.35399821973479</v>
      </c>
      <c r="BB49" s="62">
        <v>48</v>
      </c>
      <c r="BC49" s="61" t="s">
        <v>205</v>
      </c>
      <c r="BD49" s="61" t="s">
        <v>374</v>
      </c>
      <c r="BE49" s="67">
        <v>104.35399821973479</v>
      </c>
      <c r="BG49" s="62">
        <v>48</v>
      </c>
      <c r="BH49" s="61" t="s">
        <v>278</v>
      </c>
      <c r="BI49" s="61" t="s">
        <v>329</v>
      </c>
      <c r="BJ49" s="67">
        <v>60.45454545454546</v>
      </c>
      <c r="BL49" s="62">
        <v>48</v>
      </c>
      <c r="BM49" s="61" t="s">
        <v>278</v>
      </c>
      <c r="BN49" s="61" t="s">
        <v>329</v>
      </c>
      <c r="BO49" s="67">
        <v>65.454545454545453</v>
      </c>
      <c r="BQ49" s="62">
        <v>48</v>
      </c>
      <c r="BR49" s="61" t="s">
        <v>278</v>
      </c>
      <c r="BS49" s="61" t="s">
        <v>329</v>
      </c>
      <c r="BT49" s="67">
        <v>102.5</v>
      </c>
      <c r="BV49" s="62">
        <v>48</v>
      </c>
      <c r="BW49" s="61" t="s">
        <v>278</v>
      </c>
      <c r="BX49" s="61" t="s">
        <v>329</v>
      </c>
      <c r="BY49" s="67">
        <v>107.5</v>
      </c>
      <c r="CA49" s="62">
        <v>48</v>
      </c>
      <c r="CB49" s="61" t="s">
        <v>278</v>
      </c>
      <c r="CC49" s="61" t="s">
        <v>329</v>
      </c>
      <c r="CD49" s="67">
        <v>112.5</v>
      </c>
      <c r="CF49" s="62">
        <v>48</v>
      </c>
      <c r="CG49" s="61" t="s">
        <v>278</v>
      </c>
      <c r="CH49" s="61" t="s">
        <v>329</v>
      </c>
      <c r="CI49" s="67">
        <v>123.3333333333333</v>
      </c>
      <c r="CK49" s="62">
        <v>48</v>
      </c>
      <c r="CL49" s="61" t="s">
        <v>278</v>
      </c>
      <c r="CM49" s="61" t="s">
        <v>329</v>
      </c>
      <c r="CN49" s="67">
        <v>128.33333333333331</v>
      </c>
      <c r="CP49" s="62">
        <v>48</v>
      </c>
      <c r="CQ49" s="61" t="s">
        <v>278</v>
      </c>
      <c r="CR49" s="61" t="s">
        <v>329</v>
      </c>
      <c r="CS49" s="67">
        <v>133.33333333333331</v>
      </c>
      <c r="CU49" s="62">
        <v>48</v>
      </c>
      <c r="CV49" s="61" t="s">
        <v>278</v>
      </c>
      <c r="CW49" s="61" t="s">
        <v>329</v>
      </c>
      <c r="CX49" s="67">
        <v>89.375</v>
      </c>
      <c r="CZ49" s="62">
        <v>48</v>
      </c>
      <c r="DA49" s="61" t="s">
        <v>278</v>
      </c>
      <c r="DB49" s="61" t="s">
        <v>329</v>
      </c>
      <c r="DC49" s="67">
        <v>94.375</v>
      </c>
      <c r="DE49" s="62">
        <v>48</v>
      </c>
      <c r="DF49" s="61" t="s">
        <v>278</v>
      </c>
      <c r="DG49" s="61" t="s">
        <v>329</v>
      </c>
      <c r="DH49" s="67">
        <v>99.375</v>
      </c>
      <c r="DJ49" s="62">
        <v>48</v>
      </c>
      <c r="DK49" s="61" t="s">
        <v>278</v>
      </c>
      <c r="DL49" s="61" t="s">
        <v>329</v>
      </c>
      <c r="DM49" s="67">
        <v>104.375</v>
      </c>
      <c r="DO49" s="62">
        <v>48</v>
      </c>
      <c r="DP49" s="61" t="s">
        <v>206</v>
      </c>
      <c r="DQ49" s="61" t="s">
        <v>389</v>
      </c>
      <c r="DR49" s="67">
        <v>235.52481562567925</v>
      </c>
    </row>
    <row r="50" spans="19:122">
      <c r="S50" s="62">
        <v>49</v>
      </c>
      <c r="T50" s="61" t="s">
        <v>205</v>
      </c>
      <c r="U50" s="61" t="s">
        <v>355</v>
      </c>
      <c r="V50" s="67">
        <v>73.661645802165822</v>
      </c>
      <c r="X50" s="62">
        <v>49</v>
      </c>
      <c r="Y50" s="61" t="s">
        <v>205</v>
      </c>
      <c r="Z50" s="61" t="s">
        <v>355</v>
      </c>
      <c r="AA50" s="67">
        <v>78.265498664801214</v>
      </c>
      <c r="AC50" s="62">
        <v>49</v>
      </c>
      <c r="AD50" s="61" t="s">
        <v>205</v>
      </c>
      <c r="AE50" s="61" t="s">
        <v>355</v>
      </c>
      <c r="AF50" s="67">
        <v>83.483198575787881</v>
      </c>
      <c r="AH50" s="62">
        <v>49</v>
      </c>
      <c r="AI50" s="61" t="s">
        <v>205</v>
      </c>
      <c r="AJ50" s="61" t="s">
        <v>355</v>
      </c>
      <c r="AK50" s="67">
        <v>89.446284188344407</v>
      </c>
      <c r="AM50" s="62">
        <v>49</v>
      </c>
      <c r="AN50" s="61" t="s">
        <v>205</v>
      </c>
      <c r="AO50" s="61" t="s">
        <v>386</v>
      </c>
      <c r="AP50" s="67">
        <v>96.326767587447677</v>
      </c>
      <c r="AR50" s="62">
        <v>49</v>
      </c>
      <c r="AS50" s="61" t="s">
        <v>205</v>
      </c>
      <c r="AT50" s="61" t="s">
        <v>356</v>
      </c>
      <c r="AU50" s="67">
        <v>96.326767587447677</v>
      </c>
      <c r="AW50" s="62">
        <v>49</v>
      </c>
      <c r="AX50" s="61" t="s">
        <v>278</v>
      </c>
      <c r="AY50" s="61" t="s">
        <v>329</v>
      </c>
      <c r="AZ50" s="67">
        <v>30</v>
      </c>
      <c r="BB50" s="62">
        <v>49</v>
      </c>
      <c r="BC50" s="61" t="s">
        <v>278</v>
      </c>
      <c r="BD50" s="61" t="s">
        <v>329</v>
      </c>
      <c r="BE50" s="67">
        <v>35</v>
      </c>
      <c r="BG50" s="62">
        <v>49</v>
      </c>
      <c r="BH50" s="61" t="s">
        <v>278</v>
      </c>
      <c r="BI50" s="61" t="s">
        <v>329</v>
      </c>
      <c r="BJ50" s="67">
        <v>67.27272727272728</v>
      </c>
      <c r="BL50" s="62">
        <v>49</v>
      </c>
      <c r="BM50" s="61" t="s">
        <v>278</v>
      </c>
      <c r="BN50" s="61" t="s">
        <v>329</v>
      </c>
      <c r="BO50" s="67">
        <v>72.272727272727266</v>
      </c>
      <c r="BQ50" s="62">
        <v>49</v>
      </c>
      <c r="BR50" s="61" t="s">
        <v>278</v>
      </c>
      <c r="BS50" s="61" t="s">
        <v>329</v>
      </c>
      <c r="BT50" s="67">
        <v>110</v>
      </c>
      <c r="BV50" s="62">
        <v>49</v>
      </c>
      <c r="BW50" s="61" t="s">
        <v>278</v>
      </c>
      <c r="BX50" s="61" t="s">
        <v>329</v>
      </c>
      <c r="BY50" s="67">
        <v>115</v>
      </c>
      <c r="CA50" s="62">
        <v>49</v>
      </c>
      <c r="CB50" s="61" t="s">
        <v>278</v>
      </c>
      <c r="CC50" s="61" t="s">
        <v>329</v>
      </c>
      <c r="CD50" s="67">
        <v>120</v>
      </c>
      <c r="CF50" s="62">
        <v>49</v>
      </c>
      <c r="CG50" s="61" t="s">
        <v>278</v>
      </c>
      <c r="CH50" s="61" t="s">
        <v>329</v>
      </c>
      <c r="CI50" s="67">
        <v>114.99999999999997</v>
      </c>
      <c r="CK50" s="62">
        <v>49</v>
      </c>
      <c r="CL50" s="61" t="s">
        <v>278</v>
      </c>
      <c r="CM50" s="61" t="s">
        <v>329</v>
      </c>
      <c r="CN50" s="67">
        <v>119.99999999999999</v>
      </c>
      <c r="CP50" s="62">
        <v>49</v>
      </c>
      <c r="CQ50" s="61" t="s">
        <v>278</v>
      </c>
      <c r="CR50" s="61" t="s">
        <v>329</v>
      </c>
      <c r="CS50" s="67">
        <v>124.99999999999999</v>
      </c>
      <c r="CU50" s="62">
        <v>49</v>
      </c>
      <c r="CV50" s="61" t="s">
        <v>278</v>
      </c>
      <c r="CW50" s="61" t="s">
        <v>329</v>
      </c>
      <c r="CX50" s="67">
        <v>80</v>
      </c>
      <c r="CZ50" s="62">
        <v>49</v>
      </c>
      <c r="DA50" s="61" t="s">
        <v>278</v>
      </c>
      <c r="DB50" s="61" t="s">
        <v>329</v>
      </c>
      <c r="DC50" s="67">
        <v>85</v>
      </c>
      <c r="DE50" s="62">
        <v>49</v>
      </c>
      <c r="DF50" s="61" t="s">
        <v>278</v>
      </c>
      <c r="DG50" s="61" t="s">
        <v>329</v>
      </c>
      <c r="DH50" s="67">
        <v>90</v>
      </c>
      <c r="DJ50" s="62">
        <v>49</v>
      </c>
      <c r="DK50" s="61" t="s">
        <v>278</v>
      </c>
      <c r="DL50" s="61" t="s">
        <v>329</v>
      </c>
      <c r="DM50" s="67">
        <v>95</v>
      </c>
      <c r="DO50" s="62">
        <v>49</v>
      </c>
      <c r="DP50" s="61" t="s">
        <v>206</v>
      </c>
      <c r="DQ50" s="61" t="s">
        <v>389</v>
      </c>
      <c r="DR50" s="67">
        <v>242.64696787804334</v>
      </c>
    </row>
    <row r="51" spans="19:122">
      <c r="S51" s="62">
        <v>50</v>
      </c>
      <c r="T51" s="61" t="s">
        <v>205</v>
      </c>
      <c r="U51" s="61" t="s">
        <v>355</v>
      </c>
      <c r="V51" s="67">
        <v>73.661645802165822</v>
      </c>
      <c r="X51" s="62">
        <v>50</v>
      </c>
      <c r="Y51" s="61" t="s">
        <v>205</v>
      </c>
      <c r="Z51" s="61" t="s">
        <v>355</v>
      </c>
      <c r="AA51" s="67">
        <v>78.265498664801214</v>
      </c>
      <c r="AC51" s="62">
        <v>50</v>
      </c>
      <c r="AD51" s="61" t="s">
        <v>205</v>
      </c>
      <c r="AE51" s="61" t="s">
        <v>355</v>
      </c>
      <c r="AF51" s="67">
        <v>83.483198575787881</v>
      </c>
      <c r="AH51" s="62">
        <v>50</v>
      </c>
      <c r="AI51" s="61" t="s">
        <v>205</v>
      </c>
      <c r="AJ51" s="61" t="s">
        <v>355</v>
      </c>
      <c r="AK51" s="67">
        <v>89.44628418834418</v>
      </c>
      <c r="AM51" s="62">
        <v>50</v>
      </c>
      <c r="AN51" s="61" t="s">
        <v>205</v>
      </c>
      <c r="AO51" s="61" t="s">
        <v>357</v>
      </c>
      <c r="AP51" s="67">
        <v>96.326767587447222</v>
      </c>
      <c r="AR51" s="62">
        <v>50</v>
      </c>
      <c r="AS51" s="61" t="s">
        <v>205</v>
      </c>
      <c r="AT51" s="61" t="s">
        <v>387</v>
      </c>
      <c r="AU51" s="67">
        <v>96.326767587447222</v>
      </c>
      <c r="AW51" s="62">
        <v>50</v>
      </c>
      <c r="AX51" s="61" t="s">
        <v>278</v>
      </c>
      <c r="AY51" s="61" t="s">
        <v>329</v>
      </c>
      <c r="AZ51" s="67">
        <v>36.25</v>
      </c>
      <c r="BB51" s="62">
        <v>50</v>
      </c>
      <c r="BC51" s="61" t="s">
        <v>278</v>
      </c>
      <c r="BD51" s="61" t="s">
        <v>329</v>
      </c>
      <c r="BE51" s="67">
        <v>41.25</v>
      </c>
      <c r="BG51" s="62">
        <v>50</v>
      </c>
      <c r="BH51" s="61" t="s">
        <v>278</v>
      </c>
      <c r="BI51" s="61" t="s">
        <v>329</v>
      </c>
      <c r="BJ51" s="67">
        <v>74.090909090909093</v>
      </c>
      <c r="BL51" s="62">
        <v>50</v>
      </c>
      <c r="BM51" s="61" t="s">
        <v>278</v>
      </c>
      <c r="BN51" s="61" t="s">
        <v>329</v>
      </c>
      <c r="BO51" s="67">
        <v>79.090909090909079</v>
      </c>
      <c r="BQ51" s="62">
        <v>50</v>
      </c>
      <c r="BR51" s="61" t="s">
        <v>278</v>
      </c>
      <c r="BS51" s="61" t="s">
        <v>329</v>
      </c>
      <c r="BT51" s="67">
        <v>117.5</v>
      </c>
      <c r="BV51" s="62">
        <v>50</v>
      </c>
      <c r="BW51" s="61" t="s">
        <v>278</v>
      </c>
      <c r="BX51" s="61" t="s">
        <v>329</v>
      </c>
      <c r="BY51" s="67">
        <v>122.5</v>
      </c>
      <c r="CA51" s="62">
        <v>50</v>
      </c>
      <c r="CB51" s="61" t="s">
        <v>278</v>
      </c>
      <c r="CC51" s="61" t="s">
        <v>329</v>
      </c>
      <c r="CD51" s="67">
        <v>127.5</v>
      </c>
      <c r="CF51" s="62">
        <v>50</v>
      </c>
      <c r="CG51" s="61" t="s">
        <v>278</v>
      </c>
      <c r="CH51" s="61" t="s">
        <v>329</v>
      </c>
      <c r="CI51" s="67">
        <v>106.66666666666664</v>
      </c>
      <c r="CK51" s="62">
        <v>50</v>
      </c>
      <c r="CL51" s="61" t="s">
        <v>278</v>
      </c>
      <c r="CM51" s="61" t="s">
        <v>329</v>
      </c>
      <c r="CN51" s="67">
        <v>111.66666666666666</v>
      </c>
      <c r="CP51" s="62">
        <v>50</v>
      </c>
      <c r="CQ51" s="61" t="s">
        <v>278</v>
      </c>
      <c r="CR51" s="61" t="s">
        <v>329</v>
      </c>
      <c r="CS51" s="67">
        <v>116.66666666666666</v>
      </c>
      <c r="CU51" s="62">
        <v>50</v>
      </c>
      <c r="CV51" s="61" t="s">
        <v>206</v>
      </c>
      <c r="CW51" s="61" t="s">
        <v>329</v>
      </c>
      <c r="CX51" s="67">
        <v>180.00542526546249</v>
      </c>
      <c r="CZ51" s="62">
        <v>50</v>
      </c>
      <c r="DA51" s="61" t="s">
        <v>206</v>
      </c>
      <c r="DB51" s="61" t="s">
        <v>389</v>
      </c>
      <c r="DC51" s="67">
        <v>182.53959330786293</v>
      </c>
      <c r="DE51" s="62">
        <v>50</v>
      </c>
      <c r="DF51" s="61" t="s">
        <v>206</v>
      </c>
      <c r="DG51" s="61" t="s">
        <v>389</v>
      </c>
      <c r="DH51" s="67">
        <v>185.1741156992521</v>
      </c>
      <c r="DJ51" s="62">
        <v>50</v>
      </c>
      <c r="DK51" s="61" t="s">
        <v>206</v>
      </c>
      <c r="DL51" s="61" t="s">
        <v>389</v>
      </c>
      <c r="DM51" s="67">
        <v>187.90477142691188</v>
      </c>
      <c r="DO51" s="62">
        <v>50</v>
      </c>
      <c r="DP51" s="61" t="s">
        <v>206</v>
      </c>
      <c r="DQ51" s="61" t="s">
        <v>389</v>
      </c>
      <c r="DR51" s="67">
        <v>250.02550890267335</v>
      </c>
    </row>
    <row r="52" spans="19:122">
      <c r="S52" s="62">
        <v>51</v>
      </c>
      <c r="T52" s="61" t="s">
        <v>205</v>
      </c>
      <c r="U52" s="61" t="s">
        <v>355</v>
      </c>
      <c r="V52" s="67">
        <v>73.661645802165822</v>
      </c>
      <c r="X52" s="62">
        <v>51</v>
      </c>
      <c r="Y52" s="61" t="s">
        <v>205</v>
      </c>
      <c r="Z52" s="61" t="s">
        <v>355</v>
      </c>
      <c r="AA52" s="67">
        <v>78.265498664801214</v>
      </c>
      <c r="AC52" s="62">
        <v>51</v>
      </c>
      <c r="AD52" s="61" t="s">
        <v>205</v>
      </c>
      <c r="AE52" s="61" t="s">
        <v>355</v>
      </c>
      <c r="AF52" s="67">
        <v>83.483198575788109</v>
      </c>
      <c r="AH52" s="62">
        <v>51</v>
      </c>
      <c r="AI52" s="61" t="s">
        <v>205</v>
      </c>
      <c r="AJ52" s="61" t="s">
        <v>355</v>
      </c>
      <c r="AK52" s="67">
        <v>89.446284188344407</v>
      </c>
      <c r="AM52" s="62">
        <v>51</v>
      </c>
      <c r="AN52" s="61" t="s">
        <v>205</v>
      </c>
      <c r="AO52" s="61" t="s">
        <v>374</v>
      </c>
      <c r="AP52" s="67">
        <v>96.326767587447677</v>
      </c>
      <c r="AR52" s="62">
        <v>51</v>
      </c>
      <c r="AS52" s="61" t="s">
        <v>205</v>
      </c>
      <c r="AT52" s="61" t="s">
        <v>374</v>
      </c>
      <c r="AU52" s="67">
        <v>96.326767587447677</v>
      </c>
      <c r="AW52" s="62">
        <v>51</v>
      </c>
      <c r="AX52" s="61" t="s">
        <v>278</v>
      </c>
      <c r="AY52" s="61" t="s">
        <v>329</v>
      </c>
      <c r="AZ52" s="67">
        <v>42.5</v>
      </c>
      <c r="BB52" s="62">
        <v>51</v>
      </c>
      <c r="BC52" s="61" t="s">
        <v>278</v>
      </c>
      <c r="BD52" s="61" t="s">
        <v>329</v>
      </c>
      <c r="BE52" s="67">
        <v>47.5</v>
      </c>
      <c r="BG52" s="62">
        <v>51</v>
      </c>
      <c r="BH52" s="61" t="s">
        <v>278</v>
      </c>
      <c r="BI52" s="61" t="s">
        <v>329</v>
      </c>
      <c r="BJ52" s="67">
        <v>80.909090909090907</v>
      </c>
      <c r="BL52" s="62">
        <v>51</v>
      </c>
      <c r="BM52" s="61" t="s">
        <v>278</v>
      </c>
      <c r="BN52" s="61" t="s">
        <v>329</v>
      </c>
      <c r="BO52" s="67">
        <v>85.909090909090892</v>
      </c>
      <c r="BQ52" s="62">
        <v>51</v>
      </c>
      <c r="BR52" s="61" t="s">
        <v>278</v>
      </c>
      <c r="BS52" s="61" t="s">
        <v>329</v>
      </c>
      <c r="BT52" s="67">
        <v>125</v>
      </c>
      <c r="BV52" s="62">
        <v>51</v>
      </c>
      <c r="BW52" s="61" t="s">
        <v>278</v>
      </c>
      <c r="BX52" s="61" t="s">
        <v>329</v>
      </c>
      <c r="BY52" s="67">
        <v>130</v>
      </c>
      <c r="CA52" s="62">
        <v>51</v>
      </c>
      <c r="CB52" s="61" t="s">
        <v>278</v>
      </c>
      <c r="CC52" s="61" t="s">
        <v>329</v>
      </c>
      <c r="CD52" s="67">
        <v>135</v>
      </c>
      <c r="CF52" s="62">
        <v>51</v>
      </c>
      <c r="CG52" s="61" t="s">
        <v>278</v>
      </c>
      <c r="CH52" s="61" t="s">
        <v>329</v>
      </c>
      <c r="CI52" s="67">
        <v>98.333333333333314</v>
      </c>
      <c r="CK52" s="62">
        <v>51</v>
      </c>
      <c r="CL52" s="61" t="s">
        <v>278</v>
      </c>
      <c r="CM52" s="61" t="s">
        <v>329</v>
      </c>
      <c r="CN52" s="67">
        <v>103.33333333333333</v>
      </c>
      <c r="CP52" s="62">
        <v>51</v>
      </c>
      <c r="CQ52" s="61" t="s">
        <v>278</v>
      </c>
      <c r="CR52" s="61" t="s">
        <v>329</v>
      </c>
      <c r="CS52" s="67">
        <v>108.33333333333333</v>
      </c>
      <c r="CU52" s="62">
        <v>51</v>
      </c>
      <c r="CV52" s="61" t="s">
        <v>206</v>
      </c>
      <c r="CW52" s="61" t="s">
        <v>417</v>
      </c>
      <c r="CX52" s="67">
        <v>184.83945736773845</v>
      </c>
      <c r="CZ52" s="62">
        <v>51</v>
      </c>
      <c r="DA52" s="61" t="s">
        <v>206</v>
      </c>
      <c r="DB52" s="61" t="s">
        <v>414</v>
      </c>
      <c r="DC52" s="67">
        <v>187.55832426208121</v>
      </c>
      <c r="DE52" s="62">
        <v>51</v>
      </c>
      <c r="DF52" s="61" t="s">
        <v>206</v>
      </c>
      <c r="DG52" s="61" t="s">
        <v>414</v>
      </c>
      <c r="DH52" s="67">
        <v>190.36970609842314</v>
      </c>
      <c r="DJ52" s="62">
        <v>51</v>
      </c>
      <c r="DK52" s="61" t="s">
        <v>206</v>
      </c>
      <c r="DL52" s="61" t="s">
        <v>414</v>
      </c>
      <c r="DM52" s="67">
        <v>193.2695656330815</v>
      </c>
      <c r="DO52" s="62">
        <v>51</v>
      </c>
      <c r="DP52" s="61" t="s">
        <v>206</v>
      </c>
      <c r="DQ52" s="61" t="s">
        <v>389</v>
      </c>
      <c r="DR52" s="67">
        <v>250.02550890267349</v>
      </c>
    </row>
    <row r="53" spans="19:122">
      <c r="S53" s="62">
        <v>52</v>
      </c>
      <c r="T53" s="61" t="s">
        <v>205</v>
      </c>
      <c r="U53" s="61" t="s">
        <v>355</v>
      </c>
      <c r="V53" s="67">
        <v>73.661645802165822</v>
      </c>
      <c r="X53" s="62">
        <v>52</v>
      </c>
      <c r="Y53" s="61" t="s">
        <v>205</v>
      </c>
      <c r="Z53" s="61" t="s">
        <v>355</v>
      </c>
      <c r="AA53" s="67">
        <v>78.265498664801214</v>
      </c>
      <c r="AC53" s="62">
        <v>52</v>
      </c>
      <c r="AD53" s="61" t="s">
        <v>205</v>
      </c>
      <c r="AE53" s="61" t="s">
        <v>355</v>
      </c>
      <c r="AF53" s="67">
        <v>83.483198575787881</v>
      </c>
      <c r="AH53" s="62">
        <v>52</v>
      </c>
      <c r="AI53" s="61" t="s">
        <v>205</v>
      </c>
      <c r="AJ53" s="61" t="s">
        <v>396</v>
      </c>
      <c r="AK53" s="67">
        <v>89.44628418834418</v>
      </c>
      <c r="AM53" s="62">
        <v>52</v>
      </c>
      <c r="AN53" s="61" t="s">
        <v>205</v>
      </c>
      <c r="AO53" s="61" t="s">
        <v>374</v>
      </c>
      <c r="AP53" s="67">
        <v>96.326767587447677</v>
      </c>
      <c r="AR53" s="62">
        <v>52</v>
      </c>
      <c r="AS53" s="61" t="s">
        <v>205</v>
      </c>
      <c r="AT53" s="61" t="s">
        <v>374</v>
      </c>
      <c r="AU53" s="67">
        <v>96.326767587447677</v>
      </c>
      <c r="AW53" s="62">
        <v>52</v>
      </c>
      <c r="AX53" s="61" t="s">
        <v>278</v>
      </c>
      <c r="AY53" s="61" t="s">
        <v>329</v>
      </c>
      <c r="AZ53" s="67">
        <v>48.75</v>
      </c>
      <c r="BB53" s="62">
        <v>52</v>
      </c>
      <c r="BC53" s="61" t="s">
        <v>278</v>
      </c>
      <c r="BD53" s="61" t="s">
        <v>329</v>
      </c>
      <c r="BE53" s="67">
        <v>53.75</v>
      </c>
      <c r="BG53" s="62">
        <v>52</v>
      </c>
      <c r="BH53" s="61" t="s">
        <v>278</v>
      </c>
      <c r="BI53" s="61" t="s">
        <v>329</v>
      </c>
      <c r="BJ53" s="67">
        <v>87.72727272727272</v>
      </c>
      <c r="BL53" s="62">
        <v>52</v>
      </c>
      <c r="BM53" s="61" t="s">
        <v>278</v>
      </c>
      <c r="BN53" s="61" t="s">
        <v>329</v>
      </c>
      <c r="BO53" s="67">
        <v>92.727272727272705</v>
      </c>
      <c r="BQ53" s="62">
        <v>52</v>
      </c>
      <c r="BR53" s="61" t="s">
        <v>278</v>
      </c>
      <c r="BS53" s="61" t="s">
        <v>329</v>
      </c>
      <c r="BT53" s="67">
        <v>117.5</v>
      </c>
      <c r="BV53" s="62">
        <v>52</v>
      </c>
      <c r="BW53" s="61" t="s">
        <v>278</v>
      </c>
      <c r="BX53" s="61" t="s">
        <v>329</v>
      </c>
      <c r="BY53" s="67">
        <v>122.5</v>
      </c>
      <c r="CA53" s="62">
        <v>52</v>
      </c>
      <c r="CB53" s="61" t="s">
        <v>278</v>
      </c>
      <c r="CC53" s="61" t="s">
        <v>329</v>
      </c>
      <c r="CD53" s="67">
        <v>127.5</v>
      </c>
      <c r="CF53" s="62">
        <v>52</v>
      </c>
      <c r="CG53" s="61" t="s">
        <v>278</v>
      </c>
      <c r="CH53" s="61" t="s">
        <v>329</v>
      </c>
      <c r="CI53" s="67">
        <v>89.999999999999986</v>
      </c>
      <c r="CK53" s="62">
        <v>52</v>
      </c>
      <c r="CL53" s="61" t="s">
        <v>278</v>
      </c>
      <c r="CM53" s="61" t="s">
        <v>329</v>
      </c>
      <c r="CN53" s="67">
        <v>95</v>
      </c>
      <c r="CP53" s="62">
        <v>52</v>
      </c>
      <c r="CQ53" s="61" t="s">
        <v>278</v>
      </c>
      <c r="CR53" s="61" t="s">
        <v>329</v>
      </c>
      <c r="CS53" s="67">
        <v>100</v>
      </c>
      <c r="CU53" s="62">
        <v>52</v>
      </c>
      <c r="CV53" s="61" t="s">
        <v>206</v>
      </c>
      <c r="CW53" s="61" t="s">
        <v>392</v>
      </c>
      <c r="CX53" s="67">
        <v>190.01336301692047</v>
      </c>
      <c r="CZ53" s="62">
        <v>52</v>
      </c>
      <c r="DA53" s="61" t="s">
        <v>206</v>
      </c>
      <c r="DB53" s="61" t="s">
        <v>392</v>
      </c>
      <c r="DC53" s="67">
        <v>192.90237978055117</v>
      </c>
      <c r="DE53" s="62">
        <v>52</v>
      </c>
      <c r="DF53" s="61" t="s">
        <v>206</v>
      </c>
      <c r="DG53" s="61" t="s">
        <v>392</v>
      </c>
      <c r="DH53" s="67">
        <v>195.87643585944687</v>
      </c>
      <c r="DJ53" s="62">
        <v>52</v>
      </c>
      <c r="DK53" s="61" t="s">
        <v>206</v>
      </c>
      <c r="DL53" s="61" t="s">
        <v>392</v>
      </c>
      <c r="DM53" s="67">
        <v>198.93171724237439</v>
      </c>
      <c r="DO53" s="62">
        <v>52</v>
      </c>
      <c r="DP53" s="61" t="s">
        <v>206</v>
      </c>
      <c r="DQ53" s="61" t="s">
        <v>389</v>
      </c>
      <c r="DR53" s="67">
        <v>242.64696787804334</v>
      </c>
    </row>
    <row r="54" spans="19:122">
      <c r="S54" s="62">
        <v>53</v>
      </c>
      <c r="T54" s="61" t="s">
        <v>205</v>
      </c>
      <c r="U54" s="61" t="s">
        <v>355</v>
      </c>
      <c r="V54" s="67">
        <v>73.661645802165822</v>
      </c>
      <c r="X54" s="62">
        <v>53</v>
      </c>
      <c r="Y54" s="61" t="s">
        <v>205</v>
      </c>
      <c r="Z54" s="61" t="s">
        <v>355</v>
      </c>
      <c r="AA54" s="67">
        <v>78.265498664801214</v>
      </c>
      <c r="AC54" s="62">
        <v>53</v>
      </c>
      <c r="AD54" s="61" t="s">
        <v>205</v>
      </c>
      <c r="AE54" s="61" t="s">
        <v>355</v>
      </c>
      <c r="AF54" s="67">
        <v>83.483198575787881</v>
      </c>
      <c r="AH54" s="62">
        <v>53</v>
      </c>
      <c r="AI54" s="61" t="s">
        <v>205</v>
      </c>
      <c r="AJ54" s="61" t="s">
        <v>386</v>
      </c>
      <c r="AK54" s="67">
        <v>89.44628418834418</v>
      </c>
      <c r="AM54" s="62">
        <v>53</v>
      </c>
      <c r="AN54" s="61" t="s">
        <v>278</v>
      </c>
      <c r="AO54" s="61" t="s">
        <v>329</v>
      </c>
      <c r="AP54" s="67">
        <v>20</v>
      </c>
      <c r="AR54" s="62">
        <v>53</v>
      </c>
      <c r="AS54" s="61" t="s">
        <v>278</v>
      </c>
      <c r="AT54" s="61" t="s">
        <v>329</v>
      </c>
      <c r="AU54" s="67">
        <v>25</v>
      </c>
      <c r="AW54" s="62">
        <v>53</v>
      </c>
      <c r="AX54" s="61" t="s">
        <v>278</v>
      </c>
      <c r="AY54" s="61" t="s">
        <v>329</v>
      </c>
      <c r="AZ54" s="67">
        <v>55</v>
      </c>
      <c r="BB54" s="62">
        <v>53</v>
      </c>
      <c r="BC54" s="61" t="s">
        <v>278</v>
      </c>
      <c r="BD54" s="61" t="s">
        <v>329</v>
      </c>
      <c r="BE54" s="67">
        <v>60</v>
      </c>
      <c r="BG54" s="62">
        <v>53</v>
      </c>
      <c r="BH54" s="61" t="s">
        <v>278</v>
      </c>
      <c r="BI54" s="61" t="s">
        <v>329</v>
      </c>
      <c r="BJ54" s="67">
        <v>94.545454545454533</v>
      </c>
      <c r="BL54" s="62">
        <v>53</v>
      </c>
      <c r="BM54" s="61" t="s">
        <v>278</v>
      </c>
      <c r="BN54" s="61" t="s">
        <v>329</v>
      </c>
      <c r="BO54" s="67">
        <v>99.545454545454518</v>
      </c>
      <c r="BQ54" s="62">
        <v>53</v>
      </c>
      <c r="BR54" s="61" t="s">
        <v>278</v>
      </c>
      <c r="BS54" s="61" t="s">
        <v>329</v>
      </c>
      <c r="BT54" s="67">
        <v>110</v>
      </c>
      <c r="BV54" s="62">
        <v>53</v>
      </c>
      <c r="BW54" s="61" t="s">
        <v>278</v>
      </c>
      <c r="BX54" s="61" t="s">
        <v>329</v>
      </c>
      <c r="BY54" s="67">
        <v>115</v>
      </c>
      <c r="CA54" s="62">
        <v>53</v>
      </c>
      <c r="CB54" s="61" t="s">
        <v>278</v>
      </c>
      <c r="CC54" s="61" t="s">
        <v>329</v>
      </c>
      <c r="CD54" s="67">
        <v>120</v>
      </c>
      <c r="CF54" s="62">
        <v>53</v>
      </c>
      <c r="CG54" s="61" t="s">
        <v>278</v>
      </c>
      <c r="CH54" s="61" t="s">
        <v>329</v>
      </c>
      <c r="CI54" s="67">
        <v>81.666666666666657</v>
      </c>
      <c r="CK54" s="62">
        <v>53</v>
      </c>
      <c r="CL54" s="61" t="s">
        <v>278</v>
      </c>
      <c r="CM54" s="61" t="s">
        <v>329</v>
      </c>
      <c r="CN54" s="67">
        <v>86.666666666666671</v>
      </c>
      <c r="CP54" s="62">
        <v>53</v>
      </c>
      <c r="CQ54" s="61" t="s">
        <v>278</v>
      </c>
      <c r="CR54" s="61" t="s">
        <v>329</v>
      </c>
      <c r="CS54" s="67">
        <v>91.666666666666671</v>
      </c>
      <c r="CU54" s="62">
        <v>53</v>
      </c>
      <c r="CV54" s="61" t="s">
        <v>206</v>
      </c>
      <c r="CW54" s="61" t="s">
        <v>400</v>
      </c>
      <c r="CX54" s="67">
        <v>195.50015984648198</v>
      </c>
      <c r="CZ54" s="62">
        <v>53</v>
      </c>
      <c r="DA54" s="61" t="s">
        <v>206</v>
      </c>
      <c r="DB54" s="61" t="s">
        <v>400</v>
      </c>
      <c r="DC54" s="67">
        <v>198.54549226814493</v>
      </c>
      <c r="DE54" s="62">
        <v>53</v>
      </c>
      <c r="DF54" s="61" t="s">
        <v>206</v>
      </c>
      <c r="DG54" s="61" t="s">
        <v>400</v>
      </c>
      <c r="DH54" s="67">
        <v>201.66881885903928</v>
      </c>
      <c r="DJ54" s="62">
        <v>53</v>
      </c>
      <c r="DK54" s="61" t="s">
        <v>206</v>
      </c>
      <c r="DL54" s="61" t="s">
        <v>400</v>
      </c>
      <c r="DM54" s="67">
        <v>204.86657243191237</v>
      </c>
      <c r="DO54" s="62">
        <v>53</v>
      </c>
      <c r="DP54" s="61" t="s">
        <v>206</v>
      </c>
      <c r="DQ54" s="61" t="s">
        <v>389</v>
      </c>
      <c r="DR54" s="67">
        <v>235.52481562567917</v>
      </c>
    </row>
    <row r="55" spans="19:122">
      <c r="S55" s="62">
        <v>54</v>
      </c>
      <c r="T55" s="61" t="s">
        <v>205</v>
      </c>
      <c r="U55" s="61" t="s">
        <v>355</v>
      </c>
      <c r="V55" s="67">
        <v>73.661645802165822</v>
      </c>
      <c r="X55" s="62">
        <v>54</v>
      </c>
      <c r="Y55" s="61" t="s">
        <v>205</v>
      </c>
      <c r="Z55" s="61" t="s">
        <v>355</v>
      </c>
      <c r="AA55" s="67">
        <v>78.265498664801214</v>
      </c>
      <c r="AC55" s="62">
        <v>54</v>
      </c>
      <c r="AD55" s="61" t="s">
        <v>205</v>
      </c>
      <c r="AE55" s="61" t="s">
        <v>355</v>
      </c>
      <c r="AF55" s="67">
        <v>83.483198575788109</v>
      </c>
      <c r="AH55" s="62">
        <v>54</v>
      </c>
      <c r="AI55" s="61" t="s">
        <v>205</v>
      </c>
      <c r="AJ55" s="61" t="s">
        <v>382</v>
      </c>
      <c r="AK55" s="67">
        <v>89.44628418834418</v>
      </c>
      <c r="AM55" s="62">
        <v>54</v>
      </c>
      <c r="AN55" s="61" t="s">
        <v>278</v>
      </c>
      <c r="AO55" s="61" t="s">
        <v>329</v>
      </c>
      <c r="AP55" s="67">
        <v>25.76923076923077</v>
      </c>
      <c r="AR55" s="62">
        <v>54</v>
      </c>
      <c r="AS55" s="61" t="s">
        <v>278</v>
      </c>
      <c r="AT55" s="61" t="s">
        <v>329</v>
      </c>
      <c r="AU55" s="67">
        <v>30.76923076923077</v>
      </c>
      <c r="AW55" s="62">
        <v>54</v>
      </c>
      <c r="AX55" s="61" t="s">
        <v>278</v>
      </c>
      <c r="AY55" s="61" t="s">
        <v>329</v>
      </c>
      <c r="AZ55" s="67">
        <v>61.25</v>
      </c>
      <c r="BB55" s="62">
        <v>54</v>
      </c>
      <c r="BC55" s="61" t="s">
        <v>278</v>
      </c>
      <c r="BD55" s="61" t="s">
        <v>329</v>
      </c>
      <c r="BE55" s="67">
        <v>66.25</v>
      </c>
      <c r="BG55" s="62">
        <v>54</v>
      </c>
      <c r="BH55" s="61" t="s">
        <v>278</v>
      </c>
      <c r="BI55" s="61" t="s">
        <v>329</v>
      </c>
      <c r="BJ55" s="67">
        <v>101.36363636363635</v>
      </c>
      <c r="BL55" s="62">
        <v>54</v>
      </c>
      <c r="BM55" s="61" t="s">
        <v>278</v>
      </c>
      <c r="BN55" s="61" t="s">
        <v>329</v>
      </c>
      <c r="BO55" s="67">
        <v>106.36363636363633</v>
      </c>
      <c r="BQ55" s="62">
        <v>54</v>
      </c>
      <c r="BR55" s="61" t="s">
        <v>278</v>
      </c>
      <c r="BS55" s="61" t="s">
        <v>329</v>
      </c>
      <c r="BT55" s="67">
        <v>102.5</v>
      </c>
      <c r="BV55" s="62">
        <v>54</v>
      </c>
      <c r="BW55" s="61" t="s">
        <v>278</v>
      </c>
      <c r="BX55" s="61" t="s">
        <v>329</v>
      </c>
      <c r="BY55" s="67">
        <v>107.5</v>
      </c>
      <c r="CA55" s="62">
        <v>54</v>
      </c>
      <c r="CB55" s="61" t="s">
        <v>278</v>
      </c>
      <c r="CC55" s="61" t="s">
        <v>329</v>
      </c>
      <c r="CD55" s="67">
        <v>112.5</v>
      </c>
      <c r="CF55" s="62">
        <v>54</v>
      </c>
      <c r="CG55" s="61" t="s">
        <v>278</v>
      </c>
      <c r="CH55" s="61" t="s">
        <v>329</v>
      </c>
      <c r="CI55" s="67">
        <v>73.333333333333329</v>
      </c>
      <c r="CK55" s="62">
        <v>54</v>
      </c>
      <c r="CL55" s="61" t="s">
        <v>278</v>
      </c>
      <c r="CM55" s="61" t="s">
        <v>329</v>
      </c>
      <c r="CN55" s="67">
        <v>78.333333333333343</v>
      </c>
      <c r="CP55" s="62">
        <v>54</v>
      </c>
      <c r="CQ55" s="61" t="s">
        <v>278</v>
      </c>
      <c r="CR55" s="61" t="s">
        <v>329</v>
      </c>
      <c r="CS55" s="67">
        <v>83.333333333333343</v>
      </c>
      <c r="CU55" s="62">
        <v>54</v>
      </c>
      <c r="CV55" s="61" t="s">
        <v>206</v>
      </c>
      <c r="CW55" s="61" t="s">
        <v>410</v>
      </c>
      <c r="CX55" s="67">
        <v>201.27426096001446</v>
      </c>
      <c r="CZ55" s="62">
        <v>54</v>
      </c>
      <c r="DA55" s="61" t="s">
        <v>206</v>
      </c>
      <c r="DB55" s="61" t="s">
        <v>410</v>
      </c>
      <c r="DC55" s="67">
        <v>204.46290158608235</v>
      </c>
      <c r="DE55" s="62">
        <v>54</v>
      </c>
      <c r="DF55" s="61" t="s">
        <v>206</v>
      </c>
      <c r="DG55" s="61" t="s">
        <v>410</v>
      </c>
      <c r="DH55" s="67">
        <v>207.72296003330976</v>
      </c>
      <c r="DJ55" s="62">
        <v>54</v>
      </c>
      <c r="DK55" s="61" t="s">
        <v>206</v>
      </c>
      <c r="DL55" s="61" t="s">
        <v>410</v>
      </c>
      <c r="DM55" s="67">
        <v>211.05112680343595</v>
      </c>
      <c r="DO55" s="62">
        <v>54</v>
      </c>
      <c r="DP55" s="61" t="s">
        <v>206</v>
      </c>
      <c r="DQ55" s="61" t="s">
        <v>425</v>
      </c>
      <c r="DR55" s="67">
        <v>228.68300847974467</v>
      </c>
    </row>
    <row r="56" spans="19:122">
      <c r="S56" s="62">
        <v>55</v>
      </c>
      <c r="T56" s="61" t="s">
        <v>205</v>
      </c>
      <c r="U56" s="61" t="s">
        <v>355</v>
      </c>
      <c r="V56" s="67">
        <v>73.661645802166049</v>
      </c>
      <c r="X56" s="62">
        <v>55</v>
      </c>
      <c r="Y56" s="61" t="s">
        <v>205</v>
      </c>
      <c r="Z56" s="61" t="s">
        <v>355</v>
      </c>
      <c r="AA56" s="67">
        <v>78.265498664801214</v>
      </c>
      <c r="AC56" s="62">
        <v>55</v>
      </c>
      <c r="AD56" s="61" t="s">
        <v>205</v>
      </c>
      <c r="AE56" s="61" t="s">
        <v>355</v>
      </c>
      <c r="AF56" s="67">
        <v>83.483198575787654</v>
      </c>
      <c r="AH56" s="62">
        <v>55</v>
      </c>
      <c r="AI56" s="61" t="s">
        <v>205</v>
      </c>
      <c r="AJ56" s="61" t="s">
        <v>372</v>
      </c>
      <c r="AK56" s="67">
        <v>89.44628418834418</v>
      </c>
      <c r="AM56" s="62">
        <v>55</v>
      </c>
      <c r="AN56" s="61" t="s">
        <v>278</v>
      </c>
      <c r="AO56" s="61" t="s">
        <v>329</v>
      </c>
      <c r="AP56" s="67">
        <v>31.53846153846154</v>
      </c>
      <c r="AR56" s="62">
        <v>55</v>
      </c>
      <c r="AS56" s="61" t="s">
        <v>278</v>
      </c>
      <c r="AT56" s="61" t="s">
        <v>329</v>
      </c>
      <c r="AU56" s="67">
        <v>36.53846153846154</v>
      </c>
      <c r="AW56" s="62">
        <v>55</v>
      </c>
      <c r="AX56" s="61" t="s">
        <v>278</v>
      </c>
      <c r="AY56" s="61" t="s">
        <v>329</v>
      </c>
      <c r="AZ56" s="67">
        <v>67.5</v>
      </c>
      <c r="BB56" s="62">
        <v>55</v>
      </c>
      <c r="BC56" s="61" t="s">
        <v>278</v>
      </c>
      <c r="BD56" s="61" t="s">
        <v>329</v>
      </c>
      <c r="BE56" s="67">
        <v>72.5</v>
      </c>
      <c r="BG56" s="62">
        <v>55</v>
      </c>
      <c r="BH56" s="61" t="s">
        <v>278</v>
      </c>
      <c r="BI56" s="61" t="s">
        <v>329</v>
      </c>
      <c r="BJ56" s="67">
        <v>108.18181818181816</v>
      </c>
      <c r="BL56" s="62">
        <v>55</v>
      </c>
      <c r="BM56" s="61" t="s">
        <v>278</v>
      </c>
      <c r="BN56" s="61" t="s">
        <v>329</v>
      </c>
      <c r="BO56" s="67">
        <v>113.18181818181814</v>
      </c>
      <c r="BQ56" s="62">
        <v>55</v>
      </c>
      <c r="BR56" s="61" t="s">
        <v>278</v>
      </c>
      <c r="BS56" s="61" t="s">
        <v>329</v>
      </c>
      <c r="BT56" s="67">
        <v>95</v>
      </c>
      <c r="BV56" s="62">
        <v>55</v>
      </c>
      <c r="BW56" s="61" t="s">
        <v>278</v>
      </c>
      <c r="BX56" s="61" t="s">
        <v>329</v>
      </c>
      <c r="BY56" s="67">
        <v>100</v>
      </c>
      <c r="CA56" s="62">
        <v>55</v>
      </c>
      <c r="CB56" s="61" t="s">
        <v>278</v>
      </c>
      <c r="CC56" s="61" t="s">
        <v>329</v>
      </c>
      <c r="CD56" s="67">
        <v>105</v>
      </c>
      <c r="CF56" s="62">
        <v>55</v>
      </c>
      <c r="CG56" s="61" t="s">
        <v>278</v>
      </c>
      <c r="CH56" s="61" t="s">
        <v>329</v>
      </c>
      <c r="CI56" s="67">
        <v>65</v>
      </c>
      <c r="CK56" s="62">
        <v>55</v>
      </c>
      <c r="CL56" s="61" t="s">
        <v>278</v>
      </c>
      <c r="CM56" s="61" t="s">
        <v>329</v>
      </c>
      <c r="CN56" s="67">
        <v>70.000000000000014</v>
      </c>
      <c r="CP56" s="62">
        <v>55</v>
      </c>
      <c r="CQ56" s="61" t="s">
        <v>278</v>
      </c>
      <c r="CR56" s="61" t="s">
        <v>329</v>
      </c>
      <c r="CS56" s="67">
        <v>75.000000000000014</v>
      </c>
      <c r="CU56" s="62">
        <v>55</v>
      </c>
      <c r="CV56" s="61" t="s">
        <v>206</v>
      </c>
      <c r="CW56" s="61" t="s">
        <v>389</v>
      </c>
      <c r="CX56" s="67">
        <v>207.31166151473485</v>
      </c>
      <c r="CZ56" s="62">
        <v>55</v>
      </c>
      <c r="DA56" s="61" t="s">
        <v>206</v>
      </c>
      <c r="DB56" s="61" t="s">
        <v>389</v>
      </c>
      <c r="DC56" s="67">
        <v>210.63149099790374</v>
      </c>
      <c r="DE56" s="62">
        <v>55</v>
      </c>
      <c r="DF56" s="61" t="s">
        <v>206</v>
      </c>
      <c r="DG56" s="61" t="s">
        <v>389</v>
      </c>
      <c r="DH56" s="67">
        <v>214.01664654881404</v>
      </c>
      <c r="DJ56" s="62">
        <v>55</v>
      </c>
      <c r="DK56" s="61" t="s">
        <v>206</v>
      </c>
      <c r="DL56" s="61" t="s">
        <v>389</v>
      </c>
      <c r="DM56" s="67">
        <v>217.46407749327244</v>
      </c>
      <c r="DO56" s="62">
        <v>55</v>
      </c>
      <c r="DP56" s="61" t="s">
        <v>206</v>
      </c>
      <c r="DQ56" s="61" t="s">
        <v>424</v>
      </c>
      <c r="DR56" s="67">
        <v>222.14745057262846</v>
      </c>
    </row>
    <row r="57" spans="19:122">
      <c r="S57" s="62">
        <v>56</v>
      </c>
      <c r="T57" s="61" t="s">
        <v>205</v>
      </c>
      <c r="U57" s="61" t="s">
        <v>355</v>
      </c>
      <c r="V57" s="67">
        <v>73.661645802165822</v>
      </c>
      <c r="X57" s="62">
        <v>56</v>
      </c>
      <c r="Y57" s="61" t="s">
        <v>205</v>
      </c>
      <c r="Z57" s="61" t="s">
        <v>355</v>
      </c>
      <c r="AA57" s="67">
        <v>78.265498664801214</v>
      </c>
      <c r="AC57" s="62">
        <v>56</v>
      </c>
      <c r="AD57" s="61" t="s">
        <v>205</v>
      </c>
      <c r="AE57" s="61" t="s">
        <v>359</v>
      </c>
      <c r="AF57" s="67">
        <v>83.483198575788109</v>
      </c>
      <c r="AH57" s="62">
        <v>56</v>
      </c>
      <c r="AI57" s="61" t="s">
        <v>205</v>
      </c>
      <c r="AJ57" s="61" t="s">
        <v>374</v>
      </c>
      <c r="AK57" s="67">
        <v>89.44628418834418</v>
      </c>
      <c r="AM57" s="62">
        <v>56</v>
      </c>
      <c r="AN57" s="61" t="s">
        <v>278</v>
      </c>
      <c r="AO57" s="61" t="s">
        <v>329</v>
      </c>
      <c r="AP57" s="67">
        <v>37.307692307692307</v>
      </c>
      <c r="AR57" s="62">
        <v>56</v>
      </c>
      <c r="AS57" s="61" t="s">
        <v>278</v>
      </c>
      <c r="AT57" s="61" t="s">
        <v>329</v>
      </c>
      <c r="AU57" s="67">
        <v>42.307692307692307</v>
      </c>
      <c r="AW57" s="62">
        <v>56</v>
      </c>
      <c r="AX57" s="61" t="s">
        <v>278</v>
      </c>
      <c r="AY57" s="61" t="s">
        <v>329</v>
      </c>
      <c r="AZ57" s="67">
        <v>73.75</v>
      </c>
      <c r="BB57" s="62">
        <v>56</v>
      </c>
      <c r="BC57" s="61" t="s">
        <v>278</v>
      </c>
      <c r="BD57" s="61" t="s">
        <v>329</v>
      </c>
      <c r="BE57" s="67">
        <v>78.75</v>
      </c>
      <c r="BG57" s="62">
        <v>56</v>
      </c>
      <c r="BH57" s="61" t="s">
        <v>278</v>
      </c>
      <c r="BI57" s="61" t="s">
        <v>329</v>
      </c>
      <c r="BJ57" s="67">
        <v>114.99999999999997</v>
      </c>
      <c r="BL57" s="62">
        <v>56</v>
      </c>
      <c r="BM57" s="61" t="s">
        <v>278</v>
      </c>
      <c r="BN57" s="61" t="s">
        <v>329</v>
      </c>
      <c r="BO57" s="67">
        <v>119.99999999999996</v>
      </c>
      <c r="BQ57" s="62">
        <v>56</v>
      </c>
      <c r="BR57" s="61" t="s">
        <v>278</v>
      </c>
      <c r="BS57" s="61" t="s">
        <v>329</v>
      </c>
      <c r="BT57" s="67">
        <v>87.5</v>
      </c>
      <c r="BV57" s="62">
        <v>56</v>
      </c>
      <c r="BW57" s="61" t="s">
        <v>278</v>
      </c>
      <c r="BX57" s="61" t="s">
        <v>329</v>
      </c>
      <c r="BY57" s="67">
        <v>92.5</v>
      </c>
      <c r="CA57" s="62">
        <v>56</v>
      </c>
      <c r="CB57" s="61" t="s">
        <v>278</v>
      </c>
      <c r="CC57" s="61" t="s">
        <v>329</v>
      </c>
      <c r="CD57" s="67">
        <v>97.5</v>
      </c>
      <c r="CF57" s="62">
        <v>56</v>
      </c>
      <c r="CG57" s="61" t="s">
        <v>206</v>
      </c>
      <c r="CH57" s="61" t="s">
        <v>329</v>
      </c>
      <c r="CI57" s="67">
        <v>157.06018347935259</v>
      </c>
      <c r="CK57" s="62">
        <v>56</v>
      </c>
      <c r="CL57" s="61" t="s">
        <v>206</v>
      </c>
      <c r="CM57" s="61" t="s">
        <v>329</v>
      </c>
      <c r="CN57" s="67">
        <v>159.45605842331997</v>
      </c>
      <c r="CP57" s="62">
        <v>56</v>
      </c>
      <c r="CQ57" s="61" t="s">
        <v>206</v>
      </c>
      <c r="CR57" s="61" t="s">
        <v>329</v>
      </c>
      <c r="CS57" s="67">
        <v>161.970885967925</v>
      </c>
      <c r="CU57" s="62">
        <v>56</v>
      </c>
      <c r="CV57" s="61" t="s">
        <v>206</v>
      </c>
      <c r="CW57" s="61" t="s">
        <v>389</v>
      </c>
      <c r="CX57" s="67">
        <v>213.5900351725239</v>
      </c>
      <c r="CZ57" s="62">
        <v>56</v>
      </c>
      <c r="DA57" s="61" t="s">
        <v>206</v>
      </c>
      <c r="DB57" s="61" t="s">
        <v>389</v>
      </c>
      <c r="DC57" s="67">
        <v>217.02984385793582</v>
      </c>
      <c r="DE57" s="62">
        <v>56</v>
      </c>
      <c r="DF57" s="61" t="s">
        <v>206</v>
      </c>
      <c r="DG57" s="61" t="s">
        <v>389</v>
      </c>
      <c r="DH57" s="67">
        <v>220.52937020950293</v>
      </c>
      <c r="DJ57" s="62">
        <v>56</v>
      </c>
      <c r="DK57" s="61" t="s">
        <v>206</v>
      </c>
      <c r="DL57" s="61" t="s">
        <v>389</v>
      </c>
      <c r="DM57" s="67">
        <v>224.08581642977762</v>
      </c>
      <c r="DO57" s="62">
        <v>56</v>
      </c>
      <c r="DP57" s="61" t="s">
        <v>206</v>
      </c>
      <c r="DQ57" s="61" t="s">
        <v>417</v>
      </c>
      <c r="DR57" s="67">
        <v>215.94594939758525</v>
      </c>
    </row>
    <row r="58" spans="19:122" ht="15" thickBot="1">
      <c r="S58" s="62">
        <v>57</v>
      </c>
      <c r="T58" s="61" t="s">
        <v>205</v>
      </c>
      <c r="U58" s="61" t="s">
        <v>355</v>
      </c>
      <c r="V58" s="67">
        <v>73.661645802165822</v>
      </c>
      <c r="X58" s="62">
        <v>57</v>
      </c>
      <c r="Y58" s="61" t="s">
        <v>205</v>
      </c>
      <c r="Z58" s="61" t="s">
        <v>355</v>
      </c>
      <c r="AA58" s="67">
        <v>78.265498664801214</v>
      </c>
      <c r="AC58" s="62">
        <v>57</v>
      </c>
      <c r="AD58" s="61" t="s">
        <v>205</v>
      </c>
      <c r="AE58" s="61" t="s">
        <v>359</v>
      </c>
      <c r="AF58" s="67">
        <v>83.483198575788109</v>
      </c>
      <c r="AH58" s="62">
        <v>57</v>
      </c>
      <c r="AI58" s="61" t="s">
        <v>278</v>
      </c>
      <c r="AJ58" s="61" t="s">
        <v>329</v>
      </c>
      <c r="AK58" s="67">
        <v>15</v>
      </c>
      <c r="AM58" s="62">
        <v>57</v>
      </c>
      <c r="AN58" s="61" t="s">
        <v>278</v>
      </c>
      <c r="AO58" s="61" t="s">
        <v>329</v>
      </c>
      <c r="AP58" s="67">
        <v>43.076923076923073</v>
      </c>
      <c r="AR58" s="62">
        <v>57</v>
      </c>
      <c r="AS58" s="61" t="s">
        <v>278</v>
      </c>
      <c r="AT58" s="61" t="s">
        <v>329</v>
      </c>
      <c r="AU58" s="67">
        <v>48.076923076923073</v>
      </c>
      <c r="AW58" s="62">
        <v>57</v>
      </c>
      <c r="AX58" s="61" t="s">
        <v>278</v>
      </c>
      <c r="AY58" s="61" t="s">
        <v>329</v>
      </c>
      <c r="AZ58" s="67">
        <v>80</v>
      </c>
      <c r="BB58" s="62">
        <v>57</v>
      </c>
      <c r="BC58" s="61" t="s">
        <v>278</v>
      </c>
      <c r="BD58" s="61" t="s">
        <v>329</v>
      </c>
      <c r="BE58" s="67">
        <v>85</v>
      </c>
      <c r="BG58" s="62">
        <v>57</v>
      </c>
      <c r="BH58" s="61" t="s">
        <v>278</v>
      </c>
      <c r="BI58" s="61" t="s">
        <v>329</v>
      </c>
      <c r="BJ58" s="67">
        <v>108.18181818181816</v>
      </c>
      <c r="BL58" s="62">
        <v>57</v>
      </c>
      <c r="BM58" s="61" t="s">
        <v>278</v>
      </c>
      <c r="BN58" s="61" t="s">
        <v>329</v>
      </c>
      <c r="BO58" s="67">
        <v>113.18181818181814</v>
      </c>
      <c r="BQ58" s="62">
        <v>57</v>
      </c>
      <c r="BR58" s="61" t="s">
        <v>278</v>
      </c>
      <c r="BS58" s="61" t="s">
        <v>329</v>
      </c>
      <c r="BT58" s="67">
        <v>80</v>
      </c>
      <c r="BV58" s="62">
        <v>57</v>
      </c>
      <c r="BW58" s="61" t="s">
        <v>278</v>
      </c>
      <c r="BX58" s="61" t="s">
        <v>329</v>
      </c>
      <c r="BY58" s="67">
        <v>85</v>
      </c>
      <c r="CA58" s="62">
        <v>57</v>
      </c>
      <c r="CB58" s="61" t="s">
        <v>278</v>
      </c>
      <c r="CC58" s="61" t="s">
        <v>329</v>
      </c>
      <c r="CD58" s="67">
        <v>90</v>
      </c>
      <c r="CF58" s="62">
        <v>57</v>
      </c>
      <c r="CG58" s="61" t="s">
        <v>206</v>
      </c>
      <c r="CH58" s="61" t="s">
        <v>397</v>
      </c>
      <c r="CI58" s="67">
        <v>161.11973157014185</v>
      </c>
      <c r="CK58" s="62">
        <v>57</v>
      </c>
      <c r="CL58" s="61" t="s">
        <v>206</v>
      </c>
      <c r="CM58" s="61" t="s">
        <v>397</v>
      </c>
      <c r="CN58" s="67">
        <v>163.71082605588805</v>
      </c>
      <c r="CP58" s="62">
        <v>57</v>
      </c>
      <c r="CQ58" s="61" t="s">
        <v>206</v>
      </c>
      <c r="CR58" s="61" t="s">
        <v>414</v>
      </c>
      <c r="CS58" s="67">
        <v>166.41184223055731</v>
      </c>
      <c r="CU58" s="62">
        <v>57</v>
      </c>
      <c r="CV58" s="61" t="s">
        <v>206</v>
      </c>
      <c r="CW58" s="61" t="s">
        <v>389</v>
      </c>
      <c r="CX58" s="67">
        <v>220.088760503575</v>
      </c>
      <c r="CZ58" s="62">
        <v>57</v>
      </c>
      <c r="DA58" s="61" t="s">
        <v>206</v>
      </c>
      <c r="DB58" s="61" t="s">
        <v>389</v>
      </c>
      <c r="DC58" s="67">
        <v>223.63824024526753</v>
      </c>
      <c r="DE58" s="62">
        <v>57</v>
      </c>
      <c r="DF58" s="61" t="s">
        <v>206</v>
      </c>
      <c r="DG58" s="61" t="s">
        <v>389</v>
      </c>
      <c r="DH58" s="67">
        <v>227.24229909944142</v>
      </c>
      <c r="DJ58" s="62">
        <v>57</v>
      </c>
      <c r="DK58" s="61" t="s">
        <v>206</v>
      </c>
      <c r="DL58" s="61" t="s">
        <v>389</v>
      </c>
      <c r="DM58" s="67">
        <v>230.89838132823712</v>
      </c>
      <c r="DO58" s="64">
        <v>57</v>
      </c>
      <c r="DP58" s="65" t="s">
        <v>206</v>
      </c>
      <c r="DQ58" s="65" t="s">
        <v>414</v>
      </c>
      <c r="DR58" s="68">
        <v>210.10808685832455</v>
      </c>
    </row>
    <row r="59" spans="19:122">
      <c r="S59" s="62">
        <v>58</v>
      </c>
      <c r="T59" s="61" t="s">
        <v>205</v>
      </c>
      <c r="U59" s="61" t="s">
        <v>355</v>
      </c>
      <c r="V59" s="67">
        <v>73.661645802165822</v>
      </c>
      <c r="X59" s="62">
        <v>58</v>
      </c>
      <c r="Y59" s="61" t="s">
        <v>205</v>
      </c>
      <c r="Z59" s="61" t="s">
        <v>355</v>
      </c>
      <c r="AA59" s="67">
        <v>78.265498664801214</v>
      </c>
      <c r="AC59" s="62">
        <v>58</v>
      </c>
      <c r="AD59" s="61" t="s">
        <v>205</v>
      </c>
      <c r="AE59" s="61" t="s">
        <v>356</v>
      </c>
      <c r="AF59" s="67">
        <v>83.483198575787654</v>
      </c>
      <c r="AH59" s="62">
        <v>58</v>
      </c>
      <c r="AI59" s="61" t="s">
        <v>278</v>
      </c>
      <c r="AJ59" s="61" t="s">
        <v>329</v>
      </c>
      <c r="AK59" s="67">
        <v>20.357142857142858</v>
      </c>
      <c r="AM59" s="62">
        <v>58</v>
      </c>
      <c r="AN59" s="61" t="s">
        <v>278</v>
      </c>
      <c r="AO59" s="61" t="s">
        <v>329</v>
      </c>
      <c r="AP59" s="67">
        <v>48.84615384615384</v>
      </c>
      <c r="AR59" s="62">
        <v>58</v>
      </c>
      <c r="AS59" s="61" t="s">
        <v>278</v>
      </c>
      <c r="AT59" s="61" t="s">
        <v>329</v>
      </c>
      <c r="AU59" s="67">
        <v>53.84615384615384</v>
      </c>
      <c r="AW59" s="62">
        <v>58</v>
      </c>
      <c r="AX59" s="61" t="s">
        <v>278</v>
      </c>
      <c r="AY59" s="61" t="s">
        <v>329</v>
      </c>
      <c r="AZ59" s="67">
        <v>86.25</v>
      </c>
      <c r="BB59" s="62">
        <v>58</v>
      </c>
      <c r="BC59" s="61" t="s">
        <v>278</v>
      </c>
      <c r="BD59" s="61" t="s">
        <v>329</v>
      </c>
      <c r="BE59" s="67">
        <v>91.25</v>
      </c>
      <c r="BG59" s="62">
        <v>58</v>
      </c>
      <c r="BH59" s="61" t="s">
        <v>278</v>
      </c>
      <c r="BI59" s="61" t="s">
        <v>329</v>
      </c>
      <c r="BJ59" s="67">
        <v>101.36363636363635</v>
      </c>
      <c r="BL59" s="62">
        <v>58</v>
      </c>
      <c r="BM59" s="61" t="s">
        <v>278</v>
      </c>
      <c r="BN59" s="61" t="s">
        <v>329</v>
      </c>
      <c r="BO59" s="67">
        <v>106.36363636363633</v>
      </c>
      <c r="BQ59" s="62">
        <v>58</v>
      </c>
      <c r="BR59" s="61" t="s">
        <v>278</v>
      </c>
      <c r="BS59" s="61" t="s">
        <v>329</v>
      </c>
      <c r="BT59" s="67">
        <v>72.5</v>
      </c>
      <c r="BV59" s="62">
        <v>58</v>
      </c>
      <c r="BW59" s="61" t="s">
        <v>278</v>
      </c>
      <c r="BX59" s="61" t="s">
        <v>329</v>
      </c>
      <c r="BY59" s="67">
        <v>77.5</v>
      </c>
      <c r="CA59" s="62">
        <v>58</v>
      </c>
      <c r="CB59" s="61" t="s">
        <v>278</v>
      </c>
      <c r="CC59" s="61" t="s">
        <v>329</v>
      </c>
      <c r="CD59" s="67">
        <v>82.5</v>
      </c>
      <c r="CF59" s="62">
        <v>58</v>
      </c>
      <c r="CG59" s="61" t="s">
        <v>206</v>
      </c>
      <c r="CH59" s="61" t="s">
        <v>392</v>
      </c>
      <c r="CI59" s="67">
        <v>165.49961769378839</v>
      </c>
      <c r="CK59" s="62">
        <v>58</v>
      </c>
      <c r="CL59" s="61" t="s">
        <v>206</v>
      </c>
      <c r="CM59" s="61" t="s">
        <v>392</v>
      </c>
      <c r="CN59" s="67">
        <v>168.27098221853379</v>
      </c>
      <c r="CP59" s="62">
        <v>58</v>
      </c>
      <c r="CQ59" s="61" t="s">
        <v>206</v>
      </c>
      <c r="CR59" s="61" t="s">
        <v>392</v>
      </c>
      <c r="CS59" s="67">
        <v>171.14357556388177</v>
      </c>
      <c r="CU59" s="62">
        <v>58</v>
      </c>
      <c r="CV59" s="61" t="s">
        <v>206</v>
      </c>
      <c r="CW59" s="61" t="s">
        <v>389</v>
      </c>
      <c r="CX59" s="67">
        <v>220.088760503575</v>
      </c>
      <c r="CZ59" s="62">
        <v>58</v>
      </c>
      <c r="DA59" s="61" t="s">
        <v>206</v>
      </c>
      <c r="DB59" s="61" t="s">
        <v>389</v>
      </c>
      <c r="DC59" s="67">
        <v>223.63824024526753</v>
      </c>
      <c r="DE59" s="62">
        <v>58</v>
      </c>
      <c r="DF59" s="61" t="s">
        <v>206</v>
      </c>
      <c r="DG59" s="61" t="s">
        <v>389</v>
      </c>
      <c r="DH59" s="67">
        <v>227.24229909944142</v>
      </c>
      <c r="DJ59" s="62">
        <v>58</v>
      </c>
      <c r="DK59" s="61" t="s">
        <v>206</v>
      </c>
      <c r="DL59" s="61" t="s">
        <v>389</v>
      </c>
      <c r="DM59" s="67">
        <v>230.89838132823712</v>
      </c>
    </row>
    <row r="60" spans="19:122">
      <c r="S60" s="62">
        <v>59</v>
      </c>
      <c r="T60" s="61" t="s">
        <v>205</v>
      </c>
      <c r="U60" s="61" t="s">
        <v>355</v>
      </c>
      <c r="V60" s="67">
        <v>73.661645802165822</v>
      </c>
      <c r="X60" s="62">
        <v>59</v>
      </c>
      <c r="Y60" s="61" t="s">
        <v>205</v>
      </c>
      <c r="Z60" s="61" t="s">
        <v>355</v>
      </c>
      <c r="AA60" s="67">
        <v>78.265498664801214</v>
      </c>
      <c r="AC60" s="62">
        <v>59</v>
      </c>
      <c r="AD60" s="61" t="s">
        <v>205</v>
      </c>
      <c r="AE60" s="61" t="s">
        <v>372</v>
      </c>
      <c r="AF60" s="67">
        <v>83.483198575788109</v>
      </c>
      <c r="AH60" s="62">
        <v>59</v>
      </c>
      <c r="AI60" s="61" t="s">
        <v>278</v>
      </c>
      <c r="AJ60" s="61" t="s">
        <v>329</v>
      </c>
      <c r="AK60" s="67">
        <v>25.714285714285715</v>
      </c>
      <c r="AM60" s="62">
        <v>59</v>
      </c>
      <c r="AN60" s="61" t="s">
        <v>278</v>
      </c>
      <c r="AO60" s="61" t="s">
        <v>329</v>
      </c>
      <c r="AP60" s="67">
        <v>54.615384615384606</v>
      </c>
      <c r="AR60" s="62">
        <v>59</v>
      </c>
      <c r="AS60" s="61" t="s">
        <v>278</v>
      </c>
      <c r="AT60" s="61" t="s">
        <v>329</v>
      </c>
      <c r="AU60" s="67">
        <v>59.615384615384606</v>
      </c>
      <c r="AW60" s="62">
        <v>59</v>
      </c>
      <c r="AX60" s="61" t="s">
        <v>278</v>
      </c>
      <c r="AY60" s="61" t="s">
        <v>329</v>
      </c>
      <c r="AZ60" s="67">
        <v>92.5</v>
      </c>
      <c r="BB60" s="62">
        <v>59</v>
      </c>
      <c r="BC60" s="61" t="s">
        <v>278</v>
      </c>
      <c r="BD60" s="61" t="s">
        <v>329</v>
      </c>
      <c r="BE60" s="67">
        <v>97.5</v>
      </c>
      <c r="BG60" s="62">
        <v>59</v>
      </c>
      <c r="BH60" s="61" t="s">
        <v>278</v>
      </c>
      <c r="BI60" s="61" t="s">
        <v>329</v>
      </c>
      <c r="BJ60" s="67">
        <v>94.545454545454533</v>
      </c>
      <c r="BL60" s="62">
        <v>59</v>
      </c>
      <c r="BM60" s="61" t="s">
        <v>278</v>
      </c>
      <c r="BN60" s="61" t="s">
        <v>329</v>
      </c>
      <c r="BO60" s="67">
        <v>99.545454545454518</v>
      </c>
      <c r="BQ60" s="62">
        <v>59</v>
      </c>
      <c r="BR60" s="61" t="s">
        <v>278</v>
      </c>
      <c r="BS60" s="61" t="s">
        <v>329</v>
      </c>
      <c r="BT60" s="67">
        <v>65</v>
      </c>
      <c r="BV60" s="62">
        <v>59</v>
      </c>
      <c r="BW60" s="61" t="s">
        <v>278</v>
      </c>
      <c r="BX60" s="61" t="s">
        <v>329</v>
      </c>
      <c r="BY60" s="67">
        <v>70</v>
      </c>
      <c r="CA60" s="62">
        <v>59</v>
      </c>
      <c r="CB60" s="61" t="s">
        <v>278</v>
      </c>
      <c r="CC60" s="61" t="s">
        <v>329</v>
      </c>
      <c r="CD60" s="67">
        <v>75</v>
      </c>
      <c r="CF60" s="62">
        <v>59</v>
      </c>
      <c r="CG60" s="61" t="s">
        <v>206</v>
      </c>
      <c r="CH60" s="61" t="s">
        <v>400</v>
      </c>
      <c r="CI60" s="67">
        <v>170.17510952320427</v>
      </c>
      <c r="CK60" s="62">
        <v>59</v>
      </c>
      <c r="CL60" s="61" t="s">
        <v>206</v>
      </c>
      <c r="CM60" s="61" t="s">
        <v>400</v>
      </c>
      <c r="CN60" s="67">
        <v>173.11239480339904</v>
      </c>
      <c r="CP60" s="62">
        <v>59</v>
      </c>
      <c r="CQ60" s="61" t="s">
        <v>206</v>
      </c>
      <c r="CR60" s="61" t="s">
        <v>400</v>
      </c>
      <c r="CS60" s="67">
        <v>176.14265402764102</v>
      </c>
      <c r="CU60" s="62">
        <v>59</v>
      </c>
      <c r="CV60" s="61" t="s">
        <v>206</v>
      </c>
      <c r="CW60" s="61" t="s">
        <v>389</v>
      </c>
      <c r="CX60" s="67">
        <v>213.5900351725239</v>
      </c>
      <c r="CZ60" s="62">
        <v>59</v>
      </c>
      <c r="DA60" s="61" t="s">
        <v>206</v>
      </c>
      <c r="DB60" s="61" t="s">
        <v>389</v>
      </c>
      <c r="DC60" s="67">
        <v>217.02984385793582</v>
      </c>
      <c r="DE60" s="62">
        <v>59</v>
      </c>
      <c r="DF60" s="61" t="s">
        <v>206</v>
      </c>
      <c r="DG60" s="61" t="s">
        <v>389</v>
      </c>
      <c r="DH60" s="67">
        <v>220.52937020950293</v>
      </c>
      <c r="DJ60" s="62">
        <v>59</v>
      </c>
      <c r="DK60" s="61" t="s">
        <v>206</v>
      </c>
      <c r="DL60" s="61" t="s">
        <v>389</v>
      </c>
      <c r="DM60" s="67">
        <v>224.08581642977762</v>
      </c>
    </row>
    <row r="61" spans="19:122">
      <c r="S61" s="62">
        <v>60</v>
      </c>
      <c r="T61" s="61" t="s">
        <v>205</v>
      </c>
      <c r="U61" s="61" t="s">
        <v>355</v>
      </c>
      <c r="V61" s="67">
        <v>73.661645802165822</v>
      </c>
      <c r="X61" s="62">
        <v>60</v>
      </c>
      <c r="Y61" s="61" t="s">
        <v>205</v>
      </c>
      <c r="Z61" s="61" t="s">
        <v>355</v>
      </c>
      <c r="AA61" s="67">
        <v>78.265498664801214</v>
      </c>
      <c r="AC61" s="62">
        <v>60</v>
      </c>
      <c r="AD61" s="61" t="s">
        <v>205</v>
      </c>
      <c r="AE61" s="61" t="s">
        <v>374</v>
      </c>
      <c r="AF61" s="67">
        <v>83.483198575788109</v>
      </c>
      <c r="AH61" s="62">
        <v>60</v>
      </c>
      <c r="AI61" s="61" t="s">
        <v>278</v>
      </c>
      <c r="AJ61" s="61" t="s">
        <v>329</v>
      </c>
      <c r="AK61" s="67">
        <v>31.071428571428573</v>
      </c>
      <c r="AM61" s="62">
        <v>60</v>
      </c>
      <c r="AN61" s="61" t="s">
        <v>278</v>
      </c>
      <c r="AO61" s="61" t="s">
        <v>329</v>
      </c>
      <c r="AP61" s="67">
        <v>60.384615384615373</v>
      </c>
      <c r="AR61" s="62">
        <v>60</v>
      </c>
      <c r="AS61" s="61" t="s">
        <v>278</v>
      </c>
      <c r="AT61" s="61" t="s">
        <v>329</v>
      </c>
      <c r="AU61" s="67">
        <v>65.384615384615373</v>
      </c>
      <c r="AW61" s="62">
        <v>60</v>
      </c>
      <c r="AX61" s="61" t="s">
        <v>278</v>
      </c>
      <c r="AY61" s="61" t="s">
        <v>329</v>
      </c>
      <c r="AZ61" s="67">
        <v>98.75</v>
      </c>
      <c r="BB61" s="62">
        <v>60</v>
      </c>
      <c r="BC61" s="61" t="s">
        <v>278</v>
      </c>
      <c r="BD61" s="61" t="s">
        <v>329</v>
      </c>
      <c r="BE61" s="67">
        <v>103.75</v>
      </c>
      <c r="BG61" s="62">
        <v>60</v>
      </c>
      <c r="BH61" s="61" t="s">
        <v>278</v>
      </c>
      <c r="BI61" s="61" t="s">
        <v>329</v>
      </c>
      <c r="BJ61" s="67">
        <v>87.72727272727272</v>
      </c>
      <c r="BL61" s="62">
        <v>60</v>
      </c>
      <c r="BM61" s="61" t="s">
        <v>278</v>
      </c>
      <c r="BN61" s="61" t="s">
        <v>329</v>
      </c>
      <c r="BO61" s="67">
        <v>92.727272727272705</v>
      </c>
      <c r="BQ61" s="62">
        <v>60</v>
      </c>
      <c r="BR61" s="61" t="s">
        <v>278</v>
      </c>
      <c r="BS61" s="61" t="s">
        <v>329</v>
      </c>
      <c r="BT61" s="67">
        <v>57.5</v>
      </c>
      <c r="BV61" s="62">
        <v>60</v>
      </c>
      <c r="BW61" s="61" t="s">
        <v>278</v>
      </c>
      <c r="BX61" s="61" t="s">
        <v>329</v>
      </c>
      <c r="BY61" s="67">
        <v>62.5</v>
      </c>
      <c r="CA61" s="62">
        <v>60</v>
      </c>
      <c r="CB61" s="61" t="s">
        <v>278</v>
      </c>
      <c r="CC61" s="61" t="s">
        <v>329</v>
      </c>
      <c r="CD61" s="67">
        <v>67.5</v>
      </c>
      <c r="CF61" s="62">
        <v>60</v>
      </c>
      <c r="CG61" s="61" t="s">
        <v>206</v>
      </c>
      <c r="CH61" s="61" t="s">
        <v>410</v>
      </c>
      <c r="CI61" s="67">
        <v>175.12253205846443</v>
      </c>
      <c r="CK61" s="62">
        <v>60</v>
      </c>
      <c r="CL61" s="61" t="s">
        <v>206</v>
      </c>
      <c r="CM61" s="61" t="s">
        <v>410</v>
      </c>
      <c r="CN61" s="67">
        <v>178.21214296796549</v>
      </c>
      <c r="CP61" s="62">
        <v>60</v>
      </c>
      <c r="CQ61" s="61" t="s">
        <v>206</v>
      </c>
      <c r="CR61" s="61" t="s">
        <v>410</v>
      </c>
      <c r="CS61" s="67">
        <v>181.38697463682786</v>
      </c>
      <c r="CU61" s="62">
        <v>60</v>
      </c>
      <c r="CV61" s="61" t="s">
        <v>206</v>
      </c>
      <c r="CW61" s="61" t="s">
        <v>389</v>
      </c>
      <c r="CX61" s="67">
        <v>207.31166151473485</v>
      </c>
      <c r="CZ61" s="62">
        <v>60</v>
      </c>
      <c r="DA61" s="61" t="s">
        <v>206</v>
      </c>
      <c r="DB61" s="61" t="s">
        <v>389</v>
      </c>
      <c r="DC61" s="67">
        <v>210.63149099790374</v>
      </c>
      <c r="DE61" s="62">
        <v>60</v>
      </c>
      <c r="DF61" s="61" t="s">
        <v>206</v>
      </c>
      <c r="DG61" s="61" t="s">
        <v>389</v>
      </c>
      <c r="DH61" s="67">
        <v>214.01664654881404</v>
      </c>
      <c r="DJ61" s="62">
        <v>60</v>
      </c>
      <c r="DK61" s="61" t="s">
        <v>206</v>
      </c>
      <c r="DL61" s="61" t="s">
        <v>389</v>
      </c>
      <c r="DM61" s="67">
        <v>217.46407749327244</v>
      </c>
    </row>
    <row r="62" spans="19:122">
      <c r="S62" s="62">
        <v>61</v>
      </c>
      <c r="T62" s="61" t="s">
        <v>205</v>
      </c>
      <c r="U62" s="61" t="s">
        <v>355</v>
      </c>
      <c r="V62" s="67">
        <v>73.661645802165822</v>
      </c>
      <c r="X62" s="62">
        <v>61</v>
      </c>
      <c r="Y62" s="61" t="s">
        <v>205</v>
      </c>
      <c r="Z62" s="61" t="s">
        <v>380</v>
      </c>
      <c r="AA62" s="67">
        <v>78.265498664801214</v>
      </c>
      <c r="AC62" s="62">
        <v>61</v>
      </c>
      <c r="AD62" s="61" t="s">
        <v>278</v>
      </c>
      <c r="AE62" s="61" t="s">
        <v>329</v>
      </c>
      <c r="AF62" s="67">
        <v>10</v>
      </c>
      <c r="AH62" s="62">
        <v>61</v>
      </c>
      <c r="AI62" s="61" t="s">
        <v>278</v>
      </c>
      <c r="AJ62" s="61" t="s">
        <v>329</v>
      </c>
      <c r="AK62" s="67">
        <v>36.428571428571431</v>
      </c>
      <c r="AM62" s="62">
        <v>61</v>
      </c>
      <c r="AN62" s="61" t="s">
        <v>278</v>
      </c>
      <c r="AO62" s="61" t="s">
        <v>329</v>
      </c>
      <c r="AP62" s="67">
        <v>66.153846153846146</v>
      </c>
      <c r="AR62" s="62">
        <v>61</v>
      </c>
      <c r="AS62" s="61" t="s">
        <v>278</v>
      </c>
      <c r="AT62" s="61" t="s">
        <v>329</v>
      </c>
      <c r="AU62" s="67">
        <v>71.153846153846146</v>
      </c>
      <c r="AW62" s="62">
        <v>61</v>
      </c>
      <c r="AX62" s="61" t="s">
        <v>278</v>
      </c>
      <c r="AY62" s="61" t="s">
        <v>329</v>
      </c>
      <c r="AZ62" s="67">
        <v>105</v>
      </c>
      <c r="BB62" s="62">
        <v>61</v>
      </c>
      <c r="BC62" s="61" t="s">
        <v>278</v>
      </c>
      <c r="BD62" s="61" t="s">
        <v>329</v>
      </c>
      <c r="BE62" s="67">
        <v>110</v>
      </c>
      <c r="BG62" s="62">
        <v>61</v>
      </c>
      <c r="BH62" s="61" t="s">
        <v>278</v>
      </c>
      <c r="BI62" s="61" t="s">
        <v>329</v>
      </c>
      <c r="BJ62" s="67">
        <v>80.909090909090907</v>
      </c>
      <c r="BL62" s="62">
        <v>61</v>
      </c>
      <c r="BM62" s="61" t="s">
        <v>278</v>
      </c>
      <c r="BN62" s="61" t="s">
        <v>329</v>
      </c>
      <c r="BO62" s="67">
        <v>85.909090909090892</v>
      </c>
      <c r="BQ62" s="62">
        <v>61</v>
      </c>
      <c r="BR62" s="61" t="s">
        <v>278</v>
      </c>
      <c r="BS62" s="61" t="s">
        <v>329</v>
      </c>
      <c r="BT62" s="67">
        <v>50</v>
      </c>
      <c r="BV62" s="62">
        <v>61</v>
      </c>
      <c r="BW62" s="61" t="s">
        <v>278</v>
      </c>
      <c r="BX62" s="61" t="s">
        <v>329</v>
      </c>
      <c r="BY62" s="67">
        <v>55</v>
      </c>
      <c r="CA62" s="62">
        <v>61</v>
      </c>
      <c r="CB62" s="61" t="s">
        <v>278</v>
      </c>
      <c r="CC62" s="61" t="s">
        <v>329</v>
      </c>
      <c r="CD62" s="67">
        <v>60</v>
      </c>
      <c r="CF62" s="62">
        <v>61</v>
      </c>
      <c r="CG62" s="61" t="s">
        <v>206</v>
      </c>
      <c r="CH62" s="61" t="s">
        <v>389</v>
      </c>
      <c r="CI62" s="67">
        <v>180.31950381694736</v>
      </c>
      <c r="CK62" s="62">
        <v>61</v>
      </c>
      <c r="CL62" s="61" t="s">
        <v>206</v>
      </c>
      <c r="CM62" s="61" t="s">
        <v>389</v>
      </c>
      <c r="CN62" s="67">
        <v>183.54869505608067</v>
      </c>
      <c r="CP62" s="62">
        <v>61</v>
      </c>
      <c r="CQ62" s="61" t="s">
        <v>206</v>
      </c>
      <c r="CR62" s="61" t="s">
        <v>389</v>
      </c>
      <c r="CS62" s="67">
        <v>186.85588954269033</v>
      </c>
      <c r="CU62" s="62">
        <v>61</v>
      </c>
      <c r="CV62" s="61" t="s">
        <v>206</v>
      </c>
      <c r="CW62" s="61" t="s">
        <v>410</v>
      </c>
      <c r="CX62" s="67">
        <v>201.27426096001446</v>
      </c>
      <c r="CZ62" s="62">
        <v>61</v>
      </c>
      <c r="DA62" s="61" t="s">
        <v>206</v>
      </c>
      <c r="DB62" s="61" t="s">
        <v>410</v>
      </c>
      <c r="DC62" s="67">
        <v>204.46290158608235</v>
      </c>
      <c r="DE62" s="62">
        <v>61</v>
      </c>
      <c r="DF62" s="61" t="s">
        <v>206</v>
      </c>
      <c r="DG62" s="61" t="s">
        <v>410</v>
      </c>
      <c r="DH62" s="67">
        <v>207.72296003330976</v>
      </c>
      <c r="DJ62" s="62">
        <v>61</v>
      </c>
      <c r="DK62" s="61" t="s">
        <v>206</v>
      </c>
      <c r="DL62" s="61" t="s">
        <v>410</v>
      </c>
      <c r="DM62" s="67">
        <v>211.05112680343595</v>
      </c>
    </row>
    <row r="63" spans="19:122">
      <c r="S63" s="62">
        <v>62</v>
      </c>
      <c r="T63" s="61" t="s">
        <v>205</v>
      </c>
      <c r="U63" s="61" t="s">
        <v>355</v>
      </c>
      <c r="V63" s="67">
        <v>73.661645802166049</v>
      </c>
      <c r="X63" s="62">
        <v>62</v>
      </c>
      <c r="Y63" s="61" t="s">
        <v>205</v>
      </c>
      <c r="Z63" s="61" t="s">
        <v>359</v>
      </c>
      <c r="AA63" s="67">
        <v>78.265498664801214</v>
      </c>
      <c r="AC63" s="62">
        <v>62</v>
      </c>
      <c r="AD63" s="61" t="s">
        <v>278</v>
      </c>
      <c r="AE63" s="61" t="s">
        <v>329</v>
      </c>
      <c r="AF63" s="67">
        <v>15</v>
      </c>
      <c r="AH63" s="62">
        <v>62</v>
      </c>
      <c r="AI63" s="61" t="s">
        <v>278</v>
      </c>
      <c r="AJ63" s="61" t="s">
        <v>329</v>
      </c>
      <c r="AK63" s="67">
        <v>41.785714285714285</v>
      </c>
      <c r="AM63" s="62">
        <v>62</v>
      </c>
      <c r="AN63" s="61" t="s">
        <v>278</v>
      </c>
      <c r="AO63" s="61" t="s">
        <v>329</v>
      </c>
      <c r="AP63" s="67">
        <v>71.92307692307692</v>
      </c>
      <c r="AR63" s="62">
        <v>62</v>
      </c>
      <c r="AS63" s="61" t="s">
        <v>278</v>
      </c>
      <c r="AT63" s="61" t="s">
        <v>329</v>
      </c>
      <c r="AU63" s="67">
        <v>76.92307692307692</v>
      </c>
      <c r="AW63" s="62">
        <v>62</v>
      </c>
      <c r="AX63" s="61" t="s">
        <v>278</v>
      </c>
      <c r="AY63" s="61" t="s">
        <v>329</v>
      </c>
      <c r="AZ63" s="67">
        <v>98.75</v>
      </c>
      <c r="BB63" s="62">
        <v>62</v>
      </c>
      <c r="BC63" s="61" t="s">
        <v>278</v>
      </c>
      <c r="BD63" s="61" t="s">
        <v>329</v>
      </c>
      <c r="BE63" s="67">
        <v>103.75</v>
      </c>
      <c r="BG63" s="62">
        <v>62</v>
      </c>
      <c r="BH63" s="61" t="s">
        <v>278</v>
      </c>
      <c r="BI63" s="61" t="s">
        <v>329</v>
      </c>
      <c r="BJ63" s="67">
        <v>74.090909090909093</v>
      </c>
      <c r="BL63" s="62">
        <v>62</v>
      </c>
      <c r="BM63" s="61" t="s">
        <v>278</v>
      </c>
      <c r="BN63" s="61" t="s">
        <v>329</v>
      </c>
      <c r="BO63" s="67">
        <v>79.090909090909079</v>
      </c>
      <c r="BQ63" s="62">
        <v>62</v>
      </c>
      <c r="BR63" s="61" t="s">
        <v>206</v>
      </c>
      <c r="BS63" s="61" t="s">
        <v>329</v>
      </c>
      <c r="BT63" s="67">
        <v>137.59087905817015</v>
      </c>
      <c r="BV63" s="62">
        <v>62</v>
      </c>
      <c r="BW63" s="61" t="s">
        <v>206</v>
      </c>
      <c r="BX63" s="61" t="s">
        <v>329</v>
      </c>
      <c r="BY63" s="67">
        <v>139.75424859373686</v>
      </c>
      <c r="CA63" s="62">
        <v>62</v>
      </c>
      <c r="CB63" s="61" t="s">
        <v>206</v>
      </c>
      <c r="CC63" s="61" t="s">
        <v>329</v>
      </c>
      <c r="CD63" s="67">
        <v>142.06072645175374</v>
      </c>
      <c r="CF63" s="62">
        <v>62</v>
      </c>
      <c r="CG63" s="61" t="s">
        <v>206</v>
      </c>
      <c r="CH63" s="61" t="s">
        <v>329</v>
      </c>
      <c r="CI63" s="67">
        <v>185.74507952541094</v>
      </c>
      <c r="CK63" s="62">
        <v>62</v>
      </c>
      <c r="CL63" s="61" t="s">
        <v>206</v>
      </c>
      <c r="CM63" s="61" t="s">
        <v>389</v>
      </c>
      <c r="CN63" s="67">
        <v>189.10200395880148</v>
      </c>
      <c r="CP63" s="62">
        <v>62</v>
      </c>
      <c r="CQ63" s="61" t="s">
        <v>206</v>
      </c>
      <c r="CR63" s="61" t="s">
        <v>389</v>
      </c>
      <c r="CS63" s="67">
        <v>192.53026056848287</v>
      </c>
      <c r="CU63" s="62">
        <v>62</v>
      </c>
      <c r="CV63" s="61" t="s">
        <v>206</v>
      </c>
      <c r="CW63" s="61" t="s">
        <v>400</v>
      </c>
      <c r="CX63" s="67">
        <v>195.50015984648198</v>
      </c>
      <c r="CZ63" s="62">
        <v>62</v>
      </c>
      <c r="DA63" s="61" t="s">
        <v>206</v>
      </c>
      <c r="DB63" s="61" t="s">
        <v>400</v>
      </c>
      <c r="DC63" s="67">
        <v>198.54549226814493</v>
      </c>
      <c r="DE63" s="62">
        <v>62</v>
      </c>
      <c r="DF63" s="61" t="s">
        <v>206</v>
      </c>
      <c r="DG63" s="61" t="s">
        <v>400</v>
      </c>
      <c r="DH63" s="67">
        <v>201.66881885903928</v>
      </c>
      <c r="DJ63" s="62">
        <v>62</v>
      </c>
      <c r="DK63" s="61" t="s">
        <v>206</v>
      </c>
      <c r="DL63" s="61" t="s">
        <v>400</v>
      </c>
      <c r="DM63" s="67">
        <v>204.86657243191237</v>
      </c>
    </row>
    <row r="64" spans="19:122">
      <c r="S64" s="62">
        <v>63</v>
      </c>
      <c r="T64" s="61" t="s">
        <v>205</v>
      </c>
      <c r="U64" s="61" t="s">
        <v>355</v>
      </c>
      <c r="V64" s="67">
        <v>73.661645802165822</v>
      </c>
      <c r="X64" s="62">
        <v>63</v>
      </c>
      <c r="Y64" s="61" t="s">
        <v>205</v>
      </c>
      <c r="Z64" s="61" t="s">
        <v>375</v>
      </c>
      <c r="AA64" s="67">
        <v>78.265498664801214</v>
      </c>
      <c r="AC64" s="62">
        <v>63</v>
      </c>
      <c r="AD64" s="61" t="s">
        <v>278</v>
      </c>
      <c r="AE64" s="61" t="s">
        <v>329</v>
      </c>
      <c r="AF64" s="67">
        <v>20</v>
      </c>
      <c r="AH64" s="62">
        <v>63</v>
      </c>
      <c r="AI64" s="61" t="s">
        <v>278</v>
      </c>
      <c r="AJ64" s="61" t="s">
        <v>329</v>
      </c>
      <c r="AK64" s="67">
        <v>47.142857142857139</v>
      </c>
      <c r="AM64" s="62">
        <v>63</v>
      </c>
      <c r="AN64" s="61" t="s">
        <v>278</v>
      </c>
      <c r="AO64" s="61" t="s">
        <v>329</v>
      </c>
      <c r="AP64" s="67">
        <v>77.692307692307693</v>
      </c>
      <c r="AR64" s="62">
        <v>63</v>
      </c>
      <c r="AS64" s="61" t="s">
        <v>278</v>
      </c>
      <c r="AT64" s="61" t="s">
        <v>329</v>
      </c>
      <c r="AU64" s="67">
        <v>82.692307692307693</v>
      </c>
      <c r="AW64" s="62">
        <v>63</v>
      </c>
      <c r="AX64" s="61" t="s">
        <v>278</v>
      </c>
      <c r="AY64" s="61" t="s">
        <v>329</v>
      </c>
      <c r="AZ64" s="67">
        <v>92.5</v>
      </c>
      <c r="BB64" s="62">
        <v>63</v>
      </c>
      <c r="BC64" s="61" t="s">
        <v>278</v>
      </c>
      <c r="BD64" s="61" t="s">
        <v>329</v>
      </c>
      <c r="BE64" s="67">
        <v>97.5</v>
      </c>
      <c r="BG64" s="62">
        <v>63</v>
      </c>
      <c r="BH64" s="61" t="s">
        <v>278</v>
      </c>
      <c r="BI64" s="61" t="s">
        <v>329</v>
      </c>
      <c r="BJ64" s="67">
        <v>67.27272727272728</v>
      </c>
      <c r="BL64" s="62">
        <v>63</v>
      </c>
      <c r="BM64" s="61" t="s">
        <v>278</v>
      </c>
      <c r="BN64" s="61" t="s">
        <v>329</v>
      </c>
      <c r="BO64" s="67">
        <v>72.272727272727266</v>
      </c>
      <c r="BQ64" s="62">
        <v>63</v>
      </c>
      <c r="BR64" s="61" t="s">
        <v>206</v>
      </c>
      <c r="BS64" s="61" t="s">
        <v>397</v>
      </c>
      <c r="BT64" s="67">
        <v>140.89002803605371</v>
      </c>
      <c r="BV64" s="62">
        <v>63</v>
      </c>
      <c r="BW64" s="61" t="s">
        <v>206</v>
      </c>
      <c r="BX64" s="61" t="s">
        <v>394</v>
      </c>
      <c r="BY64" s="67">
        <v>143.26548781894402</v>
      </c>
      <c r="CA64" s="62">
        <v>63</v>
      </c>
      <c r="CB64" s="61" t="s">
        <v>206</v>
      </c>
      <c r="CC64" s="61" t="s">
        <v>394</v>
      </c>
      <c r="CD64" s="67">
        <v>145.7737973711325</v>
      </c>
      <c r="CF64" s="62">
        <v>63</v>
      </c>
      <c r="CG64" s="61" t="s">
        <v>206</v>
      </c>
      <c r="CH64" s="61" t="s">
        <v>389</v>
      </c>
      <c r="CI64" s="67">
        <v>191.37981755634848</v>
      </c>
      <c r="CK64" s="62">
        <v>63</v>
      </c>
      <c r="CL64" s="61" t="s">
        <v>206</v>
      </c>
      <c r="CM64" s="61" t="s">
        <v>389</v>
      </c>
      <c r="CN64" s="67">
        <v>194.85353790621281</v>
      </c>
      <c r="CP64" s="62">
        <v>63</v>
      </c>
      <c r="CQ64" s="61" t="s">
        <v>206</v>
      </c>
      <c r="CR64" s="61" t="s">
        <v>389</v>
      </c>
      <c r="CS64" s="67">
        <v>198.39245928521217</v>
      </c>
      <c r="CU64" s="62">
        <v>63</v>
      </c>
      <c r="CV64" s="61" t="s">
        <v>206</v>
      </c>
      <c r="CW64" s="61" t="s">
        <v>392</v>
      </c>
      <c r="CX64" s="67">
        <v>190.01336301692047</v>
      </c>
      <c r="CZ64" s="62">
        <v>63</v>
      </c>
      <c r="DA64" s="61" t="s">
        <v>206</v>
      </c>
      <c r="DB64" s="61" t="s">
        <v>392</v>
      </c>
      <c r="DC64" s="67">
        <v>192.90237978055117</v>
      </c>
      <c r="DE64" s="62">
        <v>63</v>
      </c>
      <c r="DF64" s="61" t="s">
        <v>206</v>
      </c>
      <c r="DG64" s="61" t="s">
        <v>392</v>
      </c>
      <c r="DH64" s="67">
        <v>195.87643585944687</v>
      </c>
      <c r="DJ64" s="62">
        <v>63</v>
      </c>
      <c r="DK64" s="61" t="s">
        <v>206</v>
      </c>
      <c r="DL64" s="61" t="s">
        <v>392</v>
      </c>
      <c r="DM64" s="67">
        <v>198.93171724237439</v>
      </c>
    </row>
    <row r="65" spans="19:117">
      <c r="S65" s="62">
        <v>64</v>
      </c>
      <c r="T65" s="61" t="s">
        <v>205</v>
      </c>
      <c r="U65" s="61" t="s">
        <v>355</v>
      </c>
      <c r="V65" s="67">
        <v>73.661645802165822</v>
      </c>
      <c r="X65" s="62">
        <v>64</v>
      </c>
      <c r="Y65" s="61" t="s">
        <v>205</v>
      </c>
      <c r="Z65" s="61" t="s">
        <v>374</v>
      </c>
      <c r="AA65" s="67">
        <v>78.265498664801214</v>
      </c>
      <c r="AC65" s="62">
        <v>64</v>
      </c>
      <c r="AD65" s="61" t="s">
        <v>278</v>
      </c>
      <c r="AE65" s="61" t="s">
        <v>329</v>
      </c>
      <c r="AF65" s="67">
        <v>25</v>
      </c>
      <c r="AH65" s="62">
        <v>64</v>
      </c>
      <c r="AI65" s="61" t="s">
        <v>278</v>
      </c>
      <c r="AJ65" s="61" t="s">
        <v>329</v>
      </c>
      <c r="AK65" s="67">
        <v>52.499999999999993</v>
      </c>
      <c r="AM65" s="62">
        <v>64</v>
      </c>
      <c r="AN65" s="61" t="s">
        <v>278</v>
      </c>
      <c r="AO65" s="61" t="s">
        <v>329</v>
      </c>
      <c r="AP65" s="67">
        <v>83.461538461538467</v>
      </c>
      <c r="AR65" s="62">
        <v>64</v>
      </c>
      <c r="AS65" s="61" t="s">
        <v>278</v>
      </c>
      <c r="AT65" s="61" t="s">
        <v>329</v>
      </c>
      <c r="AU65" s="67">
        <v>88.461538461538467</v>
      </c>
      <c r="AW65" s="62">
        <v>64</v>
      </c>
      <c r="AX65" s="61" t="s">
        <v>278</v>
      </c>
      <c r="AY65" s="61" t="s">
        <v>329</v>
      </c>
      <c r="AZ65" s="67">
        <v>86.25</v>
      </c>
      <c r="BB65" s="62">
        <v>64</v>
      </c>
      <c r="BC65" s="61" t="s">
        <v>278</v>
      </c>
      <c r="BD65" s="61" t="s">
        <v>329</v>
      </c>
      <c r="BE65" s="67">
        <v>91.25</v>
      </c>
      <c r="BG65" s="62">
        <v>64</v>
      </c>
      <c r="BH65" s="61" t="s">
        <v>278</v>
      </c>
      <c r="BI65" s="61" t="s">
        <v>329</v>
      </c>
      <c r="BJ65" s="67">
        <v>60.45454545454546</v>
      </c>
      <c r="BL65" s="62">
        <v>64</v>
      </c>
      <c r="BM65" s="61" t="s">
        <v>278</v>
      </c>
      <c r="BN65" s="61" t="s">
        <v>329</v>
      </c>
      <c r="BO65" s="67">
        <v>65.454545454545453</v>
      </c>
      <c r="BQ65" s="62">
        <v>64</v>
      </c>
      <c r="BR65" s="61" t="s">
        <v>206</v>
      </c>
      <c r="BS65" s="61" t="s">
        <v>392</v>
      </c>
      <c r="BT65" s="67">
        <v>144.50346016618425</v>
      </c>
      <c r="BV65" s="62">
        <v>64</v>
      </c>
      <c r="BW65" s="61" t="s">
        <v>206</v>
      </c>
      <c r="BX65" s="61" t="s">
        <v>392</v>
      </c>
      <c r="BY65" s="67">
        <v>147.07566080082728</v>
      </c>
      <c r="CA65" s="62">
        <v>64</v>
      </c>
      <c r="CB65" s="61" t="s">
        <v>206</v>
      </c>
      <c r="CC65" s="61" t="s">
        <v>392</v>
      </c>
      <c r="CD65" s="67">
        <v>149.77065800750159</v>
      </c>
      <c r="CF65" s="62">
        <v>64</v>
      </c>
      <c r="CG65" s="61" t="s">
        <v>206</v>
      </c>
      <c r="CH65" s="61" t="s">
        <v>389</v>
      </c>
      <c r="CI65" s="67">
        <v>197.20578961275484</v>
      </c>
      <c r="CK65" s="62">
        <v>64</v>
      </c>
      <c r="CL65" s="61" t="s">
        <v>206</v>
      </c>
      <c r="CM65" s="61" t="s">
        <v>389</v>
      </c>
      <c r="CN65" s="67">
        <v>200.78626311774948</v>
      </c>
      <c r="CP65" s="62">
        <v>64</v>
      </c>
      <c r="CQ65" s="61" t="s">
        <v>206</v>
      </c>
      <c r="CR65" s="61" t="s">
        <v>389</v>
      </c>
      <c r="CS65" s="67">
        <v>204.4263276997122</v>
      </c>
      <c r="CU65" s="62">
        <v>64</v>
      </c>
      <c r="CV65" s="61" t="s">
        <v>206</v>
      </c>
      <c r="CW65" s="61" t="s">
        <v>417</v>
      </c>
      <c r="CX65" s="67">
        <v>184.83945736773845</v>
      </c>
      <c r="CZ65" s="62">
        <v>64</v>
      </c>
      <c r="DA65" s="61" t="s">
        <v>206</v>
      </c>
      <c r="DB65" s="61" t="s">
        <v>414</v>
      </c>
      <c r="DC65" s="67">
        <v>187.55832426208121</v>
      </c>
      <c r="DE65" s="62">
        <v>64</v>
      </c>
      <c r="DF65" s="61" t="s">
        <v>206</v>
      </c>
      <c r="DG65" s="61" t="s">
        <v>414</v>
      </c>
      <c r="DH65" s="67">
        <v>190.36970609842314</v>
      </c>
      <c r="DJ65" s="62">
        <v>64</v>
      </c>
      <c r="DK65" s="61" t="s">
        <v>206</v>
      </c>
      <c r="DL65" s="61" t="s">
        <v>414</v>
      </c>
      <c r="DM65" s="67">
        <v>193.2695656330815</v>
      </c>
    </row>
    <row r="66" spans="19:117" ht="15" thickBot="1">
      <c r="S66" s="62">
        <v>65</v>
      </c>
      <c r="T66" s="61" t="s">
        <v>205</v>
      </c>
      <c r="U66" s="61" t="s">
        <v>355</v>
      </c>
      <c r="V66" s="67">
        <v>73.661645802165822</v>
      </c>
      <c r="X66" s="62">
        <v>65</v>
      </c>
      <c r="Y66" s="61" t="s">
        <v>278</v>
      </c>
      <c r="Z66" s="61" t="s">
        <v>329</v>
      </c>
      <c r="AA66" s="67">
        <v>5</v>
      </c>
      <c r="AC66" s="62">
        <v>65</v>
      </c>
      <c r="AD66" s="61" t="s">
        <v>278</v>
      </c>
      <c r="AE66" s="61" t="s">
        <v>329</v>
      </c>
      <c r="AF66" s="67">
        <v>30</v>
      </c>
      <c r="AH66" s="62">
        <v>65</v>
      </c>
      <c r="AI66" s="61" t="s">
        <v>278</v>
      </c>
      <c r="AJ66" s="61" t="s">
        <v>329</v>
      </c>
      <c r="AK66" s="67">
        <v>57.857142857142847</v>
      </c>
      <c r="AM66" s="62">
        <v>65</v>
      </c>
      <c r="AN66" s="61" t="s">
        <v>278</v>
      </c>
      <c r="AO66" s="61" t="s">
        <v>329</v>
      </c>
      <c r="AP66" s="67">
        <v>89.230769230769241</v>
      </c>
      <c r="AR66" s="62">
        <v>65</v>
      </c>
      <c r="AS66" s="61" t="s">
        <v>278</v>
      </c>
      <c r="AT66" s="61" t="s">
        <v>329</v>
      </c>
      <c r="AU66" s="67">
        <v>94.230769230769241</v>
      </c>
      <c r="AW66" s="62">
        <v>65</v>
      </c>
      <c r="AX66" s="61" t="s">
        <v>278</v>
      </c>
      <c r="AY66" s="61" t="s">
        <v>329</v>
      </c>
      <c r="AZ66" s="67">
        <v>80</v>
      </c>
      <c r="BB66" s="62">
        <v>65</v>
      </c>
      <c r="BC66" s="61" t="s">
        <v>278</v>
      </c>
      <c r="BD66" s="61" t="s">
        <v>329</v>
      </c>
      <c r="BE66" s="67">
        <v>85</v>
      </c>
      <c r="BG66" s="62">
        <v>65</v>
      </c>
      <c r="BH66" s="61" t="s">
        <v>278</v>
      </c>
      <c r="BI66" s="61" t="s">
        <v>329</v>
      </c>
      <c r="BJ66" s="67">
        <v>53.63636363636364</v>
      </c>
      <c r="BL66" s="62">
        <v>65</v>
      </c>
      <c r="BM66" s="61" t="s">
        <v>278</v>
      </c>
      <c r="BN66" s="61" t="s">
        <v>329</v>
      </c>
      <c r="BO66" s="67">
        <v>58.636363636363633</v>
      </c>
      <c r="BQ66" s="62">
        <v>65</v>
      </c>
      <c r="BR66" s="61" t="s">
        <v>206</v>
      </c>
      <c r="BS66" s="61" t="s">
        <v>400</v>
      </c>
      <c r="BT66" s="67">
        <v>148.40822079655831</v>
      </c>
      <c r="BV66" s="62">
        <v>65</v>
      </c>
      <c r="BW66" s="61" t="s">
        <v>206</v>
      </c>
      <c r="BX66" s="61" t="s">
        <v>400</v>
      </c>
      <c r="BY66" s="67">
        <v>151.16216457830973</v>
      </c>
      <c r="CA66" s="62">
        <v>65</v>
      </c>
      <c r="CB66" s="61" t="s">
        <v>206</v>
      </c>
      <c r="CC66" s="61" t="s">
        <v>400</v>
      </c>
      <c r="CD66" s="67">
        <v>154.02921800749363</v>
      </c>
      <c r="CF66" s="62">
        <v>65</v>
      </c>
      <c r="CG66" s="61" t="s">
        <v>206</v>
      </c>
      <c r="CH66" s="61" t="s">
        <v>389</v>
      </c>
      <c r="CI66" s="67">
        <v>197.20578961275484</v>
      </c>
      <c r="CK66" s="62">
        <v>65</v>
      </c>
      <c r="CL66" s="61" t="s">
        <v>206</v>
      </c>
      <c r="CM66" s="61" t="s">
        <v>389</v>
      </c>
      <c r="CN66" s="67">
        <v>200.78626311774948</v>
      </c>
      <c r="CP66" s="62">
        <v>65</v>
      </c>
      <c r="CQ66" s="61" t="s">
        <v>206</v>
      </c>
      <c r="CR66" s="61" t="s">
        <v>389</v>
      </c>
      <c r="CS66" s="67">
        <v>204.4263276997122</v>
      </c>
      <c r="CU66" s="64">
        <v>65</v>
      </c>
      <c r="CV66" s="65" t="s">
        <v>206</v>
      </c>
      <c r="CW66" s="65" t="s">
        <v>329</v>
      </c>
      <c r="CX66" s="68">
        <v>180.00542526546249</v>
      </c>
      <c r="CZ66" s="64">
        <v>65</v>
      </c>
      <c r="DA66" s="65" t="s">
        <v>206</v>
      </c>
      <c r="DB66" s="65" t="s">
        <v>389</v>
      </c>
      <c r="DC66" s="68">
        <v>182.53959330786293</v>
      </c>
      <c r="DE66" s="64">
        <v>65</v>
      </c>
      <c r="DF66" s="65" t="s">
        <v>206</v>
      </c>
      <c r="DG66" s="65" t="s">
        <v>389</v>
      </c>
      <c r="DH66" s="68">
        <v>185.1741156992521</v>
      </c>
      <c r="DJ66" s="64">
        <v>65</v>
      </c>
      <c r="DK66" s="65" t="s">
        <v>206</v>
      </c>
      <c r="DL66" s="65" t="s">
        <v>389</v>
      </c>
      <c r="DM66" s="68">
        <v>187.90477142691188</v>
      </c>
    </row>
    <row r="67" spans="19:117">
      <c r="S67" s="62">
        <v>66</v>
      </c>
      <c r="T67" s="61" t="s">
        <v>205</v>
      </c>
      <c r="U67" s="61" t="s">
        <v>355</v>
      </c>
      <c r="V67" s="67">
        <v>73.661645802165822</v>
      </c>
      <c r="X67" s="62">
        <v>66</v>
      </c>
      <c r="Y67" s="61" t="s">
        <v>278</v>
      </c>
      <c r="Z67" s="61" t="s">
        <v>329</v>
      </c>
      <c r="AA67" s="67">
        <v>9.6875</v>
      </c>
      <c r="AC67" s="62">
        <v>66</v>
      </c>
      <c r="AD67" s="61" t="s">
        <v>278</v>
      </c>
      <c r="AE67" s="61" t="s">
        <v>329</v>
      </c>
      <c r="AF67" s="67">
        <v>35</v>
      </c>
      <c r="AH67" s="62">
        <v>66</v>
      </c>
      <c r="AI67" s="61" t="s">
        <v>278</v>
      </c>
      <c r="AJ67" s="61" t="s">
        <v>329</v>
      </c>
      <c r="AK67" s="67">
        <v>63.214285714285701</v>
      </c>
      <c r="AM67" s="62">
        <v>66</v>
      </c>
      <c r="AN67" s="61" t="s">
        <v>278</v>
      </c>
      <c r="AO67" s="61" t="s">
        <v>329</v>
      </c>
      <c r="AP67" s="67">
        <v>95.000000000000014</v>
      </c>
      <c r="AR67" s="62">
        <v>66</v>
      </c>
      <c r="AS67" s="61" t="s">
        <v>278</v>
      </c>
      <c r="AT67" s="61" t="s">
        <v>329</v>
      </c>
      <c r="AU67" s="67">
        <v>100.00000000000001</v>
      </c>
      <c r="AW67" s="62">
        <v>66</v>
      </c>
      <c r="AX67" s="61" t="s">
        <v>278</v>
      </c>
      <c r="AY67" s="61" t="s">
        <v>329</v>
      </c>
      <c r="AZ67" s="67">
        <v>73.75</v>
      </c>
      <c r="BB67" s="62">
        <v>66</v>
      </c>
      <c r="BC67" s="61" t="s">
        <v>278</v>
      </c>
      <c r="BD67" s="61" t="s">
        <v>329</v>
      </c>
      <c r="BE67" s="67">
        <v>78.75</v>
      </c>
      <c r="BG67" s="62">
        <v>66</v>
      </c>
      <c r="BH67" s="61" t="s">
        <v>278</v>
      </c>
      <c r="BI67" s="61" t="s">
        <v>329</v>
      </c>
      <c r="BJ67" s="67">
        <v>46.81818181818182</v>
      </c>
      <c r="BL67" s="62">
        <v>66</v>
      </c>
      <c r="BM67" s="61" t="s">
        <v>278</v>
      </c>
      <c r="BN67" s="61" t="s">
        <v>329</v>
      </c>
      <c r="BO67" s="67">
        <v>51.818181818181813</v>
      </c>
      <c r="BQ67" s="62">
        <v>66</v>
      </c>
      <c r="BR67" s="61" t="s">
        <v>206</v>
      </c>
      <c r="BS67" s="61" t="s">
        <v>354</v>
      </c>
      <c r="BT67" s="67">
        <v>152.58194519667128</v>
      </c>
      <c r="BV67" s="62">
        <v>66</v>
      </c>
      <c r="BW67" s="61" t="s">
        <v>206</v>
      </c>
      <c r="BX67" s="61" t="s">
        <v>354</v>
      </c>
      <c r="BY67" s="67">
        <v>155.50321540083985</v>
      </c>
      <c r="CA67" s="62">
        <v>66</v>
      </c>
      <c r="CB67" s="61" t="s">
        <v>206</v>
      </c>
      <c r="CC67" s="61" t="s">
        <v>354</v>
      </c>
      <c r="CD67" s="67">
        <v>158.5283886248769</v>
      </c>
      <c r="CF67" s="62">
        <v>66</v>
      </c>
      <c r="CG67" s="61" t="s">
        <v>206</v>
      </c>
      <c r="CH67" s="61" t="s">
        <v>389</v>
      </c>
      <c r="CI67" s="67">
        <v>191.37981755634848</v>
      </c>
      <c r="CK67" s="62">
        <v>66</v>
      </c>
      <c r="CL67" s="61" t="s">
        <v>206</v>
      </c>
      <c r="CM67" s="61" t="s">
        <v>389</v>
      </c>
      <c r="CN67" s="67">
        <v>194.85353790621281</v>
      </c>
      <c r="CP67" s="62">
        <v>66</v>
      </c>
      <c r="CQ67" s="61" t="s">
        <v>206</v>
      </c>
      <c r="CR67" s="61" t="s">
        <v>389</v>
      </c>
      <c r="CS67" s="67">
        <v>198.39245928521217</v>
      </c>
    </row>
    <row r="68" spans="19:117">
      <c r="S68" s="62">
        <v>67</v>
      </c>
      <c r="T68" s="61" t="s">
        <v>205</v>
      </c>
      <c r="U68" s="61" t="s">
        <v>355</v>
      </c>
      <c r="V68" s="67">
        <v>73.661645802165822</v>
      </c>
      <c r="X68" s="62">
        <v>67</v>
      </c>
      <c r="Y68" s="61" t="s">
        <v>278</v>
      </c>
      <c r="Z68" s="61" t="s">
        <v>329</v>
      </c>
      <c r="AA68" s="67">
        <v>14.375</v>
      </c>
      <c r="AC68" s="62">
        <v>67</v>
      </c>
      <c r="AD68" s="61" t="s">
        <v>278</v>
      </c>
      <c r="AE68" s="61" t="s">
        <v>329</v>
      </c>
      <c r="AF68" s="67">
        <v>40</v>
      </c>
      <c r="AH68" s="62">
        <v>67</v>
      </c>
      <c r="AI68" s="61" t="s">
        <v>278</v>
      </c>
      <c r="AJ68" s="61" t="s">
        <v>329</v>
      </c>
      <c r="AK68" s="67">
        <v>68.571428571428555</v>
      </c>
      <c r="AM68" s="62">
        <v>67</v>
      </c>
      <c r="AN68" s="61" t="s">
        <v>278</v>
      </c>
      <c r="AO68" s="61" t="s">
        <v>329</v>
      </c>
      <c r="AP68" s="67">
        <v>89.230769230769241</v>
      </c>
      <c r="AR68" s="62">
        <v>67</v>
      </c>
      <c r="AS68" s="61" t="s">
        <v>278</v>
      </c>
      <c r="AT68" s="61" t="s">
        <v>329</v>
      </c>
      <c r="AU68" s="67">
        <v>94.230769230769241</v>
      </c>
      <c r="AW68" s="62">
        <v>67</v>
      </c>
      <c r="AX68" s="61" t="s">
        <v>278</v>
      </c>
      <c r="AY68" s="61" t="s">
        <v>329</v>
      </c>
      <c r="AZ68" s="67">
        <v>67.5</v>
      </c>
      <c r="BB68" s="62">
        <v>67</v>
      </c>
      <c r="BC68" s="61" t="s">
        <v>278</v>
      </c>
      <c r="BD68" s="61" t="s">
        <v>329</v>
      </c>
      <c r="BE68" s="67">
        <v>72.5</v>
      </c>
      <c r="BG68" s="62">
        <v>67</v>
      </c>
      <c r="BH68" s="61" t="s">
        <v>278</v>
      </c>
      <c r="BI68" s="61" t="s">
        <v>329</v>
      </c>
      <c r="BJ68" s="67">
        <v>40</v>
      </c>
      <c r="BL68" s="62">
        <v>67</v>
      </c>
      <c r="BM68" s="61" t="s">
        <v>278</v>
      </c>
      <c r="BN68" s="61" t="s">
        <v>329</v>
      </c>
      <c r="BO68" s="67">
        <v>44.999999999999993</v>
      </c>
      <c r="BQ68" s="62">
        <v>67</v>
      </c>
      <c r="BR68" s="61" t="s">
        <v>206</v>
      </c>
      <c r="BS68" s="61" t="s">
        <v>389</v>
      </c>
      <c r="BT68" s="67">
        <v>157.00318468107582</v>
      </c>
      <c r="BV68" s="62">
        <v>67</v>
      </c>
      <c r="BW68" s="61" t="s">
        <v>206</v>
      </c>
      <c r="BX68" s="61" t="s">
        <v>389</v>
      </c>
      <c r="BY68" s="67">
        <v>160.07810593582121</v>
      </c>
      <c r="CA68" s="62">
        <v>67</v>
      </c>
      <c r="CB68" s="61" t="s">
        <v>206</v>
      </c>
      <c r="CC68" s="61" t="s">
        <v>389</v>
      </c>
      <c r="CD68" s="67">
        <v>163.24827717314508</v>
      </c>
      <c r="CF68" s="62">
        <v>67</v>
      </c>
      <c r="CG68" s="61" t="s">
        <v>206</v>
      </c>
      <c r="CH68" s="61" t="s">
        <v>329</v>
      </c>
      <c r="CI68" s="67">
        <v>185.74507952541077</v>
      </c>
      <c r="CK68" s="62">
        <v>67</v>
      </c>
      <c r="CL68" s="61" t="s">
        <v>206</v>
      </c>
      <c r="CM68" s="61" t="s">
        <v>389</v>
      </c>
      <c r="CN68" s="67">
        <v>189.1020039588013</v>
      </c>
      <c r="CP68" s="62">
        <v>67</v>
      </c>
      <c r="CQ68" s="61" t="s">
        <v>206</v>
      </c>
      <c r="CR68" s="61" t="s">
        <v>389</v>
      </c>
      <c r="CS68" s="67">
        <v>192.5302605684827</v>
      </c>
    </row>
    <row r="69" spans="19:117">
      <c r="S69" s="62">
        <v>68</v>
      </c>
      <c r="T69" s="61" t="s">
        <v>205</v>
      </c>
      <c r="U69" s="61" t="s">
        <v>355</v>
      </c>
      <c r="V69" s="67">
        <v>73.661645802165822</v>
      </c>
      <c r="X69" s="62">
        <v>68</v>
      </c>
      <c r="Y69" s="61" t="s">
        <v>278</v>
      </c>
      <c r="Z69" s="61" t="s">
        <v>329</v>
      </c>
      <c r="AA69" s="67">
        <v>19.0625</v>
      </c>
      <c r="AC69" s="62">
        <v>68</v>
      </c>
      <c r="AD69" s="61" t="s">
        <v>278</v>
      </c>
      <c r="AE69" s="61" t="s">
        <v>329</v>
      </c>
      <c r="AF69" s="67">
        <v>45</v>
      </c>
      <c r="AH69" s="62">
        <v>68</v>
      </c>
      <c r="AI69" s="61" t="s">
        <v>278</v>
      </c>
      <c r="AJ69" s="61" t="s">
        <v>329</v>
      </c>
      <c r="AK69" s="67">
        <v>73.928571428571416</v>
      </c>
      <c r="AM69" s="62">
        <v>68</v>
      </c>
      <c r="AN69" s="61" t="s">
        <v>278</v>
      </c>
      <c r="AO69" s="61" t="s">
        <v>329</v>
      </c>
      <c r="AP69" s="67">
        <v>83.461538461538467</v>
      </c>
      <c r="AR69" s="62">
        <v>68</v>
      </c>
      <c r="AS69" s="61" t="s">
        <v>278</v>
      </c>
      <c r="AT69" s="61" t="s">
        <v>329</v>
      </c>
      <c r="AU69" s="67">
        <v>88.461538461538467</v>
      </c>
      <c r="AW69" s="62">
        <v>68</v>
      </c>
      <c r="AX69" s="61" t="s">
        <v>278</v>
      </c>
      <c r="AY69" s="61" t="s">
        <v>329</v>
      </c>
      <c r="AZ69" s="67">
        <v>61.25</v>
      </c>
      <c r="BB69" s="62">
        <v>68</v>
      </c>
      <c r="BC69" s="61" t="s">
        <v>278</v>
      </c>
      <c r="BD69" s="61" t="s">
        <v>329</v>
      </c>
      <c r="BE69" s="67">
        <v>66.25</v>
      </c>
      <c r="BG69" s="62">
        <v>68</v>
      </c>
      <c r="BH69" s="61" t="s">
        <v>206</v>
      </c>
      <c r="BI69" s="61" t="s">
        <v>329</v>
      </c>
      <c r="BJ69" s="67">
        <v>122.90307274131189</v>
      </c>
      <c r="BL69" s="62">
        <v>68</v>
      </c>
      <c r="BM69" s="61" t="s">
        <v>206</v>
      </c>
      <c r="BN69" s="61" t="s">
        <v>329</v>
      </c>
      <c r="BO69" s="67">
        <v>124.89334292682705</v>
      </c>
      <c r="BQ69" s="62">
        <v>68</v>
      </c>
      <c r="BR69" s="61" t="s">
        <v>206</v>
      </c>
      <c r="BS69" s="61" t="s">
        <v>329</v>
      </c>
      <c r="BT69" s="67">
        <v>161.65163160327211</v>
      </c>
      <c r="BV69" s="62">
        <v>68</v>
      </c>
      <c r="BW69" s="61" t="s">
        <v>206</v>
      </c>
      <c r="BX69" s="61" t="s">
        <v>329</v>
      </c>
      <c r="BY69" s="67">
        <v>164.86737093797547</v>
      </c>
      <c r="CA69" s="62">
        <v>68</v>
      </c>
      <c r="CB69" s="61" t="s">
        <v>206</v>
      </c>
      <c r="CC69" s="61" t="s">
        <v>329</v>
      </c>
      <c r="CD69" s="67">
        <v>168.17030058842138</v>
      </c>
      <c r="CF69" s="62">
        <v>68</v>
      </c>
      <c r="CG69" s="61" t="s">
        <v>206</v>
      </c>
      <c r="CH69" s="61" t="s">
        <v>389</v>
      </c>
      <c r="CI69" s="67">
        <v>180.31950381694745</v>
      </c>
      <c r="CK69" s="62">
        <v>68</v>
      </c>
      <c r="CL69" s="61" t="s">
        <v>206</v>
      </c>
      <c r="CM69" s="61" t="s">
        <v>389</v>
      </c>
      <c r="CN69" s="67">
        <v>183.54869505608076</v>
      </c>
      <c r="CP69" s="62">
        <v>68</v>
      </c>
      <c r="CQ69" s="61" t="s">
        <v>206</v>
      </c>
      <c r="CR69" s="61" t="s">
        <v>389</v>
      </c>
      <c r="CS69" s="67">
        <v>186.85588954269042</v>
      </c>
    </row>
    <row r="70" spans="19:117">
      <c r="S70" s="62">
        <v>69</v>
      </c>
      <c r="T70" s="61" t="s">
        <v>278</v>
      </c>
      <c r="U70" s="61" t="s">
        <v>329</v>
      </c>
      <c r="V70" s="67">
        <v>4.4117647058823533</v>
      </c>
      <c r="X70" s="62">
        <v>69</v>
      </c>
      <c r="Y70" s="61" t="s">
        <v>278</v>
      </c>
      <c r="Z70" s="61" t="s">
        <v>329</v>
      </c>
      <c r="AA70" s="67">
        <v>23.75</v>
      </c>
      <c r="AC70" s="62">
        <v>69</v>
      </c>
      <c r="AD70" s="61" t="s">
        <v>278</v>
      </c>
      <c r="AE70" s="61" t="s">
        <v>329</v>
      </c>
      <c r="AF70" s="67">
        <v>50</v>
      </c>
      <c r="AH70" s="62">
        <v>69</v>
      </c>
      <c r="AI70" s="61" t="s">
        <v>278</v>
      </c>
      <c r="AJ70" s="61" t="s">
        <v>329</v>
      </c>
      <c r="AK70" s="67">
        <v>79.285714285714278</v>
      </c>
      <c r="AM70" s="62">
        <v>69</v>
      </c>
      <c r="AN70" s="61" t="s">
        <v>278</v>
      </c>
      <c r="AO70" s="61" t="s">
        <v>329</v>
      </c>
      <c r="AP70" s="67">
        <v>77.692307692307693</v>
      </c>
      <c r="AR70" s="62">
        <v>69</v>
      </c>
      <c r="AS70" s="61" t="s">
        <v>278</v>
      </c>
      <c r="AT70" s="61" t="s">
        <v>329</v>
      </c>
      <c r="AU70" s="67">
        <v>82.692307692307693</v>
      </c>
      <c r="AW70" s="62">
        <v>69</v>
      </c>
      <c r="AX70" s="61" t="s">
        <v>278</v>
      </c>
      <c r="AY70" s="61" t="s">
        <v>329</v>
      </c>
      <c r="AZ70" s="67">
        <v>55</v>
      </c>
      <c r="BB70" s="62">
        <v>69</v>
      </c>
      <c r="BC70" s="61" t="s">
        <v>278</v>
      </c>
      <c r="BD70" s="61" t="s">
        <v>329</v>
      </c>
      <c r="BE70" s="67">
        <v>60</v>
      </c>
      <c r="BG70" s="62">
        <v>69</v>
      </c>
      <c r="BH70" s="61" t="s">
        <v>206</v>
      </c>
      <c r="BI70" s="61" t="s">
        <v>400</v>
      </c>
      <c r="BJ70" s="67">
        <v>125.65859558592918</v>
      </c>
      <c r="BL70" s="62">
        <v>69</v>
      </c>
      <c r="BM70" s="61" t="s">
        <v>206</v>
      </c>
      <c r="BN70" s="61" t="s">
        <v>400</v>
      </c>
      <c r="BO70" s="67">
        <v>127.8727738065916</v>
      </c>
      <c r="BQ70" s="62">
        <v>69</v>
      </c>
      <c r="BR70" s="61" t="s">
        <v>206</v>
      </c>
      <c r="BS70" s="61" t="s">
        <v>329</v>
      </c>
      <c r="BT70" s="67">
        <v>166.50825805346713</v>
      </c>
      <c r="BV70" s="62">
        <v>69</v>
      </c>
      <c r="BW70" s="61" t="s">
        <v>206</v>
      </c>
      <c r="BX70" s="61" t="s">
        <v>329</v>
      </c>
      <c r="BY70" s="67">
        <v>169.85287751463028</v>
      </c>
      <c r="CA70" s="62">
        <v>69</v>
      </c>
      <c r="CB70" s="61" t="s">
        <v>206</v>
      </c>
      <c r="CC70" s="61" t="s">
        <v>329</v>
      </c>
      <c r="CD70" s="67">
        <v>173.27723451163456</v>
      </c>
      <c r="CF70" s="62">
        <v>69</v>
      </c>
      <c r="CG70" s="61" t="s">
        <v>206</v>
      </c>
      <c r="CH70" s="61" t="s">
        <v>410</v>
      </c>
      <c r="CI70" s="67">
        <v>175.12253205846443</v>
      </c>
      <c r="CK70" s="62">
        <v>69</v>
      </c>
      <c r="CL70" s="61" t="s">
        <v>206</v>
      </c>
      <c r="CM70" s="61" t="s">
        <v>410</v>
      </c>
      <c r="CN70" s="67">
        <v>178.21214296796549</v>
      </c>
      <c r="CP70" s="62">
        <v>69</v>
      </c>
      <c r="CQ70" s="61" t="s">
        <v>206</v>
      </c>
      <c r="CR70" s="61" t="s">
        <v>410</v>
      </c>
      <c r="CS70" s="67">
        <v>181.38697463682786</v>
      </c>
    </row>
    <row r="71" spans="19:117">
      <c r="S71" s="62">
        <v>70</v>
      </c>
      <c r="T71" s="61" t="s">
        <v>278</v>
      </c>
      <c r="U71" s="61" t="s">
        <v>329</v>
      </c>
      <c r="V71" s="67">
        <v>8.8235294117647065</v>
      </c>
      <c r="X71" s="62">
        <v>70</v>
      </c>
      <c r="Y71" s="61" t="s">
        <v>278</v>
      </c>
      <c r="Z71" s="61" t="s">
        <v>329</v>
      </c>
      <c r="AA71" s="67">
        <v>28.4375</v>
      </c>
      <c r="AC71" s="62">
        <v>70</v>
      </c>
      <c r="AD71" s="61" t="s">
        <v>278</v>
      </c>
      <c r="AE71" s="61" t="s">
        <v>329</v>
      </c>
      <c r="AF71" s="67">
        <v>55</v>
      </c>
      <c r="AH71" s="62">
        <v>70</v>
      </c>
      <c r="AI71" s="61" t="s">
        <v>278</v>
      </c>
      <c r="AJ71" s="61" t="s">
        <v>329</v>
      </c>
      <c r="AK71" s="67">
        <v>84.642857142857139</v>
      </c>
      <c r="AM71" s="62">
        <v>70</v>
      </c>
      <c r="AN71" s="61" t="s">
        <v>278</v>
      </c>
      <c r="AO71" s="61" t="s">
        <v>329</v>
      </c>
      <c r="AP71" s="67">
        <v>71.92307692307692</v>
      </c>
      <c r="AR71" s="62">
        <v>70</v>
      </c>
      <c r="AS71" s="61" t="s">
        <v>278</v>
      </c>
      <c r="AT71" s="61" t="s">
        <v>329</v>
      </c>
      <c r="AU71" s="67">
        <v>76.92307692307692</v>
      </c>
      <c r="AW71" s="62">
        <v>70</v>
      </c>
      <c r="AX71" s="61" t="s">
        <v>278</v>
      </c>
      <c r="AY71" s="61" t="s">
        <v>329</v>
      </c>
      <c r="AZ71" s="67">
        <v>48.75</v>
      </c>
      <c r="BB71" s="62">
        <v>70</v>
      </c>
      <c r="BC71" s="61" t="s">
        <v>278</v>
      </c>
      <c r="BD71" s="61" t="s">
        <v>329</v>
      </c>
      <c r="BE71" s="67">
        <v>53.75</v>
      </c>
      <c r="BG71" s="62">
        <v>70</v>
      </c>
      <c r="BH71" s="61" t="s">
        <v>206</v>
      </c>
      <c r="BI71" s="61" t="s">
        <v>392</v>
      </c>
      <c r="BJ71" s="67">
        <v>128.71664696771577</v>
      </c>
      <c r="BL71" s="62">
        <v>70</v>
      </c>
      <c r="BM71" s="61" t="s">
        <v>206</v>
      </c>
      <c r="BN71" s="61" t="s">
        <v>392</v>
      </c>
      <c r="BO71" s="67">
        <v>131.1393177546575</v>
      </c>
      <c r="BQ71" s="62">
        <v>70</v>
      </c>
      <c r="BR71" s="61" t="s">
        <v>206</v>
      </c>
      <c r="BS71" s="61" t="s">
        <v>329</v>
      </c>
      <c r="BT71" s="67">
        <v>171.55538464297763</v>
      </c>
      <c r="BV71" s="62">
        <v>70</v>
      </c>
      <c r="BW71" s="61" t="s">
        <v>206</v>
      </c>
      <c r="BX71" s="61" t="s">
        <v>329</v>
      </c>
      <c r="BY71" s="67">
        <v>175.01785623187138</v>
      </c>
      <c r="CA71" s="62">
        <v>70</v>
      </c>
      <c r="CB71" s="61" t="s">
        <v>206</v>
      </c>
      <c r="CC71" s="61" t="s">
        <v>329</v>
      </c>
      <c r="CD71" s="67">
        <v>178.55321335669095</v>
      </c>
      <c r="CF71" s="62">
        <v>70</v>
      </c>
      <c r="CG71" s="61" t="s">
        <v>206</v>
      </c>
      <c r="CH71" s="61" t="s">
        <v>400</v>
      </c>
      <c r="CI71" s="67">
        <v>170.17510952320447</v>
      </c>
      <c r="CK71" s="62">
        <v>70</v>
      </c>
      <c r="CL71" s="61" t="s">
        <v>206</v>
      </c>
      <c r="CM71" s="61" t="s">
        <v>400</v>
      </c>
      <c r="CN71" s="67">
        <v>173.11239480339924</v>
      </c>
      <c r="CP71" s="62">
        <v>70</v>
      </c>
      <c r="CQ71" s="61" t="s">
        <v>206</v>
      </c>
      <c r="CR71" s="61" t="s">
        <v>400</v>
      </c>
      <c r="CS71" s="67">
        <v>176.14265402764119</v>
      </c>
    </row>
    <row r="72" spans="19:117">
      <c r="S72" s="62">
        <v>71</v>
      </c>
      <c r="T72" s="61" t="s">
        <v>278</v>
      </c>
      <c r="U72" s="61" t="s">
        <v>329</v>
      </c>
      <c r="V72" s="67">
        <v>13.23529411764706</v>
      </c>
      <c r="X72" s="62">
        <v>71</v>
      </c>
      <c r="Y72" s="61" t="s">
        <v>278</v>
      </c>
      <c r="Z72" s="61" t="s">
        <v>329</v>
      </c>
      <c r="AA72" s="67">
        <v>33.125</v>
      </c>
      <c r="AC72" s="62">
        <v>71</v>
      </c>
      <c r="AD72" s="61" t="s">
        <v>278</v>
      </c>
      <c r="AE72" s="61" t="s">
        <v>329</v>
      </c>
      <c r="AF72" s="67">
        <v>60</v>
      </c>
      <c r="AH72" s="62">
        <v>71</v>
      </c>
      <c r="AI72" s="61" t="s">
        <v>278</v>
      </c>
      <c r="AJ72" s="61" t="s">
        <v>329</v>
      </c>
      <c r="AK72" s="67">
        <v>90</v>
      </c>
      <c r="AM72" s="62">
        <v>71</v>
      </c>
      <c r="AN72" s="61" t="s">
        <v>278</v>
      </c>
      <c r="AO72" s="61" t="s">
        <v>329</v>
      </c>
      <c r="AP72" s="67">
        <v>66.153846153846146</v>
      </c>
      <c r="AR72" s="62">
        <v>71</v>
      </c>
      <c r="AS72" s="61" t="s">
        <v>278</v>
      </c>
      <c r="AT72" s="61" t="s">
        <v>329</v>
      </c>
      <c r="AU72" s="67">
        <v>71.153846153846146</v>
      </c>
      <c r="AW72" s="62">
        <v>71</v>
      </c>
      <c r="AX72" s="61" t="s">
        <v>278</v>
      </c>
      <c r="AY72" s="61" t="s">
        <v>329</v>
      </c>
      <c r="AZ72" s="67">
        <v>42.5</v>
      </c>
      <c r="BB72" s="62">
        <v>71</v>
      </c>
      <c r="BC72" s="61" t="s">
        <v>278</v>
      </c>
      <c r="BD72" s="61" t="s">
        <v>329</v>
      </c>
      <c r="BE72" s="67">
        <v>47.5</v>
      </c>
      <c r="BG72" s="62">
        <v>71</v>
      </c>
      <c r="BH72" s="61" t="s">
        <v>206</v>
      </c>
      <c r="BI72" s="61" t="s">
        <v>400</v>
      </c>
      <c r="BJ72" s="67">
        <v>132.05621142228264</v>
      </c>
      <c r="BL72" s="62">
        <v>71</v>
      </c>
      <c r="BM72" s="61" t="s">
        <v>206</v>
      </c>
      <c r="BN72" s="61" t="s">
        <v>401</v>
      </c>
      <c r="BO72" s="67">
        <v>134.6720841449106</v>
      </c>
      <c r="BQ72" s="62">
        <v>71</v>
      </c>
      <c r="BR72" s="61" t="s">
        <v>206</v>
      </c>
      <c r="BS72" s="61" t="s">
        <v>329</v>
      </c>
      <c r="BT72" s="67">
        <v>176.77669529663689</v>
      </c>
      <c r="BV72" s="62">
        <v>71</v>
      </c>
      <c r="BW72" s="61" t="s">
        <v>206</v>
      </c>
      <c r="BX72" s="61" t="s">
        <v>329</v>
      </c>
      <c r="BY72" s="67">
        <v>180.34688796871433</v>
      </c>
      <c r="CA72" s="62">
        <v>71</v>
      </c>
      <c r="CB72" s="61" t="s">
        <v>206</v>
      </c>
      <c r="CC72" s="61" t="s">
        <v>329</v>
      </c>
      <c r="CD72" s="67">
        <v>183.98369492974098</v>
      </c>
      <c r="CF72" s="62">
        <v>71</v>
      </c>
      <c r="CG72" s="61" t="s">
        <v>206</v>
      </c>
      <c r="CH72" s="61" t="s">
        <v>392</v>
      </c>
      <c r="CI72" s="67">
        <v>165.49961769378822</v>
      </c>
      <c r="CK72" s="62">
        <v>71</v>
      </c>
      <c r="CL72" s="61" t="s">
        <v>206</v>
      </c>
      <c r="CM72" s="61" t="s">
        <v>392</v>
      </c>
      <c r="CN72" s="67">
        <v>168.27098221853365</v>
      </c>
      <c r="CP72" s="62">
        <v>71</v>
      </c>
      <c r="CQ72" s="61" t="s">
        <v>206</v>
      </c>
      <c r="CR72" s="61" t="s">
        <v>392</v>
      </c>
      <c r="CS72" s="67">
        <v>171.14357556388165</v>
      </c>
    </row>
    <row r="73" spans="19:117">
      <c r="S73" s="62">
        <v>72</v>
      </c>
      <c r="T73" s="61" t="s">
        <v>278</v>
      </c>
      <c r="U73" s="61" t="s">
        <v>329</v>
      </c>
      <c r="V73" s="67">
        <v>17.647058823529413</v>
      </c>
      <c r="X73" s="62">
        <v>72</v>
      </c>
      <c r="Y73" s="61" t="s">
        <v>278</v>
      </c>
      <c r="Z73" s="61" t="s">
        <v>329</v>
      </c>
      <c r="AA73" s="67">
        <v>37.8125</v>
      </c>
      <c r="AC73" s="62">
        <v>72</v>
      </c>
      <c r="AD73" s="61" t="s">
        <v>278</v>
      </c>
      <c r="AE73" s="61" t="s">
        <v>329</v>
      </c>
      <c r="AF73" s="67">
        <v>65</v>
      </c>
      <c r="AH73" s="62">
        <v>72</v>
      </c>
      <c r="AI73" s="61" t="s">
        <v>278</v>
      </c>
      <c r="AJ73" s="61" t="s">
        <v>329</v>
      </c>
      <c r="AK73" s="67">
        <v>84.642857142857139</v>
      </c>
      <c r="AM73" s="62">
        <v>72</v>
      </c>
      <c r="AN73" s="61" t="s">
        <v>278</v>
      </c>
      <c r="AO73" s="61" t="s">
        <v>329</v>
      </c>
      <c r="AP73" s="67">
        <v>60.38461538461538</v>
      </c>
      <c r="AR73" s="62">
        <v>72</v>
      </c>
      <c r="AS73" s="61" t="s">
        <v>278</v>
      </c>
      <c r="AT73" s="61" t="s">
        <v>329</v>
      </c>
      <c r="AU73" s="67">
        <v>65.384615384615373</v>
      </c>
      <c r="AW73" s="62">
        <v>72</v>
      </c>
      <c r="AX73" s="61" t="s">
        <v>278</v>
      </c>
      <c r="AY73" s="61" t="s">
        <v>329</v>
      </c>
      <c r="AZ73" s="67">
        <v>36.25</v>
      </c>
      <c r="BB73" s="62">
        <v>72</v>
      </c>
      <c r="BC73" s="61" t="s">
        <v>278</v>
      </c>
      <c r="BD73" s="61" t="s">
        <v>329</v>
      </c>
      <c r="BE73" s="67">
        <v>41.25</v>
      </c>
      <c r="BG73" s="62">
        <v>72</v>
      </c>
      <c r="BH73" s="61" t="s">
        <v>206</v>
      </c>
      <c r="BI73" s="61" t="s">
        <v>354</v>
      </c>
      <c r="BJ73" s="67">
        <v>135.65649984579889</v>
      </c>
      <c r="BL73" s="62">
        <v>72</v>
      </c>
      <c r="BM73" s="61" t="s">
        <v>206</v>
      </c>
      <c r="BN73" s="61" t="s">
        <v>354</v>
      </c>
      <c r="BO73" s="67">
        <v>138.45069534430775</v>
      </c>
      <c r="BQ73" s="62">
        <v>72</v>
      </c>
      <c r="BR73" s="61" t="s">
        <v>206</v>
      </c>
      <c r="BS73" s="61" t="s">
        <v>329</v>
      </c>
      <c r="BT73" s="67">
        <v>176.77669529663689</v>
      </c>
      <c r="BV73" s="62">
        <v>72</v>
      </c>
      <c r="BW73" s="61" t="s">
        <v>206</v>
      </c>
      <c r="BX73" s="61" t="s">
        <v>329</v>
      </c>
      <c r="BY73" s="67">
        <v>180.34688796871433</v>
      </c>
      <c r="CA73" s="62">
        <v>72</v>
      </c>
      <c r="CB73" s="61" t="s">
        <v>206</v>
      </c>
      <c r="CC73" s="61" t="s">
        <v>329</v>
      </c>
      <c r="CD73" s="67">
        <v>183.98369492974098</v>
      </c>
      <c r="CF73" s="62">
        <v>72</v>
      </c>
      <c r="CG73" s="61" t="s">
        <v>206</v>
      </c>
      <c r="CH73" s="61" t="s">
        <v>397</v>
      </c>
      <c r="CI73" s="67">
        <v>161.11973157014168</v>
      </c>
      <c r="CK73" s="62">
        <v>72</v>
      </c>
      <c r="CL73" s="61" t="s">
        <v>206</v>
      </c>
      <c r="CM73" s="61" t="s">
        <v>397</v>
      </c>
      <c r="CN73" s="67">
        <v>163.71082605588788</v>
      </c>
      <c r="CP73" s="62">
        <v>72</v>
      </c>
      <c r="CQ73" s="61" t="s">
        <v>206</v>
      </c>
      <c r="CR73" s="61" t="s">
        <v>414</v>
      </c>
      <c r="CS73" s="67">
        <v>166.41184223055717</v>
      </c>
    </row>
    <row r="74" spans="19:117" ht="15" thickBot="1">
      <c r="S74" s="62">
        <v>73</v>
      </c>
      <c r="T74" s="61" t="s">
        <v>278</v>
      </c>
      <c r="U74" s="61" t="s">
        <v>329</v>
      </c>
      <c r="V74" s="67">
        <v>22.058823529411764</v>
      </c>
      <c r="X74" s="62">
        <v>73</v>
      </c>
      <c r="Y74" s="61" t="s">
        <v>278</v>
      </c>
      <c r="Z74" s="61" t="s">
        <v>329</v>
      </c>
      <c r="AA74" s="67">
        <v>42.5</v>
      </c>
      <c r="AC74" s="62">
        <v>73</v>
      </c>
      <c r="AD74" s="61" t="s">
        <v>278</v>
      </c>
      <c r="AE74" s="61" t="s">
        <v>329</v>
      </c>
      <c r="AF74" s="67">
        <v>70</v>
      </c>
      <c r="AH74" s="62">
        <v>73</v>
      </c>
      <c r="AI74" s="61" t="s">
        <v>278</v>
      </c>
      <c r="AJ74" s="61" t="s">
        <v>329</v>
      </c>
      <c r="AK74" s="67">
        <v>79.285714285714278</v>
      </c>
      <c r="AM74" s="62">
        <v>73</v>
      </c>
      <c r="AN74" s="61" t="s">
        <v>278</v>
      </c>
      <c r="AO74" s="61" t="s">
        <v>329</v>
      </c>
      <c r="AP74" s="67">
        <v>54.615384615384613</v>
      </c>
      <c r="AR74" s="62">
        <v>73</v>
      </c>
      <c r="AS74" s="61" t="s">
        <v>278</v>
      </c>
      <c r="AT74" s="61" t="s">
        <v>329</v>
      </c>
      <c r="AU74" s="67">
        <v>59.615384615384606</v>
      </c>
      <c r="AW74" s="62">
        <v>73</v>
      </c>
      <c r="AX74" s="61" t="s">
        <v>278</v>
      </c>
      <c r="AY74" s="61" t="s">
        <v>329</v>
      </c>
      <c r="AZ74" s="67">
        <v>30</v>
      </c>
      <c r="BB74" s="62">
        <v>73</v>
      </c>
      <c r="BC74" s="61" t="s">
        <v>278</v>
      </c>
      <c r="BD74" s="61" t="s">
        <v>329</v>
      </c>
      <c r="BE74" s="67">
        <v>35</v>
      </c>
      <c r="BG74" s="62">
        <v>73</v>
      </c>
      <c r="BH74" s="61" t="s">
        <v>206</v>
      </c>
      <c r="BI74" s="61" t="s">
        <v>389</v>
      </c>
      <c r="BJ74" s="67">
        <v>139.49732661320576</v>
      </c>
      <c r="BL74" s="62">
        <v>73</v>
      </c>
      <c r="BM74" s="61" t="s">
        <v>206</v>
      </c>
      <c r="BN74" s="61" t="s">
        <v>389</v>
      </c>
      <c r="BO74" s="67">
        <v>142.45558971596134</v>
      </c>
      <c r="BQ74" s="62">
        <v>73</v>
      </c>
      <c r="BR74" s="61" t="s">
        <v>206</v>
      </c>
      <c r="BS74" s="61" t="s">
        <v>329</v>
      </c>
      <c r="BT74" s="67">
        <v>171.55538464297763</v>
      </c>
      <c r="BV74" s="62">
        <v>73</v>
      </c>
      <c r="BW74" s="61" t="s">
        <v>206</v>
      </c>
      <c r="BX74" s="61" t="s">
        <v>329</v>
      </c>
      <c r="BY74" s="67">
        <v>175.01785623187138</v>
      </c>
      <c r="CA74" s="62">
        <v>73</v>
      </c>
      <c r="CB74" s="61" t="s">
        <v>206</v>
      </c>
      <c r="CC74" s="61" t="s">
        <v>329</v>
      </c>
      <c r="CD74" s="67">
        <v>178.55321335669095</v>
      </c>
      <c r="CF74" s="64">
        <v>73</v>
      </c>
      <c r="CG74" s="65" t="s">
        <v>206</v>
      </c>
      <c r="CH74" s="65" t="s">
        <v>329</v>
      </c>
      <c r="CI74" s="68">
        <v>157.06018347935282</v>
      </c>
      <c r="CK74" s="64">
        <v>73</v>
      </c>
      <c r="CL74" s="65" t="s">
        <v>206</v>
      </c>
      <c r="CM74" s="65" t="s">
        <v>329</v>
      </c>
      <c r="CN74" s="68">
        <v>159.4560584233202</v>
      </c>
      <c r="CP74" s="64">
        <v>73</v>
      </c>
      <c r="CQ74" s="65" t="s">
        <v>206</v>
      </c>
      <c r="CR74" s="65" t="s">
        <v>329</v>
      </c>
      <c r="CS74" s="68">
        <v>161.97088596792523</v>
      </c>
    </row>
    <row r="75" spans="19:117">
      <c r="S75" s="62">
        <v>74</v>
      </c>
      <c r="T75" s="61" t="s">
        <v>278</v>
      </c>
      <c r="U75" s="61" t="s">
        <v>329</v>
      </c>
      <c r="V75" s="67">
        <v>26.470588235294116</v>
      </c>
      <c r="X75" s="62">
        <v>74</v>
      </c>
      <c r="Y75" s="61" t="s">
        <v>278</v>
      </c>
      <c r="Z75" s="61" t="s">
        <v>329</v>
      </c>
      <c r="AA75" s="67">
        <v>47.1875</v>
      </c>
      <c r="AC75" s="62">
        <v>74</v>
      </c>
      <c r="AD75" s="61" t="s">
        <v>278</v>
      </c>
      <c r="AE75" s="61" t="s">
        <v>329</v>
      </c>
      <c r="AF75" s="67">
        <v>75</v>
      </c>
      <c r="AH75" s="62">
        <v>74</v>
      </c>
      <c r="AI75" s="61" t="s">
        <v>278</v>
      </c>
      <c r="AJ75" s="61" t="s">
        <v>329</v>
      </c>
      <c r="AK75" s="67">
        <v>73.928571428571416</v>
      </c>
      <c r="AM75" s="62">
        <v>74</v>
      </c>
      <c r="AN75" s="61" t="s">
        <v>278</v>
      </c>
      <c r="AO75" s="61" t="s">
        <v>329</v>
      </c>
      <c r="AP75" s="67">
        <v>48.846153846153847</v>
      </c>
      <c r="AR75" s="62">
        <v>74</v>
      </c>
      <c r="AS75" s="61" t="s">
        <v>278</v>
      </c>
      <c r="AT75" s="61" t="s">
        <v>329</v>
      </c>
      <c r="AU75" s="67">
        <v>53.84615384615384</v>
      </c>
      <c r="AW75" s="62">
        <v>74</v>
      </c>
      <c r="AX75" s="61" t="s">
        <v>206</v>
      </c>
      <c r="AY75" s="61" t="s">
        <v>329</v>
      </c>
      <c r="AZ75" s="67">
        <v>110.29395697156053</v>
      </c>
      <c r="BB75" s="62">
        <v>74</v>
      </c>
      <c r="BC75" s="61" t="s">
        <v>206</v>
      </c>
      <c r="BD75" s="61" t="s">
        <v>329</v>
      </c>
      <c r="BE75" s="67">
        <v>112.03685529523062</v>
      </c>
      <c r="BG75" s="62">
        <v>74</v>
      </c>
      <c r="BH75" s="61" t="s">
        <v>206</v>
      </c>
      <c r="BI75" s="61" t="s">
        <v>329</v>
      </c>
      <c r="BJ75" s="67">
        <v>143.55938673824554</v>
      </c>
      <c r="BL75" s="62">
        <v>74</v>
      </c>
      <c r="BM75" s="61" t="s">
        <v>206</v>
      </c>
      <c r="BN75" s="61" t="s">
        <v>329</v>
      </c>
      <c r="BO75" s="67">
        <v>146.66823189748311</v>
      </c>
      <c r="BQ75" s="62">
        <v>74</v>
      </c>
      <c r="BR75" s="61" t="s">
        <v>206</v>
      </c>
      <c r="BS75" s="61" t="s">
        <v>329</v>
      </c>
      <c r="BT75" s="67">
        <v>166.50825805346713</v>
      </c>
      <c r="BV75" s="62">
        <v>74</v>
      </c>
      <c r="BW75" s="61" t="s">
        <v>206</v>
      </c>
      <c r="BX75" s="61" t="s">
        <v>329</v>
      </c>
      <c r="BY75" s="67">
        <v>169.85287751463028</v>
      </c>
      <c r="CA75" s="62">
        <v>74</v>
      </c>
      <c r="CB75" s="61" t="s">
        <v>206</v>
      </c>
      <c r="CC75" s="61" t="s">
        <v>329</v>
      </c>
      <c r="CD75" s="67">
        <v>173.27723451163456</v>
      </c>
    </row>
    <row r="76" spans="19:117">
      <c r="S76" s="62">
        <v>75</v>
      </c>
      <c r="T76" s="61" t="s">
        <v>278</v>
      </c>
      <c r="U76" s="61" t="s">
        <v>329</v>
      </c>
      <c r="V76" s="67">
        <v>30.882352941176467</v>
      </c>
      <c r="X76" s="62">
        <v>75</v>
      </c>
      <c r="Y76" s="61" t="s">
        <v>278</v>
      </c>
      <c r="Z76" s="61" t="s">
        <v>329</v>
      </c>
      <c r="AA76" s="67">
        <v>51.875</v>
      </c>
      <c r="AC76" s="62">
        <v>75</v>
      </c>
      <c r="AD76" s="61" t="s">
        <v>278</v>
      </c>
      <c r="AE76" s="61" t="s">
        <v>329</v>
      </c>
      <c r="AF76" s="67">
        <v>80</v>
      </c>
      <c r="AH76" s="62">
        <v>75</v>
      </c>
      <c r="AI76" s="61" t="s">
        <v>278</v>
      </c>
      <c r="AJ76" s="61" t="s">
        <v>329</v>
      </c>
      <c r="AK76" s="67">
        <v>68.571428571428555</v>
      </c>
      <c r="AM76" s="62">
        <v>75</v>
      </c>
      <c r="AN76" s="61" t="s">
        <v>278</v>
      </c>
      <c r="AO76" s="61" t="s">
        <v>329</v>
      </c>
      <c r="AP76" s="67">
        <v>43.07692307692308</v>
      </c>
      <c r="AR76" s="62">
        <v>75</v>
      </c>
      <c r="AS76" s="61" t="s">
        <v>278</v>
      </c>
      <c r="AT76" s="61" t="s">
        <v>329</v>
      </c>
      <c r="AU76" s="67">
        <v>48.076923076923073</v>
      </c>
      <c r="AW76" s="62">
        <v>75</v>
      </c>
      <c r="AX76" s="61" t="s">
        <v>206</v>
      </c>
      <c r="AY76" s="61" t="s">
        <v>354</v>
      </c>
      <c r="AZ76" s="67">
        <v>112.50308637741654</v>
      </c>
      <c r="BB76" s="62">
        <v>75</v>
      </c>
      <c r="BC76" s="61" t="s">
        <v>206</v>
      </c>
      <c r="BD76" s="61" t="s">
        <v>390</v>
      </c>
      <c r="BE76" s="67">
        <v>114.48556434959146</v>
      </c>
      <c r="BG76" s="62">
        <v>75</v>
      </c>
      <c r="BH76" s="61" t="s">
        <v>206</v>
      </c>
      <c r="BI76" s="61" t="s">
        <v>329</v>
      </c>
      <c r="BJ76" s="67">
        <v>147.824443566355</v>
      </c>
      <c r="BL76" s="62">
        <v>75</v>
      </c>
      <c r="BM76" s="61" t="s">
        <v>206</v>
      </c>
      <c r="BN76" s="61" t="s">
        <v>329</v>
      </c>
      <c r="BO76" s="67">
        <v>151.07124366058889</v>
      </c>
      <c r="BQ76" s="62">
        <v>75</v>
      </c>
      <c r="BR76" s="61" t="s">
        <v>206</v>
      </c>
      <c r="BS76" s="61" t="s">
        <v>329</v>
      </c>
      <c r="BT76" s="67">
        <v>161.65163160327211</v>
      </c>
      <c r="BV76" s="62">
        <v>75</v>
      </c>
      <c r="BW76" s="61" t="s">
        <v>206</v>
      </c>
      <c r="BX76" s="61" t="s">
        <v>329</v>
      </c>
      <c r="BY76" s="67">
        <v>164.86737093797547</v>
      </c>
      <c r="CA76" s="62">
        <v>75</v>
      </c>
      <c r="CB76" s="61" t="s">
        <v>206</v>
      </c>
      <c r="CC76" s="61" t="s">
        <v>329</v>
      </c>
      <c r="CD76" s="67">
        <v>168.17030058842138</v>
      </c>
    </row>
    <row r="77" spans="19:117">
      <c r="S77" s="62">
        <v>76</v>
      </c>
      <c r="T77" s="61" t="s">
        <v>278</v>
      </c>
      <c r="U77" s="61" t="s">
        <v>329</v>
      </c>
      <c r="V77" s="67">
        <v>35.294117647058819</v>
      </c>
      <c r="X77" s="62">
        <v>76</v>
      </c>
      <c r="Y77" s="61" t="s">
        <v>278</v>
      </c>
      <c r="Z77" s="61" t="s">
        <v>329</v>
      </c>
      <c r="AA77" s="67">
        <v>56.5625</v>
      </c>
      <c r="AC77" s="62">
        <v>76</v>
      </c>
      <c r="AD77" s="61" t="s">
        <v>278</v>
      </c>
      <c r="AE77" s="61" t="s">
        <v>329</v>
      </c>
      <c r="AF77" s="67">
        <v>85</v>
      </c>
      <c r="AH77" s="62">
        <v>76</v>
      </c>
      <c r="AI77" s="61" t="s">
        <v>278</v>
      </c>
      <c r="AJ77" s="61" t="s">
        <v>329</v>
      </c>
      <c r="AK77" s="67">
        <v>63.214285714285701</v>
      </c>
      <c r="AM77" s="62">
        <v>76</v>
      </c>
      <c r="AN77" s="61" t="s">
        <v>278</v>
      </c>
      <c r="AO77" s="61" t="s">
        <v>329</v>
      </c>
      <c r="AP77" s="67">
        <v>37.307692307692314</v>
      </c>
      <c r="AR77" s="62">
        <v>76</v>
      </c>
      <c r="AS77" s="61" t="s">
        <v>278</v>
      </c>
      <c r="AT77" s="61" t="s">
        <v>329</v>
      </c>
      <c r="AU77" s="67">
        <v>42.307692307692307</v>
      </c>
      <c r="AW77" s="62">
        <v>76</v>
      </c>
      <c r="AX77" s="61" t="s">
        <v>206</v>
      </c>
      <c r="AY77" s="61" t="s">
        <v>394</v>
      </c>
      <c r="AZ77" s="67">
        <v>115.0098123833112</v>
      </c>
      <c r="BB77" s="62">
        <v>76</v>
      </c>
      <c r="BC77" s="61" t="s">
        <v>206</v>
      </c>
      <c r="BD77" s="61" t="s">
        <v>394</v>
      </c>
      <c r="BE77" s="67">
        <v>117.21670932270894</v>
      </c>
      <c r="BG77" s="62">
        <v>76</v>
      </c>
      <c r="BH77" s="61" t="s">
        <v>206</v>
      </c>
      <c r="BI77" s="61" t="s">
        <v>329</v>
      </c>
      <c r="BJ77" s="67">
        <v>152.275440952753</v>
      </c>
      <c r="BL77" s="62">
        <v>76</v>
      </c>
      <c r="BM77" s="61" t="s">
        <v>206</v>
      </c>
      <c r="BN77" s="61" t="s">
        <v>329</v>
      </c>
      <c r="BO77" s="67">
        <v>155.64847021731927</v>
      </c>
      <c r="BQ77" s="62">
        <v>76</v>
      </c>
      <c r="BR77" s="61" t="s">
        <v>206</v>
      </c>
      <c r="BS77" s="61" t="s">
        <v>389</v>
      </c>
      <c r="BT77" s="67">
        <v>157.00318468107582</v>
      </c>
      <c r="BV77" s="62">
        <v>76</v>
      </c>
      <c r="BW77" s="61" t="s">
        <v>206</v>
      </c>
      <c r="BX77" s="61" t="s">
        <v>389</v>
      </c>
      <c r="BY77" s="67">
        <v>160.07810593582121</v>
      </c>
      <c r="CA77" s="62">
        <v>76</v>
      </c>
      <c r="CB77" s="61" t="s">
        <v>206</v>
      </c>
      <c r="CC77" s="61" t="s">
        <v>389</v>
      </c>
      <c r="CD77" s="67">
        <v>163.24827717314508</v>
      </c>
    </row>
    <row r="78" spans="19:117">
      <c r="S78" s="62">
        <v>77</v>
      </c>
      <c r="T78" s="61" t="s">
        <v>278</v>
      </c>
      <c r="U78" s="61" t="s">
        <v>329</v>
      </c>
      <c r="V78" s="67">
        <v>39.705882352941174</v>
      </c>
      <c r="X78" s="62">
        <v>77</v>
      </c>
      <c r="Y78" s="61" t="s">
        <v>278</v>
      </c>
      <c r="Z78" s="61" t="s">
        <v>329</v>
      </c>
      <c r="AA78" s="67">
        <v>61.25</v>
      </c>
      <c r="AC78" s="62">
        <v>77</v>
      </c>
      <c r="AD78" s="61" t="s">
        <v>278</v>
      </c>
      <c r="AE78" s="61" t="s">
        <v>329</v>
      </c>
      <c r="AF78" s="67">
        <v>80</v>
      </c>
      <c r="AH78" s="62">
        <v>77</v>
      </c>
      <c r="AI78" s="61" t="s">
        <v>278</v>
      </c>
      <c r="AJ78" s="61" t="s">
        <v>329</v>
      </c>
      <c r="AK78" s="67">
        <v>57.857142857142847</v>
      </c>
      <c r="AM78" s="62">
        <v>77</v>
      </c>
      <c r="AN78" s="61" t="s">
        <v>278</v>
      </c>
      <c r="AO78" s="61" t="s">
        <v>329</v>
      </c>
      <c r="AP78" s="67">
        <v>31.538461538461544</v>
      </c>
      <c r="AR78" s="62">
        <v>77</v>
      </c>
      <c r="AS78" s="61" t="s">
        <v>278</v>
      </c>
      <c r="AT78" s="61" t="s">
        <v>329</v>
      </c>
      <c r="AU78" s="67">
        <v>36.53846153846154</v>
      </c>
      <c r="AW78" s="62">
        <v>77</v>
      </c>
      <c r="AX78" s="61" t="s">
        <v>206</v>
      </c>
      <c r="AY78" s="61" t="s">
        <v>400</v>
      </c>
      <c r="AZ78" s="67">
        <v>117.79513760951447</v>
      </c>
      <c r="BB78" s="62">
        <v>77</v>
      </c>
      <c r="BC78" s="61" t="s">
        <v>206</v>
      </c>
      <c r="BD78" s="61" t="s">
        <v>401</v>
      </c>
      <c r="BE78" s="67">
        <v>120.21104127510272</v>
      </c>
      <c r="BG78" s="62">
        <v>77</v>
      </c>
      <c r="BH78" s="61" t="s">
        <v>206</v>
      </c>
      <c r="BI78" s="61" t="s">
        <v>329</v>
      </c>
      <c r="BJ78" s="67">
        <v>156.89655485580252</v>
      </c>
      <c r="BL78" s="62">
        <v>77</v>
      </c>
      <c r="BM78" s="61" t="s">
        <v>206</v>
      </c>
      <c r="BN78" s="61" t="s">
        <v>329</v>
      </c>
      <c r="BO78" s="67">
        <v>160.38499651600219</v>
      </c>
      <c r="BQ78" s="62">
        <v>77</v>
      </c>
      <c r="BR78" s="61" t="s">
        <v>206</v>
      </c>
      <c r="BS78" s="61" t="s">
        <v>354</v>
      </c>
      <c r="BT78" s="67">
        <v>152.58194519667128</v>
      </c>
      <c r="BV78" s="62">
        <v>77</v>
      </c>
      <c r="BW78" s="61" t="s">
        <v>206</v>
      </c>
      <c r="BX78" s="61" t="s">
        <v>354</v>
      </c>
      <c r="BY78" s="67">
        <v>155.50321540083985</v>
      </c>
      <c r="CA78" s="62">
        <v>77</v>
      </c>
      <c r="CB78" s="61" t="s">
        <v>206</v>
      </c>
      <c r="CC78" s="61" t="s">
        <v>354</v>
      </c>
      <c r="CD78" s="67">
        <v>158.5283886248769</v>
      </c>
    </row>
    <row r="79" spans="19:117">
      <c r="S79" s="62">
        <v>78</v>
      </c>
      <c r="T79" s="61" t="s">
        <v>278</v>
      </c>
      <c r="U79" s="61" t="s">
        <v>329</v>
      </c>
      <c r="V79" s="67">
        <v>44.117647058823529</v>
      </c>
      <c r="X79" s="62">
        <v>78</v>
      </c>
      <c r="Y79" s="61" t="s">
        <v>278</v>
      </c>
      <c r="Z79" s="61" t="s">
        <v>329</v>
      </c>
      <c r="AA79" s="67">
        <v>65.9375</v>
      </c>
      <c r="AC79" s="62">
        <v>78</v>
      </c>
      <c r="AD79" s="61" t="s">
        <v>278</v>
      </c>
      <c r="AE79" s="61" t="s">
        <v>329</v>
      </c>
      <c r="AF79" s="67">
        <v>75</v>
      </c>
      <c r="AH79" s="62">
        <v>78</v>
      </c>
      <c r="AI79" s="61" t="s">
        <v>278</v>
      </c>
      <c r="AJ79" s="61" t="s">
        <v>329</v>
      </c>
      <c r="AK79" s="67">
        <v>52.499999999999993</v>
      </c>
      <c r="AM79" s="62">
        <v>78</v>
      </c>
      <c r="AN79" s="61" t="s">
        <v>278</v>
      </c>
      <c r="AO79" s="61" t="s">
        <v>329</v>
      </c>
      <c r="AP79" s="67">
        <v>25.769230769230774</v>
      </c>
      <c r="AR79" s="62">
        <v>78</v>
      </c>
      <c r="AS79" s="61" t="s">
        <v>278</v>
      </c>
      <c r="AT79" s="61" t="s">
        <v>329</v>
      </c>
      <c r="AU79" s="67">
        <v>30.76923076923077</v>
      </c>
      <c r="AW79" s="62">
        <v>78</v>
      </c>
      <c r="AX79" s="61" t="s">
        <v>206</v>
      </c>
      <c r="AY79" s="61" t="s">
        <v>390</v>
      </c>
      <c r="AZ79" s="67">
        <v>120.83979867760641</v>
      </c>
      <c r="BB79" s="62">
        <v>78</v>
      </c>
      <c r="BC79" s="61" t="s">
        <v>206</v>
      </c>
      <c r="BD79" s="61" t="s">
        <v>354</v>
      </c>
      <c r="BE79" s="67">
        <v>123.44941046616808</v>
      </c>
      <c r="BG79" s="62">
        <v>78</v>
      </c>
      <c r="BH79" s="61" t="s">
        <v>206</v>
      </c>
      <c r="BI79" s="61" t="s">
        <v>329</v>
      </c>
      <c r="BJ79" s="67">
        <v>161.6731985843536</v>
      </c>
      <c r="BL79" s="62">
        <v>78</v>
      </c>
      <c r="BM79" s="61" t="s">
        <v>206</v>
      </c>
      <c r="BN79" s="61" t="s">
        <v>329</v>
      </c>
      <c r="BO79" s="67">
        <v>165.26712661777546</v>
      </c>
      <c r="BQ79" s="62">
        <v>78</v>
      </c>
      <c r="BR79" s="61" t="s">
        <v>206</v>
      </c>
      <c r="BS79" s="61" t="s">
        <v>400</v>
      </c>
      <c r="BT79" s="67">
        <v>148.40822079655831</v>
      </c>
      <c r="BV79" s="62">
        <v>78</v>
      </c>
      <c r="BW79" s="61" t="s">
        <v>206</v>
      </c>
      <c r="BX79" s="61" t="s">
        <v>400</v>
      </c>
      <c r="BY79" s="67">
        <v>151.16216457830973</v>
      </c>
      <c r="CA79" s="62">
        <v>78</v>
      </c>
      <c r="CB79" s="61" t="s">
        <v>206</v>
      </c>
      <c r="CC79" s="61" t="s">
        <v>400</v>
      </c>
      <c r="CD79" s="67">
        <v>154.02921800749363</v>
      </c>
    </row>
    <row r="80" spans="19:117">
      <c r="S80" s="62">
        <v>79</v>
      </c>
      <c r="T80" s="61" t="s">
        <v>278</v>
      </c>
      <c r="U80" s="61" t="s">
        <v>329</v>
      </c>
      <c r="V80" s="67">
        <v>48.529411764705884</v>
      </c>
      <c r="X80" s="62">
        <v>79</v>
      </c>
      <c r="Y80" s="61" t="s">
        <v>278</v>
      </c>
      <c r="Z80" s="61" t="s">
        <v>329</v>
      </c>
      <c r="AA80" s="67">
        <v>70.625</v>
      </c>
      <c r="AC80" s="62">
        <v>79</v>
      </c>
      <c r="AD80" s="61" t="s">
        <v>278</v>
      </c>
      <c r="AE80" s="61" t="s">
        <v>329</v>
      </c>
      <c r="AF80" s="67">
        <v>70</v>
      </c>
      <c r="AH80" s="62">
        <v>79</v>
      </c>
      <c r="AI80" s="61" t="s">
        <v>278</v>
      </c>
      <c r="AJ80" s="61" t="s">
        <v>329</v>
      </c>
      <c r="AK80" s="67">
        <v>47.142857142857139</v>
      </c>
      <c r="AM80" s="62">
        <v>79</v>
      </c>
      <c r="AN80" s="61" t="s">
        <v>278</v>
      </c>
      <c r="AO80" s="61" t="s">
        <v>329</v>
      </c>
      <c r="AP80" s="67">
        <v>20.000000000000004</v>
      </c>
      <c r="AR80" s="62">
        <v>79</v>
      </c>
      <c r="AS80" s="61" t="s">
        <v>278</v>
      </c>
      <c r="AT80" s="61" t="s">
        <v>329</v>
      </c>
      <c r="AU80" s="67">
        <v>25</v>
      </c>
      <c r="AW80" s="62">
        <v>79</v>
      </c>
      <c r="AX80" s="61" t="s">
        <v>206</v>
      </c>
      <c r="AY80" s="61" t="s">
        <v>389</v>
      </c>
      <c r="AZ80" s="67">
        <v>124.12471327034127</v>
      </c>
      <c r="BB80" s="62">
        <v>79</v>
      </c>
      <c r="BC80" s="61" t="s">
        <v>206</v>
      </c>
      <c r="BD80" s="61" t="s">
        <v>389</v>
      </c>
      <c r="BE80" s="67">
        <v>126.91313739894872</v>
      </c>
      <c r="BG80" s="62">
        <v>79</v>
      </c>
      <c r="BH80" s="61" t="s">
        <v>206</v>
      </c>
      <c r="BI80" s="61" t="s">
        <v>329</v>
      </c>
      <c r="BJ80" s="67">
        <v>161.67319858435374</v>
      </c>
      <c r="BL80" s="62">
        <v>79</v>
      </c>
      <c r="BM80" s="61" t="s">
        <v>206</v>
      </c>
      <c r="BN80" s="61" t="s">
        <v>329</v>
      </c>
      <c r="BO80" s="67">
        <v>165.26712661777563</v>
      </c>
      <c r="BQ80" s="62">
        <v>79</v>
      </c>
      <c r="BR80" s="61" t="s">
        <v>206</v>
      </c>
      <c r="BS80" s="61" t="s">
        <v>392</v>
      </c>
      <c r="BT80" s="67">
        <v>144.50346016618425</v>
      </c>
      <c r="BV80" s="62">
        <v>79</v>
      </c>
      <c r="BW80" s="61" t="s">
        <v>206</v>
      </c>
      <c r="BX80" s="61" t="s">
        <v>392</v>
      </c>
      <c r="BY80" s="67">
        <v>147.07566080082728</v>
      </c>
      <c r="CA80" s="62">
        <v>79</v>
      </c>
      <c r="CB80" s="61" t="s">
        <v>206</v>
      </c>
      <c r="CC80" s="61" t="s">
        <v>392</v>
      </c>
      <c r="CD80" s="67">
        <v>149.77065800750159</v>
      </c>
    </row>
    <row r="81" spans="19:82">
      <c r="S81" s="62">
        <v>80</v>
      </c>
      <c r="T81" s="61" t="s">
        <v>278</v>
      </c>
      <c r="U81" s="61" t="s">
        <v>329</v>
      </c>
      <c r="V81" s="67">
        <v>52.941176470588239</v>
      </c>
      <c r="X81" s="62">
        <v>80</v>
      </c>
      <c r="Y81" s="61" t="s">
        <v>278</v>
      </c>
      <c r="Z81" s="61" t="s">
        <v>329</v>
      </c>
      <c r="AA81" s="67">
        <v>75.3125</v>
      </c>
      <c r="AC81" s="62">
        <v>80</v>
      </c>
      <c r="AD81" s="61" t="s">
        <v>278</v>
      </c>
      <c r="AE81" s="61" t="s">
        <v>329</v>
      </c>
      <c r="AF81" s="67">
        <v>65</v>
      </c>
      <c r="AH81" s="62">
        <v>80</v>
      </c>
      <c r="AI81" s="61" t="s">
        <v>278</v>
      </c>
      <c r="AJ81" s="61" t="s">
        <v>329</v>
      </c>
      <c r="AK81" s="67">
        <v>41.785714285714285</v>
      </c>
      <c r="AM81" s="62">
        <v>80</v>
      </c>
      <c r="AN81" s="61" t="s">
        <v>206</v>
      </c>
      <c r="AO81" s="61" t="s">
        <v>329</v>
      </c>
      <c r="AP81" s="67">
        <v>99.547051109590313</v>
      </c>
      <c r="AR81" s="62">
        <v>80</v>
      </c>
      <c r="AS81" s="61" t="s">
        <v>206</v>
      </c>
      <c r="AT81" s="61" t="s">
        <v>329</v>
      </c>
      <c r="AU81" s="67">
        <v>100.95695960312837</v>
      </c>
      <c r="AW81" s="62">
        <v>80</v>
      </c>
      <c r="AX81" s="61" t="s">
        <v>206</v>
      </c>
      <c r="AY81" s="61" t="s">
        <v>329</v>
      </c>
      <c r="AZ81" s="67">
        <v>127.63133214240327</v>
      </c>
      <c r="BB81" s="62">
        <v>80</v>
      </c>
      <c r="BC81" s="61" t="s">
        <v>206</v>
      </c>
      <c r="BD81" s="61" t="s">
        <v>329</v>
      </c>
      <c r="BE81" s="67">
        <v>130.58429057296462</v>
      </c>
      <c r="BG81" s="62">
        <v>80</v>
      </c>
      <c r="BH81" s="61" t="s">
        <v>206</v>
      </c>
      <c r="BI81" s="61" t="s">
        <v>329</v>
      </c>
      <c r="BJ81" s="67">
        <v>156.89655485580238</v>
      </c>
      <c r="BL81" s="62">
        <v>80</v>
      </c>
      <c r="BM81" s="61" t="s">
        <v>206</v>
      </c>
      <c r="BN81" s="61" t="s">
        <v>329</v>
      </c>
      <c r="BO81" s="67">
        <v>160.38499651600202</v>
      </c>
      <c r="BQ81" s="62">
        <v>80</v>
      </c>
      <c r="BR81" s="61" t="s">
        <v>206</v>
      </c>
      <c r="BS81" s="61" t="s">
        <v>397</v>
      </c>
      <c r="BT81" s="67">
        <v>140.89002803605371</v>
      </c>
      <c r="BV81" s="62">
        <v>80</v>
      </c>
      <c r="BW81" s="61" t="s">
        <v>206</v>
      </c>
      <c r="BX81" s="61" t="s">
        <v>394</v>
      </c>
      <c r="BY81" s="67">
        <v>143.26548781894402</v>
      </c>
      <c r="CA81" s="62">
        <v>80</v>
      </c>
      <c r="CB81" s="61" t="s">
        <v>206</v>
      </c>
      <c r="CC81" s="61" t="s">
        <v>394</v>
      </c>
      <c r="CD81" s="67">
        <v>145.7737973711325</v>
      </c>
    </row>
    <row r="82" spans="19:82" ht="15" thickBot="1">
      <c r="S82" s="62">
        <v>81</v>
      </c>
      <c r="T82" s="61" t="s">
        <v>278</v>
      </c>
      <c r="U82" s="61" t="s">
        <v>329</v>
      </c>
      <c r="V82" s="67">
        <v>57.352941176470594</v>
      </c>
      <c r="X82" s="62">
        <v>81</v>
      </c>
      <c r="Y82" s="61" t="s">
        <v>278</v>
      </c>
      <c r="Z82" s="61" t="s">
        <v>329</v>
      </c>
      <c r="AA82" s="67">
        <v>80</v>
      </c>
      <c r="AC82" s="62">
        <v>81</v>
      </c>
      <c r="AD82" s="61" t="s">
        <v>278</v>
      </c>
      <c r="AE82" s="61" t="s">
        <v>329</v>
      </c>
      <c r="AF82" s="67">
        <v>60</v>
      </c>
      <c r="AH82" s="62">
        <v>81</v>
      </c>
      <c r="AI82" s="61" t="s">
        <v>278</v>
      </c>
      <c r="AJ82" s="61" t="s">
        <v>329</v>
      </c>
      <c r="AK82" s="67">
        <v>36.428571428571431</v>
      </c>
      <c r="AM82" s="62">
        <v>81</v>
      </c>
      <c r="AN82" s="61" t="s">
        <v>206</v>
      </c>
      <c r="AO82" s="61" t="s">
        <v>344</v>
      </c>
      <c r="AP82" s="67">
        <v>101.1940546000136</v>
      </c>
      <c r="AR82" s="62">
        <v>81</v>
      </c>
      <c r="AS82" s="61" t="s">
        <v>206</v>
      </c>
      <c r="AT82" s="61" t="s">
        <v>395</v>
      </c>
      <c r="AU82" s="67">
        <v>102.8621470793564</v>
      </c>
      <c r="AW82" s="62">
        <v>81</v>
      </c>
      <c r="AX82" s="61" t="s">
        <v>206</v>
      </c>
      <c r="AY82" s="61" t="s">
        <v>329</v>
      </c>
      <c r="AZ82" s="67">
        <v>131.34189904384829</v>
      </c>
      <c r="BB82" s="62">
        <v>81</v>
      </c>
      <c r="BC82" s="61" t="s">
        <v>206</v>
      </c>
      <c r="BD82" s="61" t="s">
        <v>329</v>
      </c>
      <c r="BE82" s="67">
        <v>134.4458792393595</v>
      </c>
      <c r="BG82" s="62">
        <v>81</v>
      </c>
      <c r="BH82" s="61" t="s">
        <v>206</v>
      </c>
      <c r="BI82" s="61" t="s">
        <v>329</v>
      </c>
      <c r="BJ82" s="67">
        <v>152.27544095275309</v>
      </c>
      <c r="BL82" s="62">
        <v>81</v>
      </c>
      <c r="BM82" s="61" t="s">
        <v>206</v>
      </c>
      <c r="BN82" s="61" t="s">
        <v>329</v>
      </c>
      <c r="BO82" s="67">
        <v>155.64847021731936</v>
      </c>
      <c r="BQ82" s="64">
        <v>81</v>
      </c>
      <c r="BR82" s="65" t="s">
        <v>206</v>
      </c>
      <c r="BS82" s="65" t="s">
        <v>329</v>
      </c>
      <c r="BT82" s="68">
        <v>137.59087905817015</v>
      </c>
      <c r="BV82" s="64">
        <v>81</v>
      </c>
      <c r="BW82" s="65" t="s">
        <v>206</v>
      </c>
      <c r="BX82" s="65" t="s">
        <v>329</v>
      </c>
      <c r="BY82" s="68">
        <v>139.75424859373686</v>
      </c>
      <c r="CA82" s="64">
        <v>81</v>
      </c>
      <c r="CB82" s="65" t="s">
        <v>206</v>
      </c>
      <c r="CC82" s="65" t="s">
        <v>329</v>
      </c>
      <c r="CD82" s="68">
        <v>142.06072645175374</v>
      </c>
    </row>
    <row r="83" spans="19:82">
      <c r="S83" s="62">
        <v>82</v>
      </c>
      <c r="T83" s="61" t="s">
        <v>278</v>
      </c>
      <c r="U83" s="61" t="s">
        <v>329</v>
      </c>
      <c r="V83" s="67">
        <v>61.764705882352949</v>
      </c>
      <c r="X83" s="62">
        <v>82</v>
      </c>
      <c r="Y83" s="61" t="s">
        <v>278</v>
      </c>
      <c r="Z83" s="61" t="s">
        <v>329</v>
      </c>
      <c r="AA83" s="67">
        <v>75.3125</v>
      </c>
      <c r="AC83" s="62">
        <v>82</v>
      </c>
      <c r="AD83" s="61" t="s">
        <v>278</v>
      </c>
      <c r="AE83" s="61" t="s">
        <v>329</v>
      </c>
      <c r="AF83" s="67">
        <v>55</v>
      </c>
      <c r="AH83" s="62">
        <v>82</v>
      </c>
      <c r="AI83" s="61" t="s">
        <v>278</v>
      </c>
      <c r="AJ83" s="61" t="s">
        <v>329</v>
      </c>
      <c r="AK83" s="67">
        <v>31.071428571428573</v>
      </c>
      <c r="AM83" s="62">
        <v>82</v>
      </c>
      <c r="AN83" s="61" t="s">
        <v>206</v>
      </c>
      <c r="AO83" s="61" t="s">
        <v>397</v>
      </c>
      <c r="AP83" s="67">
        <v>103.13789815340894</v>
      </c>
      <c r="AR83" s="62">
        <v>82</v>
      </c>
      <c r="AS83" s="61" t="s">
        <v>206</v>
      </c>
      <c r="AT83" s="61" t="s">
        <v>394</v>
      </c>
      <c r="AU83" s="67">
        <v>105.05000218267431</v>
      </c>
      <c r="AW83" s="62">
        <v>82</v>
      </c>
      <c r="AX83" s="61" t="s">
        <v>206</v>
      </c>
      <c r="AY83" s="61" t="s">
        <v>329</v>
      </c>
      <c r="AZ83" s="67">
        <v>135.23962786271056</v>
      </c>
      <c r="BB83" s="62">
        <v>82</v>
      </c>
      <c r="BC83" s="61" t="s">
        <v>206</v>
      </c>
      <c r="BD83" s="61" t="s">
        <v>329</v>
      </c>
      <c r="BE83" s="67">
        <v>138.48197335553982</v>
      </c>
      <c r="BG83" s="62">
        <v>82</v>
      </c>
      <c r="BH83" s="61" t="s">
        <v>206</v>
      </c>
      <c r="BI83" s="61" t="s">
        <v>329</v>
      </c>
      <c r="BJ83" s="67">
        <v>147.82444356635492</v>
      </c>
      <c r="BL83" s="62">
        <v>82</v>
      </c>
      <c r="BM83" s="61" t="s">
        <v>206</v>
      </c>
      <c r="BN83" s="61" t="s">
        <v>329</v>
      </c>
      <c r="BO83" s="67">
        <v>151.07124366058881</v>
      </c>
    </row>
    <row r="84" spans="19:82">
      <c r="S84" s="62">
        <v>83</v>
      </c>
      <c r="T84" s="61" t="s">
        <v>278</v>
      </c>
      <c r="U84" s="61" t="s">
        <v>329</v>
      </c>
      <c r="V84" s="67">
        <v>66.176470588235304</v>
      </c>
      <c r="X84" s="62">
        <v>83</v>
      </c>
      <c r="Y84" s="61" t="s">
        <v>278</v>
      </c>
      <c r="Z84" s="61" t="s">
        <v>329</v>
      </c>
      <c r="AA84" s="67">
        <v>70.625</v>
      </c>
      <c r="AC84" s="62">
        <v>83</v>
      </c>
      <c r="AD84" s="61" t="s">
        <v>278</v>
      </c>
      <c r="AE84" s="61" t="s">
        <v>329</v>
      </c>
      <c r="AF84" s="67">
        <v>50</v>
      </c>
      <c r="AH84" s="62">
        <v>83</v>
      </c>
      <c r="AI84" s="61" t="s">
        <v>278</v>
      </c>
      <c r="AJ84" s="61" t="s">
        <v>329</v>
      </c>
      <c r="AK84" s="67">
        <v>25.714285714285715</v>
      </c>
      <c r="AM84" s="62">
        <v>83</v>
      </c>
      <c r="AN84" s="61" t="s">
        <v>206</v>
      </c>
      <c r="AO84" s="61" t="s">
        <v>392</v>
      </c>
      <c r="AP84" s="67">
        <v>105.36215369834022</v>
      </c>
      <c r="AR84" s="62">
        <v>83</v>
      </c>
      <c r="AS84" s="61" t="s">
        <v>206</v>
      </c>
      <c r="AT84" s="61" t="s">
        <v>392</v>
      </c>
      <c r="AU84" s="67">
        <v>107.50326814902837</v>
      </c>
      <c r="AW84" s="62">
        <v>83</v>
      </c>
      <c r="AX84" s="61" t="s">
        <v>206</v>
      </c>
      <c r="AY84" s="61" t="s">
        <v>329</v>
      </c>
      <c r="AZ84" s="67">
        <v>139.30880964405827</v>
      </c>
      <c r="BB84" s="62">
        <v>83</v>
      </c>
      <c r="BC84" s="61" t="s">
        <v>206</v>
      </c>
      <c r="BD84" s="61" t="s">
        <v>329</v>
      </c>
      <c r="BE84" s="67">
        <v>142.67776436587607</v>
      </c>
      <c r="BG84" s="62">
        <v>83</v>
      </c>
      <c r="BH84" s="61" t="s">
        <v>206</v>
      </c>
      <c r="BI84" s="61" t="s">
        <v>329</v>
      </c>
      <c r="BJ84" s="67">
        <v>143.55938673824565</v>
      </c>
      <c r="BL84" s="62">
        <v>83</v>
      </c>
      <c r="BM84" s="61" t="s">
        <v>206</v>
      </c>
      <c r="BN84" s="61" t="s">
        <v>329</v>
      </c>
      <c r="BO84" s="67">
        <v>146.66823189748317</v>
      </c>
    </row>
    <row r="85" spans="19:82">
      <c r="S85" s="62">
        <v>84</v>
      </c>
      <c r="T85" s="61" t="s">
        <v>278</v>
      </c>
      <c r="U85" s="61" t="s">
        <v>329</v>
      </c>
      <c r="V85" s="67">
        <v>70.588235294117652</v>
      </c>
      <c r="X85" s="62">
        <v>84</v>
      </c>
      <c r="Y85" s="61" t="s">
        <v>278</v>
      </c>
      <c r="Z85" s="61" t="s">
        <v>329</v>
      </c>
      <c r="AA85" s="67">
        <v>65.9375</v>
      </c>
      <c r="AC85" s="62">
        <v>84</v>
      </c>
      <c r="AD85" s="61" t="s">
        <v>278</v>
      </c>
      <c r="AE85" s="61" t="s">
        <v>329</v>
      </c>
      <c r="AF85" s="67">
        <v>45</v>
      </c>
      <c r="AH85" s="62">
        <v>84</v>
      </c>
      <c r="AI85" s="61" t="s">
        <v>278</v>
      </c>
      <c r="AJ85" s="61" t="s">
        <v>329</v>
      </c>
      <c r="AK85" s="67">
        <v>20.357142857142858</v>
      </c>
      <c r="AM85" s="62">
        <v>84</v>
      </c>
      <c r="AN85" s="61" t="s">
        <v>206</v>
      </c>
      <c r="AO85" s="61" t="s">
        <v>354</v>
      </c>
      <c r="AP85" s="67">
        <v>107.84947322884638</v>
      </c>
      <c r="AR85" s="62">
        <v>84</v>
      </c>
      <c r="AS85" s="61" t="s">
        <v>206</v>
      </c>
      <c r="AT85" s="61" t="s">
        <v>354</v>
      </c>
      <c r="AU85" s="67">
        <v>110.20422139918774</v>
      </c>
      <c r="AW85" s="62">
        <v>84</v>
      </c>
      <c r="AX85" s="61" t="s">
        <v>206</v>
      </c>
      <c r="AY85" s="61" t="s">
        <v>329</v>
      </c>
      <c r="AZ85" s="67">
        <v>143.53486316726142</v>
      </c>
      <c r="BB85" s="62">
        <v>84</v>
      </c>
      <c r="BC85" s="61" t="s">
        <v>206</v>
      </c>
      <c r="BD85" s="61" t="s">
        <v>329</v>
      </c>
      <c r="BE85" s="67">
        <v>147.01958013966868</v>
      </c>
      <c r="BG85" s="62">
        <v>84</v>
      </c>
      <c r="BH85" s="61" t="s">
        <v>206</v>
      </c>
      <c r="BI85" s="61" t="s">
        <v>389</v>
      </c>
      <c r="BJ85" s="67">
        <v>139.49732661320584</v>
      </c>
      <c r="BL85" s="62">
        <v>84</v>
      </c>
      <c r="BM85" s="61" t="s">
        <v>206</v>
      </c>
      <c r="BN85" s="61" t="s">
        <v>389</v>
      </c>
      <c r="BO85" s="67">
        <v>142.45558971596142</v>
      </c>
    </row>
    <row r="86" spans="19:82">
      <c r="S86" s="62">
        <v>85</v>
      </c>
      <c r="T86" s="61" t="s">
        <v>278</v>
      </c>
      <c r="U86" s="61" t="s">
        <v>329</v>
      </c>
      <c r="V86" s="67">
        <v>75</v>
      </c>
      <c r="X86" s="62">
        <v>85</v>
      </c>
      <c r="Y86" s="61" t="s">
        <v>278</v>
      </c>
      <c r="Z86" s="61" t="s">
        <v>329</v>
      </c>
      <c r="AA86" s="67">
        <v>61.25</v>
      </c>
      <c r="AC86" s="62">
        <v>85</v>
      </c>
      <c r="AD86" s="61" t="s">
        <v>278</v>
      </c>
      <c r="AE86" s="61" t="s">
        <v>329</v>
      </c>
      <c r="AF86" s="67">
        <v>40</v>
      </c>
      <c r="AH86" s="62">
        <v>85</v>
      </c>
      <c r="AI86" s="61" t="s">
        <v>278</v>
      </c>
      <c r="AJ86" s="61" t="s">
        <v>329</v>
      </c>
      <c r="AK86" s="67">
        <v>15</v>
      </c>
      <c r="AM86" s="62">
        <v>85</v>
      </c>
      <c r="AN86" s="61" t="s">
        <v>206</v>
      </c>
      <c r="AO86" s="61" t="s">
        <v>329</v>
      </c>
      <c r="AP86" s="67">
        <v>110.58210690190293</v>
      </c>
      <c r="AR86" s="62">
        <v>85</v>
      </c>
      <c r="AS86" s="61" t="s">
        <v>206</v>
      </c>
      <c r="AT86" s="61" t="s">
        <v>344</v>
      </c>
      <c r="AU86" s="67">
        <v>113.13512369294398</v>
      </c>
      <c r="AW86" s="62">
        <v>85</v>
      </c>
      <c r="AX86" s="61" t="s">
        <v>206</v>
      </c>
      <c r="AY86" s="61" t="s">
        <v>329</v>
      </c>
      <c r="AZ86" s="67">
        <v>147.90434220956601</v>
      </c>
      <c r="BB86" s="62">
        <v>85</v>
      </c>
      <c r="BC86" s="61" t="s">
        <v>206</v>
      </c>
      <c r="BD86" s="61" t="s">
        <v>329</v>
      </c>
      <c r="BE86" s="67">
        <v>151.49486606629418</v>
      </c>
      <c r="BG86" s="62">
        <v>85</v>
      </c>
      <c r="BH86" s="61" t="s">
        <v>206</v>
      </c>
      <c r="BI86" s="61" t="s">
        <v>354</v>
      </c>
      <c r="BJ86" s="67">
        <v>135.65649984579875</v>
      </c>
      <c r="BL86" s="62">
        <v>85</v>
      </c>
      <c r="BM86" s="61" t="s">
        <v>206</v>
      </c>
      <c r="BN86" s="61" t="s">
        <v>354</v>
      </c>
      <c r="BO86" s="67">
        <v>138.45069534430763</v>
      </c>
    </row>
    <row r="87" spans="19:82">
      <c r="S87" s="62">
        <v>86</v>
      </c>
      <c r="T87" s="61" t="s">
        <v>278</v>
      </c>
      <c r="U87" s="61" t="s">
        <v>329</v>
      </c>
      <c r="V87" s="67">
        <v>70.588235294117652</v>
      </c>
      <c r="X87" s="62">
        <v>86</v>
      </c>
      <c r="Y87" s="61" t="s">
        <v>278</v>
      </c>
      <c r="Z87" s="61" t="s">
        <v>329</v>
      </c>
      <c r="AA87" s="67">
        <v>56.5625</v>
      </c>
      <c r="AC87" s="62">
        <v>86</v>
      </c>
      <c r="AD87" s="61" t="s">
        <v>278</v>
      </c>
      <c r="AE87" s="61" t="s">
        <v>329</v>
      </c>
      <c r="AF87" s="67">
        <v>35</v>
      </c>
      <c r="AH87" s="62">
        <v>86</v>
      </c>
      <c r="AI87" s="61" t="s">
        <v>206</v>
      </c>
      <c r="AJ87" s="61" t="s">
        <v>329</v>
      </c>
      <c r="AK87" s="67">
        <v>91.577027909931246</v>
      </c>
      <c r="AM87" s="62">
        <v>86</v>
      </c>
      <c r="AN87" s="61" t="s">
        <v>206</v>
      </c>
      <c r="AO87" s="61" t="s">
        <v>329</v>
      </c>
      <c r="AP87" s="67">
        <v>113.54234410705747</v>
      </c>
      <c r="AR87" s="62">
        <v>86</v>
      </c>
      <c r="AS87" s="61" t="s">
        <v>206</v>
      </c>
      <c r="AT87" s="61" t="s">
        <v>329</v>
      </c>
      <c r="AU87" s="67">
        <v>116.27858813716136</v>
      </c>
      <c r="AW87" s="62">
        <v>86</v>
      </c>
      <c r="AX87" s="61" t="s">
        <v>206</v>
      </c>
      <c r="AY87" s="61" t="s">
        <v>329</v>
      </c>
      <c r="AZ87" s="67">
        <v>147.90434220956618</v>
      </c>
      <c r="BB87" s="62">
        <v>86</v>
      </c>
      <c r="BC87" s="61" t="s">
        <v>206</v>
      </c>
      <c r="BD87" s="61" t="s">
        <v>329</v>
      </c>
      <c r="BE87" s="67">
        <v>151.49486606629435</v>
      </c>
      <c r="BG87" s="62">
        <v>86</v>
      </c>
      <c r="BH87" s="61" t="s">
        <v>206</v>
      </c>
      <c r="BI87" s="61" t="s">
        <v>400</v>
      </c>
      <c r="BJ87" s="67">
        <v>132.05621142228253</v>
      </c>
      <c r="BL87" s="62">
        <v>86</v>
      </c>
      <c r="BM87" s="61" t="s">
        <v>206</v>
      </c>
      <c r="BN87" s="61" t="s">
        <v>401</v>
      </c>
      <c r="BO87" s="67">
        <v>134.67208414491051</v>
      </c>
    </row>
    <row r="88" spans="19:82">
      <c r="S88" s="62">
        <v>87</v>
      </c>
      <c r="T88" s="61" t="s">
        <v>278</v>
      </c>
      <c r="U88" s="61" t="s">
        <v>329</v>
      </c>
      <c r="V88" s="67">
        <v>66.176470588235304</v>
      </c>
      <c r="X88" s="62">
        <v>87</v>
      </c>
      <c r="Y88" s="61" t="s">
        <v>278</v>
      </c>
      <c r="Z88" s="61" t="s">
        <v>329</v>
      </c>
      <c r="AA88" s="67">
        <v>51.875</v>
      </c>
      <c r="AC88" s="62">
        <v>87</v>
      </c>
      <c r="AD88" s="61" t="s">
        <v>278</v>
      </c>
      <c r="AE88" s="61" t="s">
        <v>329</v>
      </c>
      <c r="AF88" s="67">
        <v>30</v>
      </c>
      <c r="AH88" s="62">
        <v>87</v>
      </c>
      <c r="AI88" s="61" t="s">
        <v>206</v>
      </c>
      <c r="AJ88" s="61" t="s">
        <v>344</v>
      </c>
      <c r="AK88" s="67">
        <v>92.914817253795022</v>
      </c>
      <c r="AM88" s="62">
        <v>87</v>
      </c>
      <c r="AN88" s="61" t="s">
        <v>206</v>
      </c>
      <c r="AO88" s="61" t="s">
        <v>329</v>
      </c>
      <c r="AP88" s="67">
        <v>116.71286771870643</v>
      </c>
      <c r="AR88" s="62">
        <v>87</v>
      </c>
      <c r="AS88" s="61" t="s">
        <v>206</v>
      </c>
      <c r="AT88" s="61" t="s">
        <v>329</v>
      </c>
      <c r="AU88" s="67">
        <v>119.61785800064607</v>
      </c>
      <c r="AW88" s="62">
        <v>87</v>
      </c>
      <c r="AX88" s="61" t="s">
        <v>206</v>
      </c>
      <c r="AY88" s="61" t="s">
        <v>329</v>
      </c>
      <c r="AZ88" s="67">
        <v>143.53486316726142</v>
      </c>
      <c r="BB88" s="62">
        <v>87</v>
      </c>
      <c r="BC88" s="61" t="s">
        <v>206</v>
      </c>
      <c r="BD88" s="61" t="s">
        <v>329</v>
      </c>
      <c r="BE88" s="67">
        <v>147.01958013966868</v>
      </c>
      <c r="BG88" s="62">
        <v>87</v>
      </c>
      <c r="BH88" s="61" t="s">
        <v>206</v>
      </c>
      <c r="BI88" s="61" t="s">
        <v>392</v>
      </c>
      <c r="BJ88" s="67">
        <v>128.71664696771606</v>
      </c>
      <c r="BL88" s="62">
        <v>87</v>
      </c>
      <c r="BM88" s="61" t="s">
        <v>206</v>
      </c>
      <c r="BN88" s="61" t="s">
        <v>392</v>
      </c>
      <c r="BO88" s="67">
        <v>131.13931775465775</v>
      </c>
    </row>
    <row r="89" spans="19:82">
      <c r="S89" s="62">
        <v>88</v>
      </c>
      <c r="T89" s="61" t="s">
        <v>278</v>
      </c>
      <c r="U89" s="61" t="s">
        <v>329</v>
      </c>
      <c r="V89" s="67">
        <v>61.764705882352949</v>
      </c>
      <c r="X89" s="62">
        <v>88</v>
      </c>
      <c r="Y89" s="61" t="s">
        <v>278</v>
      </c>
      <c r="Z89" s="61" t="s">
        <v>329</v>
      </c>
      <c r="AA89" s="67">
        <v>47.1875</v>
      </c>
      <c r="AC89" s="62">
        <v>88</v>
      </c>
      <c r="AD89" s="61" t="s">
        <v>278</v>
      </c>
      <c r="AE89" s="61" t="s">
        <v>329</v>
      </c>
      <c r="AF89" s="67">
        <v>25</v>
      </c>
      <c r="AH89" s="62">
        <v>88</v>
      </c>
      <c r="AI89" s="61" t="s">
        <v>206</v>
      </c>
      <c r="AJ89" s="61" t="s">
        <v>397</v>
      </c>
      <c r="AK89" s="67">
        <v>94.537677404194753</v>
      </c>
      <c r="AM89" s="62">
        <v>88</v>
      </c>
      <c r="AN89" s="61" t="s">
        <v>206</v>
      </c>
      <c r="AO89" s="61" t="s">
        <v>329</v>
      </c>
      <c r="AP89" s="67">
        <v>120.07702163303502</v>
      </c>
      <c r="AR89" s="62">
        <v>88</v>
      </c>
      <c r="AS89" s="61" t="s">
        <v>206</v>
      </c>
      <c r="AT89" s="61" t="s">
        <v>329</v>
      </c>
      <c r="AU89" s="67">
        <v>123.13700456601634</v>
      </c>
      <c r="AW89" s="62">
        <v>88</v>
      </c>
      <c r="AX89" s="61" t="s">
        <v>206</v>
      </c>
      <c r="AY89" s="61" t="s">
        <v>329</v>
      </c>
      <c r="AZ89" s="67">
        <v>139.3088096440581</v>
      </c>
      <c r="BB89" s="62">
        <v>88</v>
      </c>
      <c r="BC89" s="61" t="s">
        <v>206</v>
      </c>
      <c r="BD89" s="61" t="s">
        <v>329</v>
      </c>
      <c r="BE89" s="67">
        <v>142.67776436587593</v>
      </c>
      <c r="BG89" s="62">
        <v>88</v>
      </c>
      <c r="BH89" s="61" t="s">
        <v>206</v>
      </c>
      <c r="BI89" s="61" t="s">
        <v>400</v>
      </c>
      <c r="BJ89" s="67">
        <v>125.65859558592906</v>
      </c>
      <c r="BL89" s="62">
        <v>88</v>
      </c>
      <c r="BM89" s="61" t="s">
        <v>206</v>
      </c>
      <c r="BN89" s="61" t="s">
        <v>400</v>
      </c>
      <c r="BO89" s="67">
        <v>127.87277380659148</v>
      </c>
    </row>
    <row r="90" spans="19:82" ht="15" thickBot="1">
      <c r="S90" s="62">
        <v>89</v>
      </c>
      <c r="T90" s="61" t="s">
        <v>278</v>
      </c>
      <c r="U90" s="61" t="s">
        <v>329</v>
      </c>
      <c r="V90" s="67">
        <v>57.352941176470594</v>
      </c>
      <c r="X90" s="62">
        <v>89</v>
      </c>
      <c r="Y90" s="61" t="s">
        <v>278</v>
      </c>
      <c r="Z90" s="61" t="s">
        <v>329</v>
      </c>
      <c r="AA90" s="67">
        <v>42.5</v>
      </c>
      <c r="AC90" s="62">
        <v>89</v>
      </c>
      <c r="AD90" s="61" t="s">
        <v>278</v>
      </c>
      <c r="AE90" s="61" t="s">
        <v>329</v>
      </c>
      <c r="AF90" s="67">
        <v>20</v>
      </c>
      <c r="AH90" s="62">
        <v>89</v>
      </c>
      <c r="AI90" s="61" t="s">
        <v>206</v>
      </c>
      <c r="AJ90" s="61" t="s">
        <v>392</v>
      </c>
      <c r="AK90" s="67">
        <v>96.43121689492844</v>
      </c>
      <c r="AM90" s="62">
        <v>89</v>
      </c>
      <c r="AN90" s="61" t="s">
        <v>206</v>
      </c>
      <c r="AO90" s="61" t="s">
        <v>329</v>
      </c>
      <c r="AP90" s="67">
        <v>123.61899855901493</v>
      </c>
      <c r="AR90" s="62">
        <v>89</v>
      </c>
      <c r="AS90" s="61" t="s">
        <v>206</v>
      </c>
      <c r="AT90" s="61" t="s">
        <v>329</v>
      </c>
      <c r="AU90" s="67">
        <v>126.82105456767347</v>
      </c>
      <c r="AW90" s="62">
        <v>89</v>
      </c>
      <c r="AX90" s="61" t="s">
        <v>206</v>
      </c>
      <c r="AY90" s="61" t="s">
        <v>329</v>
      </c>
      <c r="AZ90" s="67">
        <v>135.23962786271065</v>
      </c>
      <c r="BB90" s="62">
        <v>89</v>
      </c>
      <c r="BC90" s="61" t="s">
        <v>206</v>
      </c>
      <c r="BD90" s="61" t="s">
        <v>329</v>
      </c>
      <c r="BE90" s="67">
        <v>138.48197335553988</v>
      </c>
      <c r="BG90" s="64">
        <v>89</v>
      </c>
      <c r="BH90" s="65" t="s">
        <v>206</v>
      </c>
      <c r="BI90" s="65" t="s">
        <v>329</v>
      </c>
      <c r="BJ90" s="68">
        <v>122.90307274131176</v>
      </c>
      <c r="BL90" s="64">
        <v>89</v>
      </c>
      <c r="BM90" s="65" t="s">
        <v>206</v>
      </c>
      <c r="BN90" s="65" t="s">
        <v>329</v>
      </c>
      <c r="BO90" s="68">
        <v>124.89334292682692</v>
      </c>
    </row>
    <row r="91" spans="19:82">
      <c r="S91" s="62">
        <v>90</v>
      </c>
      <c r="T91" s="61" t="s">
        <v>278</v>
      </c>
      <c r="U91" s="61" t="s">
        <v>329</v>
      </c>
      <c r="V91" s="67">
        <v>52.941176470588239</v>
      </c>
      <c r="X91" s="62">
        <v>90</v>
      </c>
      <c r="Y91" s="61" t="s">
        <v>278</v>
      </c>
      <c r="Z91" s="61" t="s">
        <v>329</v>
      </c>
      <c r="AA91" s="67">
        <v>37.8125</v>
      </c>
      <c r="AC91" s="62">
        <v>90</v>
      </c>
      <c r="AD91" s="61" t="s">
        <v>278</v>
      </c>
      <c r="AE91" s="61" t="s">
        <v>329</v>
      </c>
      <c r="AF91" s="67">
        <v>15</v>
      </c>
      <c r="AH91" s="62">
        <v>90</v>
      </c>
      <c r="AI91" s="61" t="s">
        <v>206</v>
      </c>
      <c r="AJ91" s="61" t="s">
        <v>395</v>
      </c>
      <c r="AK91" s="67">
        <v>98.57983918569532</v>
      </c>
      <c r="AM91" s="62">
        <v>90</v>
      </c>
      <c r="AN91" s="61" t="s">
        <v>206</v>
      </c>
      <c r="AO91" s="61" t="s">
        <v>329</v>
      </c>
      <c r="AP91" s="67">
        <v>127.32395898865376</v>
      </c>
      <c r="AR91" s="62">
        <v>90</v>
      </c>
      <c r="AS91" s="61" t="s">
        <v>206</v>
      </c>
      <c r="AT91" s="61" t="s">
        <v>329</v>
      </c>
      <c r="AU91" s="67">
        <v>130.65605962663872</v>
      </c>
      <c r="AW91" s="62">
        <v>90</v>
      </c>
      <c r="AX91" s="61" t="s">
        <v>206</v>
      </c>
      <c r="AY91" s="61" t="s">
        <v>329</v>
      </c>
      <c r="AZ91" s="67">
        <v>131.34189904384837</v>
      </c>
      <c r="BB91" s="62">
        <v>90</v>
      </c>
      <c r="BC91" s="61" t="s">
        <v>206</v>
      </c>
      <c r="BD91" s="61" t="s">
        <v>329</v>
      </c>
      <c r="BE91" s="67">
        <v>134.44587923935958</v>
      </c>
    </row>
    <row r="92" spans="19:82">
      <c r="S92" s="62">
        <v>91</v>
      </c>
      <c r="T92" s="61" t="s">
        <v>278</v>
      </c>
      <c r="U92" s="61" t="s">
        <v>329</v>
      </c>
      <c r="V92" s="67">
        <v>48.529411764705884</v>
      </c>
      <c r="X92" s="62">
        <v>91</v>
      </c>
      <c r="Y92" s="61" t="s">
        <v>278</v>
      </c>
      <c r="Z92" s="61" t="s">
        <v>329</v>
      </c>
      <c r="AA92" s="67">
        <v>33.125</v>
      </c>
      <c r="AC92" s="62">
        <v>91</v>
      </c>
      <c r="AD92" s="61" t="s">
        <v>278</v>
      </c>
      <c r="AE92" s="61" t="s">
        <v>329</v>
      </c>
      <c r="AF92" s="67">
        <v>10</v>
      </c>
      <c r="AH92" s="62">
        <v>91</v>
      </c>
      <c r="AI92" s="61" t="s">
        <v>206</v>
      </c>
      <c r="AJ92" s="61" t="s">
        <v>329</v>
      </c>
      <c r="AK92" s="67">
        <v>100.96726080815527</v>
      </c>
      <c r="AM92" s="62">
        <v>91</v>
      </c>
      <c r="AN92" s="61" t="s">
        <v>206</v>
      </c>
      <c r="AO92" s="61" t="s">
        <v>329</v>
      </c>
      <c r="AP92" s="67">
        <v>131.17809385599514</v>
      </c>
      <c r="AR92" s="62">
        <v>91</v>
      </c>
      <c r="AS92" s="61" t="s">
        <v>206</v>
      </c>
      <c r="AT92" s="61" t="s">
        <v>329</v>
      </c>
      <c r="AU92" s="67">
        <v>134.62912017836246</v>
      </c>
      <c r="AW92" s="62">
        <v>91</v>
      </c>
      <c r="AX92" s="61" t="s">
        <v>206</v>
      </c>
      <c r="AY92" s="61" t="s">
        <v>329</v>
      </c>
      <c r="AZ92" s="67">
        <v>127.63133214240308</v>
      </c>
      <c r="BB92" s="62">
        <v>91</v>
      </c>
      <c r="BC92" s="61" t="s">
        <v>206</v>
      </c>
      <c r="BD92" s="61" t="s">
        <v>329</v>
      </c>
      <c r="BE92" s="67">
        <v>130.58429057296445</v>
      </c>
    </row>
    <row r="93" spans="19:82">
      <c r="S93" s="62">
        <v>92</v>
      </c>
      <c r="T93" s="61" t="s">
        <v>278</v>
      </c>
      <c r="U93" s="61" t="s">
        <v>329</v>
      </c>
      <c r="V93" s="67">
        <v>44.117647058823529</v>
      </c>
      <c r="X93" s="62">
        <v>92</v>
      </c>
      <c r="Y93" s="61" t="s">
        <v>278</v>
      </c>
      <c r="Z93" s="61" t="s">
        <v>329</v>
      </c>
      <c r="AA93" s="67">
        <v>28.4375</v>
      </c>
      <c r="AC93" s="62">
        <v>92</v>
      </c>
      <c r="AD93" s="61" t="s">
        <v>206</v>
      </c>
      <c r="AE93" s="61" t="s">
        <v>329</v>
      </c>
      <c r="AF93" s="67">
        <v>84.672571972536915</v>
      </c>
      <c r="AH93" s="62">
        <v>92</v>
      </c>
      <c r="AI93" s="61" t="s">
        <v>206</v>
      </c>
      <c r="AJ93" s="61" t="s">
        <v>329</v>
      </c>
      <c r="AK93" s="67">
        <v>103.57697029509114</v>
      </c>
      <c r="AM93" s="62">
        <v>92</v>
      </c>
      <c r="AN93" s="61" t="s">
        <v>206</v>
      </c>
      <c r="AO93" s="61" t="s">
        <v>329</v>
      </c>
      <c r="AP93" s="67">
        <v>135.16864329487638</v>
      </c>
      <c r="AR93" s="62">
        <v>92</v>
      </c>
      <c r="AS93" s="61" t="s">
        <v>206</v>
      </c>
      <c r="AT93" s="61" t="s">
        <v>329</v>
      </c>
      <c r="AU93" s="67">
        <v>138.72837536054953</v>
      </c>
      <c r="AW93" s="62">
        <v>92</v>
      </c>
      <c r="AX93" s="61" t="s">
        <v>206</v>
      </c>
      <c r="AY93" s="61" t="s">
        <v>389</v>
      </c>
      <c r="AZ93" s="67">
        <v>124.12471327034137</v>
      </c>
      <c r="BB93" s="62">
        <v>92</v>
      </c>
      <c r="BC93" s="61" t="s">
        <v>206</v>
      </c>
      <c r="BD93" s="61" t="s">
        <v>389</v>
      </c>
      <c r="BE93" s="67">
        <v>126.91313739894882</v>
      </c>
    </row>
    <row r="94" spans="19:82">
      <c r="S94" s="62">
        <v>93</v>
      </c>
      <c r="T94" s="61" t="s">
        <v>278</v>
      </c>
      <c r="U94" s="61" t="s">
        <v>329</v>
      </c>
      <c r="V94" s="67">
        <v>39.705882352941174</v>
      </c>
      <c r="X94" s="62">
        <v>93</v>
      </c>
      <c r="Y94" s="61" t="s">
        <v>278</v>
      </c>
      <c r="Z94" s="61" t="s">
        <v>329</v>
      </c>
      <c r="AA94" s="67">
        <v>23.75</v>
      </c>
      <c r="AC94" s="62">
        <v>93</v>
      </c>
      <c r="AD94" s="61" t="s">
        <v>206</v>
      </c>
      <c r="AE94" s="61" t="s">
        <v>395</v>
      </c>
      <c r="AF94" s="67">
        <v>85.699734214549594</v>
      </c>
      <c r="AH94" s="62">
        <v>93</v>
      </c>
      <c r="AI94" s="61" t="s">
        <v>206</v>
      </c>
      <c r="AJ94" s="61" t="s">
        <v>329</v>
      </c>
      <c r="AK94" s="67">
        <v>106.39261137457831</v>
      </c>
      <c r="AM94" s="62">
        <v>93</v>
      </c>
      <c r="AN94" s="61" t="s">
        <v>206</v>
      </c>
      <c r="AO94" s="61" t="s">
        <v>329</v>
      </c>
      <c r="AP94" s="67">
        <v>135.16864329487638</v>
      </c>
      <c r="AR94" s="62">
        <v>93</v>
      </c>
      <c r="AS94" s="61" t="s">
        <v>206</v>
      </c>
      <c r="AT94" s="61" t="s">
        <v>329</v>
      </c>
      <c r="AU94" s="67">
        <v>138.72837536054953</v>
      </c>
      <c r="AW94" s="62">
        <v>93</v>
      </c>
      <c r="AX94" s="61" t="s">
        <v>206</v>
      </c>
      <c r="AY94" s="61" t="s">
        <v>390</v>
      </c>
      <c r="AZ94" s="67">
        <v>120.83979867760645</v>
      </c>
      <c r="BB94" s="62">
        <v>93</v>
      </c>
      <c r="BC94" s="61" t="s">
        <v>206</v>
      </c>
      <c r="BD94" s="61" t="s">
        <v>354</v>
      </c>
      <c r="BE94" s="67">
        <v>123.44941046616812</v>
      </c>
    </row>
    <row r="95" spans="19:82">
      <c r="S95" s="62">
        <v>94</v>
      </c>
      <c r="T95" s="61" t="s">
        <v>278</v>
      </c>
      <c r="U95" s="61" t="s">
        <v>329</v>
      </c>
      <c r="V95" s="67">
        <v>35.294117647058819</v>
      </c>
      <c r="X95" s="62">
        <v>94</v>
      </c>
      <c r="Y95" s="61" t="s">
        <v>278</v>
      </c>
      <c r="Z95" s="61" t="s">
        <v>329</v>
      </c>
      <c r="AA95" s="67">
        <v>19.0625</v>
      </c>
      <c r="AC95" s="62">
        <v>94</v>
      </c>
      <c r="AD95" s="61" t="s">
        <v>206</v>
      </c>
      <c r="AE95" s="61" t="s">
        <v>394</v>
      </c>
      <c r="AF95" s="67">
        <v>87.002554240921256</v>
      </c>
      <c r="AH95" s="62">
        <v>94</v>
      </c>
      <c r="AI95" s="61" t="s">
        <v>206</v>
      </c>
      <c r="AJ95" s="61" t="s">
        <v>329</v>
      </c>
      <c r="AK95" s="67">
        <v>109.39828469348849</v>
      </c>
      <c r="AM95" s="62">
        <v>94</v>
      </c>
      <c r="AN95" s="61" t="s">
        <v>206</v>
      </c>
      <c r="AO95" s="61" t="s">
        <v>329</v>
      </c>
      <c r="AP95" s="67">
        <v>131.17809385599531</v>
      </c>
      <c r="AR95" s="62">
        <v>94</v>
      </c>
      <c r="AS95" s="61" t="s">
        <v>206</v>
      </c>
      <c r="AT95" s="61" t="s">
        <v>329</v>
      </c>
      <c r="AU95" s="67">
        <v>134.62912017836263</v>
      </c>
      <c r="AW95" s="62">
        <v>94</v>
      </c>
      <c r="AX95" s="61" t="s">
        <v>206</v>
      </c>
      <c r="AY95" s="61" t="s">
        <v>400</v>
      </c>
      <c r="AZ95" s="67">
        <v>117.79513760951431</v>
      </c>
      <c r="BB95" s="62">
        <v>94</v>
      </c>
      <c r="BC95" s="61" t="s">
        <v>206</v>
      </c>
      <c r="BD95" s="61" t="s">
        <v>401</v>
      </c>
      <c r="BE95" s="67">
        <v>120.21104127510256</v>
      </c>
    </row>
    <row r="96" spans="19:82">
      <c r="S96" s="62">
        <v>95</v>
      </c>
      <c r="T96" s="61" t="s">
        <v>278</v>
      </c>
      <c r="U96" s="61" t="s">
        <v>329</v>
      </c>
      <c r="V96" s="67">
        <v>30.882352941176467</v>
      </c>
      <c r="X96" s="62">
        <v>95</v>
      </c>
      <c r="Y96" s="61" t="s">
        <v>278</v>
      </c>
      <c r="Z96" s="61" t="s">
        <v>329</v>
      </c>
      <c r="AA96" s="67">
        <v>14.375</v>
      </c>
      <c r="AC96" s="62">
        <v>95</v>
      </c>
      <c r="AD96" s="61" t="s">
        <v>206</v>
      </c>
      <c r="AE96" s="61" t="s">
        <v>394</v>
      </c>
      <c r="AF96" s="67">
        <v>88.568868370576141</v>
      </c>
      <c r="AH96" s="62">
        <v>95</v>
      </c>
      <c r="AI96" s="61" t="s">
        <v>206</v>
      </c>
      <c r="AJ96" s="61" t="s">
        <v>329</v>
      </c>
      <c r="AK96" s="67">
        <v>112.57877060901278</v>
      </c>
      <c r="AM96" s="62">
        <v>95</v>
      </c>
      <c r="AN96" s="61" t="s">
        <v>206</v>
      </c>
      <c r="AO96" s="61" t="s">
        <v>329</v>
      </c>
      <c r="AP96" s="67">
        <v>127.32395898865376</v>
      </c>
      <c r="AR96" s="62">
        <v>95</v>
      </c>
      <c r="AS96" s="61" t="s">
        <v>206</v>
      </c>
      <c r="AT96" s="61" t="s">
        <v>329</v>
      </c>
      <c r="AU96" s="67">
        <v>130.65605962663872</v>
      </c>
      <c r="AW96" s="62">
        <v>95</v>
      </c>
      <c r="AX96" s="61" t="s">
        <v>206</v>
      </c>
      <c r="AY96" s="61" t="s">
        <v>394</v>
      </c>
      <c r="AZ96" s="67">
        <v>115.00981238331148</v>
      </c>
      <c r="BB96" s="62">
        <v>95</v>
      </c>
      <c r="BC96" s="61" t="s">
        <v>206</v>
      </c>
      <c r="BD96" s="61" t="s">
        <v>394</v>
      </c>
      <c r="BE96" s="67">
        <v>117.21670932270922</v>
      </c>
    </row>
    <row r="97" spans="19:57">
      <c r="S97" s="62">
        <v>96</v>
      </c>
      <c r="T97" s="61" t="s">
        <v>278</v>
      </c>
      <c r="U97" s="61" t="s">
        <v>329</v>
      </c>
      <c r="V97" s="67">
        <v>26.470588235294116</v>
      </c>
      <c r="X97" s="62">
        <v>96</v>
      </c>
      <c r="Y97" s="61" t="s">
        <v>278</v>
      </c>
      <c r="Z97" s="61" t="s">
        <v>329</v>
      </c>
      <c r="AA97" s="67">
        <v>9.6875</v>
      </c>
      <c r="AC97" s="62">
        <v>96</v>
      </c>
      <c r="AD97" s="61" t="s">
        <v>206</v>
      </c>
      <c r="AE97" s="61" t="s">
        <v>344</v>
      </c>
      <c r="AF97" s="67">
        <v>90.384979086374969</v>
      </c>
      <c r="AH97" s="62">
        <v>96</v>
      </c>
      <c r="AI97" s="61" t="s">
        <v>206</v>
      </c>
      <c r="AJ97" s="61" t="s">
        <v>329</v>
      </c>
      <c r="AK97" s="67">
        <v>115.91968102518052</v>
      </c>
      <c r="AM97" s="62">
        <v>96</v>
      </c>
      <c r="AN97" s="61" t="s">
        <v>206</v>
      </c>
      <c r="AO97" s="61" t="s">
        <v>329</v>
      </c>
      <c r="AP97" s="67">
        <v>123.61899855901493</v>
      </c>
      <c r="AR97" s="62">
        <v>96</v>
      </c>
      <c r="AS97" s="61" t="s">
        <v>206</v>
      </c>
      <c r="AT97" s="61" t="s">
        <v>329</v>
      </c>
      <c r="AU97" s="67">
        <v>126.82105456767347</v>
      </c>
      <c r="AW97" s="62">
        <v>96</v>
      </c>
      <c r="AX97" s="61" t="s">
        <v>206</v>
      </c>
      <c r="AY97" s="61" t="s">
        <v>354</v>
      </c>
      <c r="AZ97" s="67">
        <v>112.50308637741638</v>
      </c>
      <c r="BB97" s="62">
        <v>96</v>
      </c>
      <c r="BC97" s="61" t="s">
        <v>206</v>
      </c>
      <c r="BD97" s="61" t="s">
        <v>390</v>
      </c>
      <c r="BE97" s="67">
        <v>114.48556434959131</v>
      </c>
    </row>
    <row r="98" spans="19:57" ht="15" thickBot="1">
      <c r="S98" s="62">
        <v>97</v>
      </c>
      <c r="T98" s="61" t="s">
        <v>278</v>
      </c>
      <c r="U98" s="61" t="s">
        <v>329</v>
      </c>
      <c r="V98" s="67">
        <v>22.058823529411764</v>
      </c>
      <c r="X98" s="62">
        <v>97</v>
      </c>
      <c r="Y98" s="61" t="s">
        <v>278</v>
      </c>
      <c r="Z98" s="61" t="s">
        <v>329</v>
      </c>
      <c r="AA98" s="67">
        <v>5</v>
      </c>
      <c r="AC98" s="62">
        <v>97</v>
      </c>
      <c r="AD98" s="61" t="s">
        <v>206</v>
      </c>
      <c r="AE98" s="61" t="s">
        <v>329</v>
      </c>
      <c r="AF98" s="67">
        <v>92.436164159080349</v>
      </c>
      <c r="AH98" s="62">
        <v>97</v>
      </c>
      <c r="AI98" s="61" t="s">
        <v>206</v>
      </c>
      <c r="AJ98" s="61" t="s">
        <v>329</v>
      </c>
      <c r="AK98" s="67">
        <v>119.4075511234785</v>
      </c>
      <c r="AM98" s="62">
        <v>97</v>
      </c>
      <c r="AN98" s="61" t="s">
        <v>206</v>
      </c>
      <c r="AO98" s="61" t="s">
        <v>329</v>
      </c>
      <c r="AP98" s="67">
        <v>120.07702163303502</v>
      </c>
      <c r="AR98" s="62">
        <v>97</v>
      </c>
      <c r="AS98" s="61" t="s">
        <v>206</v>
      </c>
      <c r="AT98" s="61" t="s">
        <v>329</v>
      </c>
      <c r="AU98" s="67">
        <v>123.13700456601634</v>
      </c>
      <c r="AW98" s="64">
        <v>97</v>
      </c>
      <c r="AX98" s="65" t="s">
        <v>206</v>
      </c>
      <c r="AY98" s="65" t="s">
        <v>329</v>
      </c>
      <c r="AZ98" s="68">
        <v>110.29395697156038</v>
      </c>
      <c r="BB98" s="64">
        <v>97</v>
      </c>
      <c r="BC98" s="65" t="s">
        <v>206</v>
      </c>
      <c r="BD98" s="65" t="s">
        <v>329</v>
      </c>
      <c r="BE98" s="68">
        <v>112.03685529523047</v>
      </c>
    </row>
    <row r="99" spans="19:57">
      <c r="S99" s="62">
        <v>98</v>
      </c>
      <c r="T99" s="61" t="s">
        <v>278</v>
      </c>
      <c r="U99" s="61" t="s">
        <v>329</v>
      </c>
      <c r="V99" s="67">
        <v>17.647058823529413</v>
      </c>
      <c r="X99" s="62">
        <v>98</v>
      </c>
      <c r="Y99" s="61" t="s">
        <v>206</v>
      </c>
      <c r="Z99" s="61" t="s">
        <v>329</v>
      </c>
      <c r="AA99" s="67">
        <v>78.723333778810456</v>
      </c>
      <c r="AC99" s="62">
        <v>98</v>
      </c>
      <c r="AD99" s="61" t="s">
        <v>206</v>
      </c>
      <c r="AE99" s="61" t="s">
        <v>329</v>
      </c>
      <c r="AF99" s="67">
        <v>94.707150967835744</v>
      </c>
      <c r="AH99" s="62">
        <v>98</v>
      </c>
      <c r="AI99" s="61" t="s">
        <v>206</v>
      </c>
      <c r="AJ99" s="61" t="s">
        <v>329</v>
      </c>
      <c r="AK99" s="67">
        <v>123.02988271479541</v>
      </c>
      <c r="AM99" s="62">
        <v>98</v>
      </c>
      <c r="AN99" s="61" t="s">
        <v>206</v>
      </c>
      <c r="AO99" s="61" t="s">
        <v>329</v>
      </c>
      <c r="AP99" s="67">
        <v>116.71286771870643</v>
      </c>
      <c r="AR99" s="62">
        <v>98</v>
      </c>
      <c r="AS99" s="61" t="s">
        <v>206</v>
      </c>
      <c r="AT99" s="61" t="s">
        <v>329</v>
      </c>
      <c r="AU99" s="67">
        <v>119.61785800064607</v>
      </c>
    </row>
    <row r="100" spans="19:57">
      <c r="S100" s="62">
        <v>99</v>
      </c>
      <c r="T100" s="61" t="s">
        <v>278</v>
      </c>
      <c r="U100" s="61" t="s">
        <v>329</v>
      </c>
      <c r="V100" s="67">
        <v>13.23529411764706</v>
      </c>
      <c r="X100" s="62">
        <v>99</v>
      </c>
      <c r="Y100" s="61" t="s">
        <v>206</v>
      </c>
      <c r="Z100" s="61" t="s">
        <v>344</v>
      </c>
      <c r="AA100" s="67">
        <v>79.436491929087609</v>
      </c>
      <c r="AC100" s="62">
        <v>99</v>
      </c>
      <c r="AD100" s="61" t="s">
        <v>206</v>
      </c>
      <c r="AE100" s="61" t="s">
        <v>329</v>
      </c>
      <c r="AF100" s="67">
        <v>97.18253158075504</v>
      </c>
      <c r="AH100" s="62">
        <v>99</v>
      </c>
      <c r="AI100" s="61" t="s">
        <v>206</v>
      </c>
      <c r="AJ100" s="61" t="s">
        <v>329</v>
      </c>
      <c r="AK100" s="67">
        <v>126.77515046534235</v>
      </c>
      <c r="AM100" s="62">
        <v>99</v>
      </c>
      <c r="AN100" s="61" t="s">
        <v>206</v>
      </c>
      <c r="AO100" s="61" t="s">
        <v>329</v>
      </c>
      <c r="AP100" s="67">
        <v>113.54234410705747</v>
      </c>
      <c r="AR100" s="62">
        <v>99</v>
      </c>
      <c r="AS100" s="61" t="s">
        <v>206</v>
      </c>
      <c r="AT100" s="61" t="s">
        <v>329</v>
      </c>
      <c r="AU100" s="67">
        <v>116.27858813716136</v>
      </c>
    </row>
    <row r="101" spans="19:57">
      <c r="S101" s="62">
        <v>100</v>
      </c>
      <c r="T101" s="61" t="s">
        <v>278</v>
      </c>
      <c r="U101" s="61" t="s">
        <v>329</v>
      </c>
      <c r="V101" s="67">
        <v>8.8235294117647065</v>
      </c>
      <c r="X101" s="62">
        <v>100</v>
      </c>
      <c r="Y101" s="61" t="s">
        <v>206</v>
      </c>
      <c r="Z101" s="61" t="s">
        <v>393</v>
      </c>
      <c r="AA101" s="67">
        <v>80.41700399324759</v>
      </c>
      <c r="AC101" s="62">
        <v>100</v>
      </c>
      <c r="AD101" s="61" t="s">
        <v>206</v>
      </c>
      <c r="AE101" s="61" t="s">
        <v>329</v>
      </c>
      <c r="AF101" s="67">
        <v>99.84710533833443</v>
      </c>
      <c r="AH101" s="62">
        <v>100</v>
      </c>
      <c r="AI101" s="61" t="s">
        <v>206</v>
      </c>
      <c r="AJ101" s="61" t="s">
        <v>329</v>
      </c>
      <c r="AK101" s="67">
        <v>126.77515046534251</v>
      </c>
      <c r="AM101" s="62">
        <v>100</v>
      </c>
      <c r="AN101" s="61" t="s">
        <v>206</v>
      </c>
      <c r="AO101" s="61" t="s">
        <v>329</v>
      </c>
      <c r="AP101" s="67">
        <v>110.58210690190283</v>
      </c>
      <c r="AR101" s="62">
        <v>100</v>
      </c>
      <c r="AS101" s="61" t="s">
        <v>206</v>
      </c>
      <c r="AT101" s="61" t="s">
        <v>344</v>
      </c>
      <c r="AU101" s="67">
        <v>113.13512369294389</v>
      </c>
    </row>
    <row r="102" spans="19:57">
      <c r="S102" s="62">
        <v>101</v>
      </c>
      <c r="T102" s="61" t="s">
        <v>278</v>
      </c>
      <c r="U102" s="61" t="s">
        <v>329</v>
      </c>
      <c r="V102" s="67">
        <v>4.4117647058823533</v>
      </c>
      <c r="X102" s="62">
        <v>101</v>
      </c>
      <c r="Y102" s="61" t="s">
        <v>206</v>
      </c>
      <c r="Z102" s="61" t="s">
        <v>394</v>
      </c>
      <c r="AA102" s="67">
        <v>81.655239421607234</v>
      </c>
      <c r="AC102" s="62">
        <v>101</v>
      </c>
      <c r="AD102" s="61" t="s">
        <v>206</v>
      </c>
      <c r="AE102" s="61" t="s">
        <v>329</v>
      </c>
      <c r="AF102" s="67">
        <v>102.68614533832903</v>
      </c>
      <c r="AH102" s="62">
        <v>101</v>
      </c>
      <c r="AI102" s="61" t="s">
        <v>206</v>
      </c>
      <c r="AJ102" s="61" t="s">
        <v>329</v>
      </c>
      <c r="AK102" s="67">
        <v>123.02988271479541</v>
      </c>
      <c r="AM102" s="62">
        <v>101</v>
      </c>
      <c r="AN102" s="61" t="s">
        <v>206</v>
      </c>
      <c r="AO102" s="61" t="s">
        <v>354</v>
      </c>
      <c r="AP102" s="67">
        <v>107.84947322884658</v>
      </c>
      <c r="AR102" s="62">
        <v>101</v>
      </c>
      <c r="AS102" s="61" t="s">
        <v>206</v>
      </c>
      <c r="AT102" s="61" t="s">
        <v>354</v>
      </c>
      <c r="AU102" s="67">
        <v>110.20422139918794</v>
      </c>
    </row>
    <row r="103" spans="19:57">
      <c r="S103" s="62">
        <v>102</v>
      </c>
      <c r="T103" s="61" t="s">
        <v>206</v>
      </c>
      <c r="U103" s="61" t="s">
        <v>329</v>
      </c>
      <c r="V103" s="67">
        <v>74.056931247142188</v>
      </c>
      <c r="X103" s="62">
        <v>102</v>
      </c>
      <c r="Y103" s="61" t="s">
        <v>206</v>
      </c>
      <c r="Z103" s="61" t="s">
        <v>329</v>
      </c>
      <c r="AA103" s="67">
        <v>83.139683853440289</v>
      </c>
      <c r="AC103" s="62">
        <v>102</v>
      </c>
      <c r="AD103" s="61" t="s">
        <v>206</v>
      </c>
      <c r="AE103" s="61" t="s">
        <v>329</v>
      </c>
      <c r="AF103" s="67">
        <v>105.68559241658463</v>
      </c>
      <c r="AH103" s="62">
        <v>102</v>
      </c>
      <c r="AI103" s="61" t="s">
        <v>206</v>
      </c>
      <c r="AJ103" s="61" t="s">
        <v>329</v>
      </c>
      <c r="AK103" s="67">
        <v>119.40755112347841</v>
      </c>
      <c r="AM103" s="62">
        <v>102</v>
      </c>
      <c r="AN103" s="61" t="s">
        <v>206</v>
      </c>
      <c r="AO103" s="61" t="s">
        <v>392</v>
      </c>
      <c r="AP103" s="67">
        <v>105.36215369834024</v>
      </c>
      <c r="AR103" s="62">
        <v>102</v>
      </c>
      <c r="AS103" s="61" t="s">
        <v>206</v>
      </c>
      <c r="AT103" s="61" t="s">
        <v>392</v>
      </c>
      <c r="AU103" s="67">
        <v>107.50326814902837</v>
      </c>
    </row>
    <row r="104" spans="19:57">
      <c r="S104" s="62">
        <v>103</v>
      </c>
      <c r="T104" s="61" t="s">
        <v>206</v>
      </c>
      <c r="U104" s="61" t="s">
        <v>330</v>
      </c>
      <c r="V104" s="67">
        <v>74.711092916944338</v>
      </c>
      <c r="X104" s="62">
        <v>103</v>
      </c>
      <c r="Y104" s="61" t="s">
        <v>206</v>
      </c>
      <c r="Z104" s="61" t="s">
        <v>329</v>
      </c>
      <c r="AA104" s="67">
        <v>84.85741717728628</v>
      </c>
      <c r="AC104" s="62">
        <v>103</v>
      </c>
      <c r="AD104" s="61" t="s">
        <v>206</v>
      </c>
      <c r="AE104" s="61" t="s">
        <v>329</v>
      </c>
      <c r="AF104" s="67">
        <v>108.83218478209675</v>
      </c>
      <c r="AH104" s="62">
        <v>103</v>
      </c>
      <c r="AI104" s="61" t="s">
        <v>206</v>
      </c>
      <c r="AJ104" s="61" t="s">
        <v>329</v>
      </c>
      <c r="AK104" s="67">
        <v>115.91968102518061</v>
      </c>
      <c r="AM104" s="62">
        <v>103</v>
      </c>
      <c r="AN104" s="61" t="s">
        <v>206</v>
      </c>
      <c r="AO104" s="61" t="s">
        <v>397</v>
      </c>
      <c r="AP104" s="67">
        <v>103.13789815340857</v>
      </c>
      <c r="AR104" s="62">
        <v>103</v>
      </c>
      <c r="AS104" s="61" t="s">
        <v>206</v>
      </c>
      <c r="AT104" s="61" t="s">
        <v>394</v>
      </c>
      <c r="AU104" s="67">
        <v>105.05000218267395</v>
      </c>
    </row>
    <row r="105" spans="19:57">
      <c r="S105" s="62">
        <v>104</v>
      </c>
      <c r="T105" s="61" t="s">
        <v>206</v>
      </c>
      <c r="U105" s="61" t="s">
        <v>392</v>
      </c>
      <c r="V105" s="67">
        <v>75.617412542249653</v>
      </c>
      <c r="X105" s="62">
        <v>104</v>
      </c>
      <c r="Y105" s="61" t="s">
        <v>206</v>
      </c>
      <c r="Z105" s="61" t="s">
        <v>329</v>
      </c>
      <c r="AA105" s="67">
        <v>86.794589585123333</v>
      </c>
      <c r="AC105" s="62">
        <v>104</v>
      </c>
      <c r="AD105" s="61" t="s">
        <v>206</v>
      </c>
      <c r="AE105" s="61" t="s">
        <v>329</v>
      </c>
      <c r="AF105" s="67">
        <v>112.11353372561419</v>
      </c>
      <c r="AH105" s="62">
        <v>104</v>
      </c>
      <c r="AI105" s="61" t="s">
        <v>206</v>
      </c>
      <c r="AJ105" s="61" t="s">
        <v>329</v>
      </c>
      <c r="AK105" s="67">
        <v>112.57877060901278</v>
      </c>
      <c r="AM105" s="62">
        <v>104</v>
      </c>
      <c r="AN105" s="61" t="s">
        <v>206</v>
      </c>
      <c r="AO105" s="61" t="s">
        <v>344</v>
      </c>
      <c r="AP105" s="67">
        <v>101.19405460001363</v>
      </c>
      <c r="AR105" s="62">
        <v>104</v>
      </c>
      <c r="AS105" s="61" t="s">
        <v>206</v>
      </c>
      <c r="AT105" s="61" t="s">
        <v>395</v>
      </c>
      <c r="AU105" s="67">
        <v>102.86214707935643</v>
      </c>
    </row>
    <row r="106" spans="19:57" ht="15" thickBot="1">
      <c r="S106" s="62">
        <v>105</v>
      </c>
      <c r="T106" s="61" t="s">
        <v>206</v>
      </c>
      <c r="U106" s="61" t="s">
        <v>329</v>
      </c>
      <c r="V106" s="67">
        <v>76.766959624342263</v>
      </c>
      <c r="X106" s="62">
        <v>105</v>
      </c>
      <c r="Y106" s="61" t="s">
        <v>206</v>
      </c>
      <c r="Z106" s="61" t="s">
        <v>329</v>
      </c>
      <c r="AA106" s="67">
        <v>88.936863138970665</v>
      </c>
      <c r="AC106" s="62">
        <v>105</v>
      </c>
      <c r="AD106" s="61" t="s">
        <v>206</v>
      </c>
      <c r="AE106" s="61" t="s">
        <v>329</v>
      </c>
      <c r="AF106" s="67">
        <v>115.51815634108965</v>
      </c>
      <c r="AH106" s="62">
        <v>105</v>
      </c>
      <c r="AI106" s="61" t="s">
        <v>206</v>
      </c>
      <c r="AJ106" s="61" t="s">
        <v>329</v>
      </c>
      <c r="AK106" s="67">
        <v>109.39828469348839</v>
      </c>
      <c r="AM106" s="64">
        <v>105</v>
      </c>
      <c r="AN106" s="65" t="s">
        <v>206</v>
      </c>
      <c r="AO106" s="65" t="s">
        <v>329</v>
      </c>
      <c r="AP106" s="68">
        <v>99.547051109590328</v>
      </c>
      <c r="AR106" s="64">
        <v>105</v>
      </c>
      <c r="AS106" s="65" t="s">
        <v>206</v>
      </c>
      <c r="AT106" s="65" t="s">
        <v>329</v>
      </c>
      <c r="AU106" s="68">
        <v>100.9569596031284</v>
      </c>
    </row>
    <row r="107" spans="19:57">
      <c r="S107" s="62">
        <v>106</v>
      </c>
      <c r="T107" s="61" t="s">
        <v>206</v>
      </c>
      <c r="U107" s="61" t="s">
        <v>329</v>
      </c>
      <c r="V107" s="67">
        <v>78.149001503449568</v>
      </c>
      <c r="X107" s="62">
        <v>106</v>
      </c>
      <c r="Y107" s="61" t="s">
        <v>206</v>
      </c>
      <c r="Z107" s="61" t="s">
        <v>329</v>
      </c>
      <c r="AA107" s="67">
        <v>91.269796653931465</v>
      </c>
      <c r="AC107" s="62">
        <v>106</v>
      </c>
      <c r="AD107" s="61" t="s">
        <v>206</v>
      </c>
      <c r="AE107" s="61" t="s">
        <v>329</v>
      </c>
      <c r="AF107" s="67">
        <v>119.03547557112741</v>
      </c>
      <c r="AH107" s="62">
        <v>106</v>
      </c>
      <c r="AI107" s="61" t="s">
        <v>206</v>
      </c>
      <c r="AJ107" s="61" t="s">
        <v>329</v>
      </c>
      <c r="AK107" s="67">
        <v>106.39261137457839</v>
      </c>
    </row>
    <row r="108" spans="19:57">
      <c r="S108" s="62">
        <v>107</v>
      </c>
      <c r="T108" s="61" t="s">
        <v>206</v>
      </c>
      <c r="U108" s="61" t="s">
        <v>329</v>
      </c>
      <c r="V108" s="67">
        <v>79.751452135036786</v>
      </c>
      <c r="X108" s="62">
        <v>107</v>
      </c>
      <c r="Y108" s="61" t="s">
        <v>206</v>
      </c>
      <c r="Z108" s="61" t="s">
        <v>329</v>
      </c>
      <c r="AA108" s="67">
        <v>93.779162131040607</v>
      </c>
      <c r="AC108" s="62">
        <v>107</v>
      </c>
      <c r="AD108" s="61" t="s">
        <v>206</v>
      </c>
      <c r="AE108" s="61" t="s">
        <v>329</v>
      </c>
      <c r="AF108" s="67">
        <v>119.03547557112725</v>
      </c>
      <c r="AH108" s="62">
        <v>107</v>
      </c>
      <c r="AI108" s="61" t="s">
        <v>206</v>
      </c>
      <c r="AJ108" s="61" t="s">
        <v>329</v>
      </c>
      <c r="AK108" s="67">
        <v>103.57697029509114</v>
      </c>
    </row>
    <row r="109" spans="19:57">
      <c r="S109" s="62">
        <v>108</v>
      </c>
      <c r="T109" s="61" t="s">
        <v>206</v>
      </c>
      <c r="U109" s="61" t="s">
        <v>329</v>
      </c>
      <c r="V109" s="67">
        <v>81.561321316835546</v>
      </c>
      <c r="X109" s="62">
        <v>108</v>
      </c>
      <c r="Y109" s="61" t="s">
        <v>206</v>
      </c>
      <c r="Z109" s="61" t="s">
        <v>329</v>
      </c>
      <c r="AA109" s="67">
        <v>96.451189890275586</v>
      </c>
      <c r="AC109" s="62">
        <v>108</v>
      </c>
      <c r="AD109" s="61" t="s">
        <v>206</v>
      </c>
      <c r="AE109" s="61" t="s">
        <v>329</v>
      </c>
      <c r="AF109" s="67">
        <v>115.51815634108965</v>
      </c>
      <c r="AH109" s="62">
        <v>108</v>
      </c>
      <c r="AI109" s="61" t="s">
        <v>206</v>
      </c>
      <c r="AJ109" s="61" t="s">
        <v>329</v>
      </c>
      <c r="AK109" s="67">
        <v>100.96726080815539</v>
      </c>
    </row>
    <row r="110" spans="19:57">
      <c r="S110" s="62">
        <v>109</v>
      </c>
      <c r="T110" s="61" t="s">
        <v>206</v>
      </c>
      <c r="U110" s="61" t="s">
        <v>329</v>
      </c>
      <c r="V110" s="67">
        <v>83.565133206913941</v>
      </c>
      <c r="X110" s="62">
        <v>109</v>
      </c>
      <c r="Y110" s="61" t="s">
        <v>206</v>
      </c>
      <c r="Z110" s="61" t="s">
        <v>329</v>
      </c>
      <c r="AA110" s="67">
        <v>99.272746134072463</v>
      </c>
      <c r="AC110" s="62">
        <v>109</v>
      </c>
      <c r="AD110" s="61" t="s">
        <v>206</v>
      </c>
      <c r="AE110" s="61" t="s">
        <v>329</v>
      </c>
      <c r="AF110" s="67">
        <v>112.11353372561437</v>
      </c>
      <c r="AH110" s="62">
        <v>109</v>
      </c>
      <c r="AI110" s="61" t="s">
        <v>206</v>
      </c>
      <c r="AJ110" s="61" t="s">
        <v>395</v>
      </c>
      <c r="AK110" s="67">
        <v>98.579839185695263</v>
      </c>
    </row>
    <row r="111" spans="19:57">
      <c r="S111" s="62">
        <v>110</v>
      </c>
      <c r="T111" s="61" t="s">
        <v>206</v>
      </c>
      <c r="U111" s="61" t="s">
        <v>329</v>
      </c>
      <c r="V111" s="67">
        <v>85.749292571254401</v>
      </c>
      <c r="X111" s="62">
        <v>110</v>
      </c>
      <c r="Y111" s="61" t="s">
        <v>206</v>
      </c>
      <c r="Z111" s="61" t="s">
        <v>329</v>
      </c>
      <c r="AA111" s="67">
        <v>102.23145079304118</v>
      </c>
      <c r="AC111" s="62">
        <v>110</v>
      </c>
      <c r="AD111" s="61" t="s">
        <v>206</v>
      </c>
      <c r="AE111" s="61" t="s">
        <v>329</v>
      </c>
      <c r="AF111" s="67">
        <v>108.83218478209666</v>
      </c>
      <c r="AH111" s="62">
        <v>110</v>
      </c>
      <c r="AI111" s="61" t="s">
        <v>206</v>
      </c>
      <c r="AJ111" s="61" t="s">
        <v>392</v>
      </c>
      <c r="AK111" s="67">
        <v>96.431216894928397</v>
      </c>
    </row>
    <row r="112" spans="19:57">
      <c r="S112" s="62">
        <v>111</v>
      </c>
      <c r="T112" s="61" t="s">
        <v>206</v>
      </c>
      <c r="U112" s="61" t="s">
        <v>329</v>
      </c>
      <c r="V112" s="67">
        <v>88.100387063236298</v>
      </c>
      <c r="X112" s="62">
        <v>111</v>
      </c>
      <c r="Y112" s="61" t="s">
        <v>206</v>
      </c>
      <c r="Z112" s="61" t="s">
        <v>329</v>
      </c>
      <c r="AA112" s="67">
        <v>105.31574549895187</v>
      </c>
      <c r="AC112" s="62">
        <v>111</v>
      </c>
      <c r="AD112" s="61" t="s">
        <v>206</v>
      </c>
      <c r="AE112" s="61" t="s">
        <v>329</v>
      </c>
      <c r="AF112" s="67">
        <v>105.68559241658454</v>
      </c>
      <c r="AH112" s="62">
        <v>111</v>
      </c>
      <c r="AI112" s="61" t="s">
        <v>206</v>
      </c>
      <c r="AJ112" s="61" t="s">
        <v>397</v>
      </c>
      <c r="AK112" s="67">
        <v>94.537677404194682</v>
      </c>
    </row>
    <row r="113" spans="19:37">
      <c r="S113" s="62">
        <v>112</v>
      </c>
      <c r="T113" s="61" t="s">
        <v>206</v>
      </c>
      <c r="U113" s="61" t="s">
        <v>329</v>
      </c>
      <c r="V113" s="67">
        <v>90.605422357349184</v>
      </c>
      <c r="X113" s="62">
        <v>112</v>
      </c>
      <c r="Y113" s="61" t="s">
        <v>206</v>
      </c>
      <c r="Z113" s="61" t="s">
        <v>329</v>
      </c>
      <c r="AA113" s="67">
        <v>108.51492192896791</v>
      </c>
      <c r="AC113" s="62">
        <v>112</v>
      </c>
      <c r="AD113" s="61" t="s">
        <v>206</v>
      </c>
      <c r="AE113" s="61" t="s">
        <v>329</v>
      </c>
      <c r="AF113" s="67">
        <v>102.68614533832921</v>
      </c>
      <c r="AH113" s="62">
        <v>112</v>
      </c>
      <c r="AI113" s="61" t="s">
        <v>206</v>
      </c>
      <c r="AJ113" s="61" t="s">
        <v>344</v>
      </c>
      <c r="AK113" s="67">
        <v>92.914817253794951</v>
      </c>
    </row>
    <row r="114" spans="19:37" ht="15" thickBot="1">
      <c r="S114" s="62">
        <v>113</v>
      </c>
      <c r="T114" s="61" t="s">
        <v>206</v>
      </c>
      <c r="U114" s="61" t="s">
        <v>329</v>
      </c>
      <c r="V114" s="67">
        <v>93.251993308751096</v>
      </c>
      <c r="X114" s="62">
        <v>113</v>
      </c>
      <c r="Y114" s="61" t="s">
        <v>206</v>
      </c>
      <c r="Z114" s="61" t="s">
        <v>329</v>
      </c>
      <c r="AA114" s="67">
        <v>111.81912012263376</v>
      </c>
      <c r="AC114" s="62">
        <v>113</v>
      </c>
      <c r="AD114" s="61" t="s">
        <v>206</v>
      </c>
      <c r="AE114" s="61" t="s">
        <v>329</v>
      </c>
      <c r="AF114" s="67">
        <v>99.84710533833433</v>
      </c>
      <c r="AH114" s="64">
        <v>113</v>
      </c>
      <c r="AI114" s="65" t="s">
        <v>206</v>
      </c>
      <c r="AJ114" s="65" t="s">
        <v>329</v>
      </c>
      <c r="AK114" s="68">
        <v>91.577027909931189</v>
      </c>
    </row>
    <row r="115" spans="19:37">
      <c r="S115" s="62">
        <v>114</v>
      </c>
      <c r="T115" s="61" t="s">
        <v>206</v>
      </c>
      <c r="U115" s="61" t="s">
        <v>329</v>
      </c>
      <c r="V115" s="67">
        <v>96.028398337144239</v>
      </c>
      <c r="X115" s="62">
        <v>114</v>
      </c>
      <c r="Y115" s="61" t="s">
        <v>206</v>
      </c>
      <c r="Z115" s="61" t="s">
        <v>329</v>
      </c>
      <c r="AA115" s="67">
        <v>111.81912012263376</v>
      </c>
      <c r="AC115" s="62">
        <v>114</v>
      </c>
      <c r="AD115" s="61" t="s">
        <v>206</v>
      </c>
      <c r="AE115" s="61" t="s">
        <v>329</v>
      </c>
      <c r="AF115" s="67">
        <v>97.18253158075494</v>
      </c>
    </row>
    <row r="116" spans="19:37">
      <c r="S116" s="62">
        <v>115</v>
      </c>
      <c r="T116" s="61" t="s">
        <v>206</v>
      </c>
      <c r="U116" s="61" t="s">
        <v>329</v>
      </c>
      <c r="V116" s="67">
        <v>98.923706228483141</v>
      </c>
      <c r="X116" s="62">
        <v>115</v>
      </c>
      <c r="Y116" s="61" t="s">
        <v>206</v>
      </c>
      <c r="Z116" s="61" t="s">
        <v>329</v>
      </c>
      <c r="AA116" s="67">
        <v>108.51492192896791</v>
      </c>
      <c r="AC116" s="62">
        <v>115</v>
      </c>
      <c r="AD116" s="61" t="s">
        <v>206</v>
      </c>
      <c r="AE116" s="61" t="s">
        <v>329</v>
      </c>
      <c r="AF116" s="67">
        <v>94.707150967835958</v>
      </c>
    </row>
    <row r="117" spans="19:37">
      <c r="S117" s="62">
        <v>116</v>
      </c>
      <c r="T117" s="61" t="s">
        <v>206</v>
      </c>
      <c r="U117" s="61" t="s">
        <v>329</v>
      </c>
      <c r="V117" s="67">
        <v>101.92778500684385</v>
      </c>
      <c r="X117" s="62">
        <v>116</v>
      </c>
      <c r="Y117" s="61" t="s">
        <v>206</v>
      </c>
      <c r="Z117" s="61" t="s">
        <v>329</v>
      </c>
      <c r="AA117" s="67">
        <v>105.31574549895187</v>
      </c>
      <c r="AC117" s="62">
        <v>116</v>
      </c>
      <c r="AD117" s="61" t="s">
        <v>206</v>
      </c>
      <c r="AE117" s="61" t="s">
        <v>329</v>
      </c>
      <c r="AF117" s="67">
        <v>92.43616415908005</v>
      </c>
    </row>
    <row r="118" spans="19:37">
      <c r="S118" s="62">
        <v>117</v>
      </c>
      <c r="T118" s="61" t="s">
        <v>206</v>
      </c>
      <c r="U118" s="61" t="s">
        <v>329</v>
      </c>
      <c r="V118" s="67">
        <v>105.03130197452407</v>
      </c>
      <c r="X118" s="62">
        <v>117</v>
      </c>
      <c r="Y118" s="61" t="s">
        <v>206</v>
      </c>
      <c r="Z118" s="61" t="s">
        <v>329</v>
      </c>
      <c r="AA118" s="67">
        <v>102.23145079304118</v>
      </c>
      <c r="AC118" s="62">
        <v>117</v>
      </c>
      <c r="AD118" s="61" t="s">
        <v>206</v>
      </c>
      <c r="AE118" s="61" t="s">
        <v>344</v>
      </c>
      <c r="AF118" s="67">
        <v>90.384979086375125</v>
      </c>
    </row>
    <row r="119" spans="19:37">
      <c r="S119" s="62">
        <v>118</v>
      </c>
      <c r="T119" s="61" t="s">
        <v>206</v>
      </c>
      <c r="U119" s="61" t="s">
        <v>329</v>
      </c>
      <c r="V119" s="67">
        <v>105.03130197452407</v>
      </c>
      <c r="X119" s="62">
        <v>118</v>
      </c>
      <c r="Y119" s="61" t="s">
        <v>206</v>
      </c>
      <c r="Z119" s="61" t="s">
        <v>329</v>
      </c>
      <c r="AA119" s="67">
        <v>99.272746134072463</v>
      </c>
      <c r="AC119" s="62">
        <v>118</v>
      </c>
      <c r="AD119" s="61" t="s">
        <v>206</v>
      </c>
      <c r="AE119" s="61" t="s">
        <v>394</v>
      </c>
      <c r="AF119" s="67">
        <v>88.568868370576297</v>
      </c>
    </row>
    <row r="120" spans="19:37">
      <c r="S120" s="62">
        <v>119</v>
      </c>
      <c r="T120" s="61" t="s">
        <v>206</v>
      </c>
      <c r="U120" s="61" t="s">
        <v>329</v>
      </c>
      <c r="V120" s="67">
        <v>101.92778500684385</v>
      </c>
      <c r="X120" s="62">
        <v>119</v>
      </c>
      <c r="Y120" s="61" t="s">
        <v>206</v>
      </c>
      <c r="Z120" s="61" t="s">
        <v>329</v>
      </c>
      <c r="AA120" s="67">
        <v>96.451189890275586</v>
      </c>
      <c r="AC120" s="62">
        <v>119</v>
      </c>
      <c r="AD120" s="61" t="s">
        <v>206</v>
      </c>
      <c r="AE120" s="61" t="s">
        <v>394</v>
      </c>
      <c r="AF120" s="67">
        <v>87.002554240920958</v>
      </c>
    </row>
    <row r="121" spans="19:37">
      <c r="S121" s="62">
        <v>120</v>
      </c>
      <c r="T121" s="61" t="s">
        <v>206</v>
      </c>
      <c r="U121" s="61" t="s">
        <v>329</v>
      </c>
      <c r="V121" s="67">
        <v>98.923706228483141</v>
      </c>
      <c r="X121" s="62">
        <v>120</v>
      </c>
      <c r="Y121" s="61" t="s">
        <v>206</v>
      </c>
      <c r="Z121" s="61" t="s">
        <v>329</v>
      </c>
      <c r="AA121" s="67">
        <v>93.779162131040607</v>
      </c>
      <c r="AC121" s="62">
        <v>120</v>
      </c>
      <c r="AD121" s="61" t="s">
        <v>206</v>
      </c>
      <c r="AE121" s="61" t="s">
        <v>395</v>
      </c>
      <c r="AF121" s="67">
        <v>85.69973421454975</v>
      </c>
    </row>
    <row r="122" spans="19:37" ht="15" thickBot="1">
      <c r="S122" s="62">
        <v>121</v>
      </c>
      <c r="T122" s="61" t="s">
        <v>206</v>
      </c>
      <c r="U122" s="61" t="s">
        <v>329</v>
      </c>
      <c r="V122" s="67">
        <v>96.028398337144324</v>
      </c>
      <c r="X122" s="62">
        <v>121</v>
      </c>
      <c r="Y122" s="61" t="s">
        <v>206</v>
      </c>
      <c r="Z122" s="61" t="s">
        <v>329</v>
      </c>
      <c r="AA122" s="67">
        <v>91.269796653931465</v>
      </c>
      <c r="AC122" s="64">
        <v>121</v>
      </c>
      <c r="AD122" s="65" t="s">
        <v>206</v>
      </c>
      <c r="AE122" s="65" t="s">
        <v>329</v>
      </c>
      <c r="AF122" s="68">
        <v>84.672571972537071</v>
      </c>
    </row>
    <row r="123" spans="19:37">
      <c r="S123" s="62">
        <v>122</v>
      </c>
      <c r="T123" s="61" t="s">
        <v>206</v>
      </c>
      <c r="U123" s="61" t="s">
        <v>329</v>
      </c>
      <c r="V123" s="67">
        <v>93.251993308751096</v>
      </c>
      <c r="X123" s="62">
        <v>122</v>
      </c>
      <c r="Y123" s="61" t="s">
        <v>206</v>
      </c>
      <c r="Z123" s="61" t="s">
        <v>329</v>
      </c>
      <c r="AA123" s="67">
        <v>88.936863138970665</v>
      </c>
    </row>
    <row r="124" spans="19:37">
      <c r="S124" s="62">
        <v>123</v>
      </c>
      <c r="T124" s="61" t="s">
        <v>206</v>
      </c>
      <c r="U124" s="61" t="s">
        <v>329</v>
      </c>
      <c r="V124" s="67">
        <v>90.605422357349184</v>
      </c>
      <c r="X124" s="62">
        <v>123</v>
      </c>
      <c r="Y124" s="61" t="s">
        <v>206</v>
      </c>
      <c r="Z124" s="61" t="s">
        <v>329</v>
      </c>
      <c r="AA124" s="67">
        <v>86.794589585123333</v>
      </c>
    </row>
    <row r="125" spans="19:37">
      <c r="S125" s="62">
        <v>124</v>
      </c>
      <c r="T125" s="61" t="s">
        <v>206</v>
      </c>
      <c r="U125" s="61" t="s">
        <v>329</v>
      </c>
      <c r="V125" s="67">
        <v>88.100387063236212</v>
      </c>
      <c r="X125" s="62">
        <v>124</v>
      </c>
      <c r="Y125" s="61" t="s">
        <v>206</v>
      </c>
      <c r="Z125" s="61" t="s">
        <v>329</v>
      </c>
      <c r="AA125" s="67">
        <v>84.85741717728628</v>
      </c>
    </row>
    <row r="126" spans="19:37">
      <c r="S126" s="62">
        <v>125</v>
      </c>
      <c r="T126" s="61" t="s">
        <v>206</v>
      </c>
      <c r="U126" s="61" t="s">
        <v>329</v>
      </c>
      <c r="V126" s="67">
        <v>85.749292571254401</v>
      </c>
      <c r="X126" s="62">
        <v>125</v>
      </c>
      <c r="Y126" s="61" t="s">
        <v>206</v>
      </c>
      <c r="Z126" s="61" t="s">
        <v>329</v>
      </c>
      <c r="AA126" s="67">
        <v>83.139683853440289</v>
      </c>
    </row>
    <row r="127" spans="19:37">
      <c r="S127" s="62">
        <v>126</v>
      </c>
      <c r="T127" s="61" t="s">
        <v>206</v>
      </c>
      <c r="U127" s="61" t="s">
        <v>329</v>
      </c>
      <c r="V127" s="67">
        <v>83.565133206913941</v>
      </c>
      <c r="X127" s="62">
        <v>126</v>
      </c>
      <c r="Y127" s="61" t="s">
        <v>206</v>
      </c>
      <c r="Z127" s="61" t="s">
        <v>394</v>
      </c>
      <c r="AA127" s="67">
        <v>81.655239421607234</v>
      </c>
    </row>
    <row r="128" spans="19:37">
      <c r="S128" s="62">
        <v>127</v>
      </c>
      <c r="T128" s="61" t="s">
        <v>206</v>
      </c>
      <c r="U128" s="61" t="s">
        <v>329</v>
      </c>
      <c r="V128" s="67">
        <v>81.561321316835546</v>
      </c>
      <c r="X128" s="62">
        <v>127</v>
      </c>
      <c r="Y128" s="61" t="s">
        <v>206</v>
      </c>
      <c r="Z128" s="61" t="s">
        <v>393</v>
      </c>
      <c r="AA128" s="67">
        <v>80.41700399324759</v>
      </c>
    </row>
    <row r="129" spans="19:27">
      <c r="S129" s="62">
        <v>128</v>
      </c>
      <c r="T129" s="61" t="s">
        <v>206</v>
      </c>
      <c r="U129" s="61" t="s">
        <v>329</v>
      </c>
      <c r="V129" s="67">
        <v>79.751452135036942</v>
      </c>
      <c r="X129" s="62">
        <v>128</v>
      </c>
      <c r="Y129" s="61" t="s">
        <v>206</v>
      </c>
      <c r="Z129" s="61" t="s">
        <v>344</v>
      </c>
      <c r="AA129" s="67">
        <v>79.436491929087609</v>
      </c>
    </row>
    <row r="130" spans="19:27" ht="15" thickBot="1">
      <c r="S130" s="62">
        <v>129</v>
      </c>
      <c r="T130" s="61" t="s">
        <v>206</v>
      </c>
      <c r="U130" s="61" t="s">
        <v>329</v>
      </c>
      <c r="V130" s="67">
        <v>78.149001503449526</v>
      </c>
      <c r="X130" s="64">
        <v>129</v>
      </c>
      <c r="Y130" s="65" t="s">
        <v>206</v>
      </c>
      <c r="Z130" s="65" t="s">
        <v>329</v>
      </c>
      <c r="AA130" s="68">
        <v>78.723333778810456</v>
      </c>
    </row>
    <row r="131" spans="19:27">
      <c r="S131" s="62">
        <v>130</v>
      </c>
      <c r="T131" s="61" t="s">
        <v>206</v>
      </c>
      <c r="U131" s="61" t="s">
        <v>329</v>
      </c>
      <c r="V131" s="67">
        <v>76.766959624342263</v>
      </c>
    </row>
    <row r="132" spans="19:27">
      <c r="S132" s="62">
        <v>131</v>
      </c>
      <c r="T132" s="61" t="s">
        <v>206</v>
      </c>
      <c r="U132" s="61" t="s">
        <v>392</v>
      </c>
      <c r="V132" s="67">
        <v>75.617412542249625</v>
      </c>
    </row>
    <row r="133" spans="19:27">
      <c r="S133" s="62">
        <v>132</v>
      </c>
      <c r="T133" s="61" t="s">
        <v>206</v>
      </c>
      <c r="U133" s="61" t="s">
        <v>330</v>
      </c>
      <c r="V133" s="67">
        <v>74.711092916944324</v>
      </c>
    </row>
    <row r="134" spans="19:27" ht="15" thickBot="1">
      <c r="S134" s="64">
        <v>133</v>
      </c>
      <c r="T134" s="65" t="s">
        <v>206</v>
      </c>
      <c r="U134" s="65" t="s">
        <v>329</v>
      </c>
      <c r="V134" s="68">
        <v>74.05693124714216</v>
      </c>
    </row>
  </sheetData>
  <mergeCells count="7">
    <mergeCell ref="B19:I19"/>
    <mergeCell ref="B15:F15"/>
    <mergeCell ref="B1:G1"/>
    <mergeCell ref="B2:G2"/>
    <mergeCell ref="F6:G12"/>
    <mergeCell ref="B10:C10"/>
    <mergeCell ref="B6:C6"/>
  </mergeCells>
  <dataValidations count="2">
    <dataValidation type="list" allowBlank="1" showInputMessage="1" showErrorMessage="1" sqref="C11:C13" xr:uid="{374B8886-41FE-47DA-846B-8A62C5EC2951}">
      <formula1>$D$10:$D$13</formula1>
    </dataValidation>
    <dataValidation type="list" allowBlank="1" showInputMessage="1" showErrorMessage="1" sqref="E7" xr:uid="{9D714A6F-4F71-4FAD-9AC5-13D87BA1988A}">
      <formula1>$H$16:$H$17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01E343-BE5A-4FC8-93CD-9B762C75606F}">
          <x14:formula1>
            <xm:f>'Tipos de Aço'!$A$2:$A$49</xm:f>
          </x14:formula1>
          <xm:sqref>B17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0D19-2833-4F5C-9EE6-F3B7E52635FF}">
  <sheetPr codeName="Plan12"/>
  <dimension ref="B1:R56"/>
  <sheetViews>
    <sheetView zoomScale="70" zoomScaleNormal="70" workbookViewId="0">
      <selection activeCell="G9" sqref="G9"/>
    </sheetView>
  </sheetViews>
  <sheetFormatPr defaultRowHeight="14.25"/>
  <cols>
    <col min="1" max="1" width="9" style="60"/>
    <col min="2" max="2" width="18.25" style="60" bestFit="1" customWidth="1"/>
    <col min="3" max="3" width="15.5" style="60" bestFit="1" customWidth="1"/>
    <col min="4" max="4" width="10.625" style="60" bestFit="1" customWidth="1"/>
    <col min="5" max="5" width="13.75" style="60" bestFit="1" customWidth="1"/>
    <col min="6" max="6" width="11.375" style="60" bestFit="1" customWidth="1"/>
    <col min="7" max="7" width="11.125" style="60" customWidth="1"/>
    <col min="8" max="8" width="15.25" style="60" bestFit="1" customWidth="1"/>
    <col min="9" max="9" width="13.25" style="60" bestFit="1" customWidth="1"/>
    <col min="10" max="16384" width="9" style="60"/>
  </cols>
  <sheetData>
    <row r="1" spans="2:11">
      <c r="B1" s="302" t="s">
        <v>180</v>
      </c>
      <c r="C1" s="105" t="s">
        <v>175</v>
      </c>
      <c r="D1" s="97" t="s">
        <v>176</v>
      </c>
      <c r="E1" s="97" t="s">
        <v>177</v>
      </c>
      <c r="F1" s="106" t="s">
        <v>178</v>
      </c>
      <c r="G1" s="300" t="s">
        <v>179</v>
      </c>
      <c r="I1" s="113" t="s">
        <v>182</v>
      </c>
      <c r="K1" s="60" t="s">
        <v>183</v>
      </c>
    </row>
    <row r="2" spans="2:11" ht="15" thickBot="1">
      <c r="B2" s="303"/>
      <c r="C2" s="98" t="s">
        <v>181</v>
      </c>
      <c r="D2" s="111" t="s">
        <v>181</v>
      </c>
      <c r="E2" s="111" t="s">
        <v>181</v>
      </c>
      <c r="F2" s="112" t="s">
        <v>181</v>
      </c>
      <c r="G2" s="301"/>
      <c r="I2" s="115" t="s">
        <v>180</v>
      </c>
    </row>
    <row r="3" spans="2:11" ht="15" thickBot="1">
      <c r="B3" s="109">
        <v>1</v>
      </c>
      <c r="C3" s="107">
        <v>500</v>
      </c>
      <c r="D3" s="100">
        <v>0</v>
      </c>
      <c r="E3" s="100">
        <v>100</v>
      </c>
      <c r="F3" s="108">
        <v>0</v>
      </c>
      <c r="G3" s="110">
        <v>10</v>
      </c>
      <c r="I3" s="114">
        <v>6</v>
      </c>
      <c r="K3" s="60" t="s">
        <v>184</v>
      </c>
    </row>
    <row r="4" spans="2:11">
      <c r="B4" s="101">
        <v>2</v>
      </c>
      <c r="C4" s="11">
        <v>500</v>
      </c>
      <c r="D4" s="1">
        <v>0</v>
      </c>
      <c r="E4" s="1">
        <v>100</v>
      </c>
      <c r="F4" s="14">
        <v>0</v>
      </c>
      <c r="G4" s="103">
        <v>10</v>
      </c>
    </row>
    <row r="5" spans="2:11">
      <c r="B5" s="101">
        <v>3</v>
      </c>
      <c r="C5" s="11">
        <v>500</v>
      </c>
      <c r="D5" s="1">
        <v>0</v>
      </c>
      <c r="E5" s="1">
        <v>100</v>
      </c>
      <c r="F5" s="14">
        <v>0</v>
      </c>
      <c r="G5" s="103">
        <v>10</v>
      </c>
    </row>
    <row r="6" spans="2:11">
      <c r="B6" s="101">
        <v>4</v>
      </c>
      <c r="C6" s="11">
        <v>500</v>
      </c>
      <c r="D6" s="1">
        <v>0</v>
      </c>
      <c r="E6" s="1">
        <v>100</v>
      </c>
      <c r="F6" s="14">
        <v>0</v>
      </c>
      <c r="G6" s="103">
        <v>10</v>
      </c>
      <c r="K6" s="60" t="s">
        <v>185</v>
      </c>
    </row>
    <row r="7" spans="2:11">
      <c r="B7" s="101">
        <v>5</v>
      </c>
      <c r="C7" s="11">
        <v>500</v>
      </c>
      <c r="D7" s="1">
        <v>0</v>
      </c>
      <c r="E7" s="1">
        <v>100</v>
      </c>
      <c r="F7" s="14">
        <v>0</v>
      </c>
      <c r="G7" s="103">
        <v>10</v>
      </c>
    </row>
    <row r="8" spans="2:11">
      <c r="B8" s="101">
        <v>6</v>
      </c>
      <c r="C8" s="11">
        <v>2500</v>
      </c>
      <c r="D8" s="1">
        <v>55</v>
      </c>
      <c r="E8" s="1">
        <v>130</v>
      </c>
      <c r="F8" s="14">
        <v>55</v>
      </c>
      <c r="G8" s="103">
        <v>20</v>
      </c>
    </row>
    <row r="9" spans="2:11">
      <c r="B9" s="101">
        <v>7</v>
      </c>
      <c r="C9" s="11">
        <v>500</v>
      </c>
      <c r="D9" s="1">
        <v>0</v>
      </c>
      <c r="E9" s="1">
        <v>100</v>
      </c>
      <c r="F9" s="14">
        <v>0</v>
      </c>
      <c r="G9" s="103">
        <v>10</v>
      </c>
    </row>
    <row r="10" spans="2:11">
      <c r="B10" s="130">
        <v>8</v>
      </c>
      <c r="C10" s="131">
        <v>500</v>
      </c>
      <c r="D10" s="132">
        <v>0</v>
      </c>
      <c r="E10" s="132">
        <v>150</v>
      </c>
      <c r="F10" s="133">
        <v>0</v>
      </c>
      <c r="G10" s="134">
        <v>36</v>
      </c>
      <c r="K10" s="60" t="s">
        <v>186</v>
      </c>
    </row>
    <row r="11" spans="2:11">
      <c r="B11" s="130">
        <v>9</v>
      </c>
      <c r="C11" s="131">
        <v>2500</v>
      </c>
      <c r="D11" s="132">
        <v>0</v>
      </c>
      <c r="E11" s="132">
        <v>80</v>
      </c>
      <c r="F11" s="133">
        <v>0</v>
      </c>
      <c r="G11" s="134">
        <v>32</v>
      </c>
    </row>
    <row r="12" spans="2:11">
      <c r="B12" s="130">
        <v>10</v>
      </c>
      <c r="C12" s="131">
        <v>500</v>
      </c>
      <c r="D12" s="132">
        <v>0</v>
      </c>
      <c r="E12" s="132">
        <v>50</v>
      </c>
      <c r="F12" s="133">
        <v>0</v>
      </c>
      <c r="G12" s="134">
        <v>10</v>
      </c>
    </row>
    <row r="13" spans="2:11" ht="15" thickBot="1">
      <c r="B13" s="102">
        <v>11</v>
      </c>
      <c r="C13" s="21"/>
      <c r="D13" s="37"/>
      <c r="E13" s="37"/>
      <c r="F13" s="99"/>
      <c r="G13" s="104"/>
      <c r="K13" s="60" t="s">
        <v>187</v>
      </c>
    </row>
    <row r="14" spans="2:11">
      <c r="B14" s="253"/>
      <c r="C14" s="253"/>
      <c r="D14" s="253"/>
      <c r="E14" s="254"/>
      <c r="F14" s="253"/>
      <c r="G14" s="255"/>
    </row>
    <row r="15" spans="2:11">
      <c r="B15" s="253"/>
      <c r="C15" s="253"/>
      <c r="D15" s="253"/>
      <c r="E15" s="254"/>
      <c r="F15" s="253"/>
      <c r="G15" s="255"/>
    </row>
    <row r="16" spans="2:11">
      <c r="B16" s="253"/>
      <c r="C16" s="253"/>
      <c r="D16" s="253"/>
      <c r="E16" s="254"/>
      <c r="F16" s="253"/>
      <c r="G16" s="255"/>
      <c r="K16" s="60" t="s">
        <v>188</v>
      </c>
    </row>
    <row r="17" spans="2:11">
      <c r="B17" s="253"/>
      <c r="C17" s="253"/>
      <c r="D17" s="253"/>
      <c r="E17" s="254"/>
      <c r="F17" s="253"/>
      <c r="G17" s="255"/>
    </row>
    <row r="18" spans="2:11">
      <c r="B18" s="253"/>
      <c r="C18" s="253"/>
      <c r="D18" s="253"/>
      <c r="E18" s="254"/>
      <c r="F18" s="253"/>
      <c r="G18" s="255"/>
    </row>
    <row r="19" spans="2:11">
      <c r="B19" s="253"/>
      <c r="C19" s="253"/>
      <c r="D19" s="253"/>
      <c r="E19" s="254"/>
      <c r="F19" s="253"/>
      <c r="G19" s="255"/>
      <c r="K19" s="60" t="s">
        <v>189</v>
      </c>
    </row>
    <row r="20" spans="2:11">
      <c r="B20" s="253"/>
      <c r="C20" s="253"/>
      <c r="D20" s="253"/>
      <c r="E20" s="254"/>
      <c r="F20" s="253"/>
      <c r="G20" s="255"/>
    </row>
    <row r="21" spans="2:11">
      <c r="B21" s="253"/>
      <c r="C21" s="253"/>
      <c r="D21" s="253"/>
      <c r="E21" s="254"/>
      <c r="F21" s="253"/>
      <c r="G21" s="255"/>
    </row>
    <row r="22" spans="2:11">
      <c r="B22" s="253"/>
      <c r="C22" s="253"/>
      <c r="D22" s="253"/>
      <c r="E22" s="254"/>
      <c r="F22" s="253"/>
      <c r="G22" s="255"/>
      <c r="K22" s="60" t="s">
        <v>190</v>
      </c>
    </row>
    <row r="23" spans="2:11">
      <c r="B23" s="253"/>
      <c r="C23" s="253"/>
      <c r="D23" s="253"/>
      <c r="E23" s="254"/>
      <c r="F23" s="253"/>
      <c r="G23" s="255"/>
    </row>
    <row r="24" spans="2:11">
      <c r="B24" s="253"/>
      <c r="C24" s="253"/>
      <c r="D24" s="253"/>
      <c r="E24" s="254"/>
      <c r="F24" s="253"/>
      <c r="G24" s="255"/>
    </row>
    <row r="25" spans="2:11">
      <c r="B25" s="253"/>
      <c r="C25" s="253"/>
      <c r="D25" s="253"/>
      <c r="E25" s="254"/>
      <c r="F25" s="253"/>
      <c r="G25" s="255"/>
      <c r="J25" s="60" t="s">
        <v>209</v>
      </c>
      <c r="K25" s="60" t="s">
        <v>204</v>
      </c>
    </row>
    <row r="26" spans="2:11">
      <c r="B26" s="253"/>
      <c r="C26" s="253"/>
      <c r="D26" s="253"/>
      <c r="E26" s="254"/>
      <c r="F26" s="253"/>
      <c r="G26" s="255"/>
    </row>
    <row r="27" spans="2:11">
      <c r="B27" s="253"/>
      <c r="C27" s="253"/>
      <c r="D27" s="253"/>
      <c r="E27" s="254"/>
      <c r="F27" s="253"/>
      <c r="G27" s="255"/>
    </row>
    <row r="28" spans="2:11">
      <c r="B28" s="253"/>
      <c r="C28" s="253"/>
      <c r="D28" s="253"/>
      <c r="E28" s="254"/>
      <c r="F28" s="253"/>
      <c r="G28" s="255"/>
      <c r="K28" s="60" t="s">
        <v>207</v>
      </c>
    </row>
    <row r="29" spans="2:11" ht="16.5">
      <c r="B29" s="253"/>
      <c r="C29" s="253"/>
      <c r="D29" s="253"/>
      <c r="E29" s="254"/>
      <c r="F29" s="253"/>
      <c r="G29" s="255"/>
      <c r="I29" s="219"/>
    </row>
    <row r="30" spans="2:11">
      <c r="B30" s="253"/>
      <c r="C30" s="253"/>
      <c r="D30" s="253"/>
      <c r="E30" s="254"/>
      <c r="F30" s="253"/>
      <c r="G30" s="255"/>
    </row>
    <row r="31" spans="2:11">
      <c r="B31" s="253"/>
      <c r="C31" s="253"/>
      <c r="D31" s="253"/>
      <c r="E31" s="254"/>
      <c r="F31" s="253"/>
      <c r="G31" s="255"/>
      <c r="K31" s="60" t="s">
        <v>208</v>
      </c>
    </row>
    <row r="32" spans="2:11">
      <c r="B32" s="253"/>
      <c r="C32" s="253"/>
      <c r="D32" s="253"/>
      <c r="E32" s="254"/>
      <c r="F32" s="253"/>
      <c r="G32" s="255"/>
      <c r="H32" s="251"/>
      <c r="I32" s="252"/>
    </row>
    <row r="33" spans="2:9">
      <c r="B33" s="253"/>
      <c r="C33" s="253"/>
      <c r="D33" s="253"/>
      <c r="E33" s="254"/>
      <c r="F33" s="253"/>
      <c r="G33" s="255"/>
      <c r="H33" s="256"/>
      <c r="I33" s="257"/>
    </row>
    <row r="34" spans="2:9">
      <c r="B34" s="253"/>
      <c r="C34" s="253"/>
      <c r="D34" s="253"/>
      <c r="E34" s="254"/>
      <c r="F34" s="253"/>
      <c r="G34" s="255"/>
      <c r="H34" s="256"/>
      <c r="I34" s="257"/>
    </row>
    <row r="35" spans="2:9">
      <c r="H35" s="256"/>
      <c r="I35" s="257"/>
    </row>
    <row r="36" spans="2:9">
      <c r="H36" s="256"/>
      <c r="I36" s="257"/>
    </row>
    <row r="37" spans="2:9">
      <c r="H37" s="256"/>
      <c r="I37" s="257"/>
    </row>
    <row r="38" spans="2:9">
      <c r="H38" s="256"/>
      <c r="I38" s="257"/>
    </row>
    <row r="39" spans="2:9">
      <c r="H39" s="256"/>
      <c r="I39" s="257"/>
    </row>
    <row r="40" spans="2:9">
      <c r="H40" s="256"/>
      <c r="I40" s="257"/>
    </row>
    <row r="41" spans="2:9">
      <c r="H41" s="256"/>
      <c r="I41" s="257"/>
    </row>
    <row r="42" spans="2:9">
      <c r="H42" s="256"/>
      <c r="I42" s="257"/>
    </row>
    <row r="43" spans="2:9">
      <c r="H43" s="256"/>
      <c r="I43" s="257"/>
    </row>
    <row r="44" spans="2:9">
      <c r="H44" s="256"/>
      <c r="I44" s="257"/>
    </row>
    <row r="45" spans="2:9">
      <c r="H45" s="256"/>
      <c r="I45" s="257"/>
    </row>
    <row r="46" spans="2:9">
      <c r="H46" s="256"/>
      <c r="I46" s="257"/>
    </row>
    <row r="47" spans="2:9">
      <c r="H47" s="256"/>
      <c r="I47" s="257"/>
    </row>
    <row r="48" spans="2:9">
      <c r="H48" s="256"/>
      <c r="I48" s="257"/>
    </row>
    <row r="49" spans="8:18">
      <c r="H49" s="256"/>
      <c r="I49" s="257"/>
    </row>
    <row r="50" spans="8:18">
      <c r="H50" s="256"/>
      <c r="I50" s="257"/>
    </row>
    <row r="51" spans="8:18">
      <c r="H51" s="256"/>
      <c r="I51" s="257"/>
    </row>
    <row r="52" spans="8:18">
      <c r="H52" s="256"/>
      <c r="I52" s="257"/>
    </row>
    <row r="53" spans="8:18">
      <c r="H53" s="256"/>
      <c r="I53" s="257"/>
    </row>
    <row r="56" spans="8:18">
      <c r="R56" s="60" t="s">
        <v>203</v>
      </c>
    </row>
  </sheetData>
  <mergeCells count="2">
    <mergeCell ref="G1:G2"/>
    <mergeCell ref="B1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BDBD2-89BF-4805-BE7C-6334F49C0F71}">
  <sheetPr codeName="Planilha2"/>
  <dimension ref="A1:H46"/>
  <sheetViews>
    <sheetView workbookViewId="0">
      <selection activeCell="I28" sqref="I28"/>
    </sheetView>
  </sheetViews>
  <sheetFormatPr defaultRowHeight="14.25"/>
  <cols>
    <col min="5" max="8" width="13.75" customWidth="1"/>
  </cols>
  <sheetData>
    <row r="1" spans="1:8" ht="18">
      <c r="A1" s="184" t="s">
        <v>286</v>
      </c>
      <c r="B1" s="304" t="s">
        <v>287</v>
      </c>
      <c r="C1" s="185" t="s">
        <v>288</v>
      </c>
      <c r="D1" s="186" t="s">
        <v>289</v>
      </c>
      <c r="E1" s="306" t="s">
        <v>290</v>
      </c>
      <c r="F1" s="306" t="s">
        <v>291</v>
      </c>
      <c r="G1" s="306" t="s">
        <v>292</v>
      </c>
      <c r="H1" s="308" t="s">
        <v>293</v>
      </c>
    </row>
    <row r="2" spans="1:8" ht="15">
      <c r="A2" s="187" t="s">
        <v>294</v>
      </c>
      <c r="B2" s="305"/>
      <c r="C2" s="188" t="s">
        <v>294</v>
      </c>
      <c r="D2" s="188" t="s">
        <v>295</v>
      </c>
      <c r="E2" s="307"/>
      <c r="F2" s="307"/>
      <c r="G2" s="307"/>
      <c r="H2" s="309"/>
    </row>
    <row r="3" spans="1:8">
      <c r="A3" s="189">
        <v>500</v>
      </c>
      <c r="B3" s="190"/>
      <c r="C3" s="191"/>
      <c r="D3" s="192"/>
      <c r="E3" s="193"/>
      <c r="F3" s="193"/>
      <c r="G3" s="193"/>
      <c r="H3" s="194"/>
    </row>
    <row r="4" spans="1:8">
      <c r="A4" s="189">
        <v>600</v>
      </c>
      <c r="B4" s="195"/>
      <c r="C4" s="196"/>
      <c r="D4" s="197"/>
      <c r="E4" s="198"/>
      <c r="F4" s="198"/>
      <c r="G4" s="198"/>
      <c r="H4" s="199"/>
    </row>
    <row r="5" spans="1:8">
      <c r="A5" s="189">
        <v>700</v>
      </c>
      <c r="B5" s="195"/>
      <c r="C5" s="196"/>
      <c r="D5" s="197"/>
      <c r="E5" s="198"/>
      <c r="F5" s="198"/>
      <c r="G5" s="198"/>
      <c r="H5" s="199"/>
    </row>
    <row r="6" spans="1:8">
      <c r="A6" s="189">
        <v>800</v>
      </c>
      <c r="B6" s="195"/>
      <c r="C6" s="196"/>
      <c r="D6" s="197"/>
      <c r="E6" s="198"/>
      <c r="F6" s="198"/>
      <c r="G6" s="198"/>
      <c r="H6" s="199"/>
    </row>
    <row r="7" spans="1:8">
      <c r="A7" s="189">
        <v>900</v>
      </c>
      <c r="B7" s="195"/>
      <c r="C7" s="196"/>
      <c r="D7" s="197"/>
      <c r="E7" s="198"/>
      <c r="F7" s="198"/>
      <c r="G7" s="198"/>
      <c r="H7" s="199"/>
    </row>
    <row r="8" spans="1:8">
      <c r="A8" s="189">
        <v>1000</v>
      </c>
      <c r="B8" s="195"/>
      <c r="C8" s="196"/>
      <c r="D8" s="197"/>
      <c r="E8" s="198"/>
      <c r="F8" s="198"/>
      <c r="G8" s="198"/>
      <c r="H8" s="199"/>
    </row>
    <row r="9" spans="1:8">
      <c r="A9" s="189">
        <v>1100</v>
      </c>
      <c r="B9" s="195"/>
      <c r="C9" s="196"/>
      <c r="D9" s="197"/>
      <c r="E9" s="198"/>
      <c r="F9" s="198"/>
      <c r="G9" s="198"/>
      <c r="H9" s="199"/>
    </row>
    <row r="10" spans="1:8">
      <c r="A10" s="189">
        <v>1200</v>
      </c>
      <c r="B10" s="195"/>
      <c r="C10" s="196"/>
      <c r="D10" s="197"/>
      <c r="E10" s="198"/>
      <c r="F10" s="198"/>
      <c r="G10" s="198"/>
      <c r="H10" s="199"/>
    </row>
    <row r="11" spans="1:8">
      <c r="A11" s="189">
        <v>1300</v>
      </c>
      <c r="B11" s="195"/>
      <c r="C11" s="196"/>
      <c r="D11" s="197"/>
      <c r="E11" s="198"/>
      <c r="F11" s="198"/>
      <c r="G11" s="198"/>
      <c r="H11" s="199"/>
    </row>
    <row r="12" spans="1:8">
      <c r="A12" s="189">
        <v>1400</v>
      </c>
      <c r="B12" s="195"/>
      <c r="C12" s="196"/>
      <c r="D12" s="197"/>
      <c r="E12" s="198"/>
      <c r="F12" s="198"/>
      <c r="G12" s="198"/>
      <c r="H12" s="199"/>
    </row>
    <row r="13" spans="1:8">
      <c r="A13" s="189">
        <v>1500</v>
      </c>
      <c r="B13" s="195"/>
      <c r="C13" s="196"/>
      <c r="D13" s="197"/>
      <c r="E13" s="198"/>
      <c r="F13" s="198"/>
      <c r="G13" s="198"/>
      <c r="H13" s="199"/>
    </row>
    <row r="14" spans="1:8">
      <c r="A14" s="189">
        <v>1600</v>
      </c>
      <c r="B14" s="195"/>
      <c r="C14" s="196"/>
      <c r="D14" s="197"/>
      <c r="E14" s="198"/>
      <c r="F14" s="198"/>
      <c r="G14" s="198"/>
      <c r="H14" s="199"/>
    </row>
    <row r="15" spans="1:8">
      <c r="A15" s="189">
        <v>1700</v>
      </c>
      <c r="B15" s="195"/>
      <c r="C15" s="196"/>
      <c r="D15" s="197"/>
      <c r="E15" s="198"/>
      <c r="F15" s="198"/>
      <c r="G15" s="198"/>
      <c r="H15" s="199"/>
    </row>
    <row r="16" spans="1:8">
      <c r="A16" s="189">
        <v>1800</v>
      </c>
      <c r="B16" s="195"/>
      <c r="C16" s="196"/>
      <c r="D16" s="197"/>
      <c r="E16" s="198"/>
      <c r="F16" s="198"/>
      <c r="G16" s="198"/>
      <c r="H16" s="199"/>
    </row>
    <row r="17" spans="1:8">
      <c r="A17" s="189">
        <v>1900</v>
      </c>
      <c r="B17" s="195"/>
      <c r="C17" s="196"/>
      <c r="D17" s="197"/>
      <c r="E17" s="198"/>
      <c r="F17" s="198"/>
      <c r="G17" s="198"/>
      <c r="H17" s="199"/>
    </row>
    <row r="18" spans="1:8">
      <c r="A18" s="189">
        <v>2000</v>
      </c>
      <c r="B18" s="195"/>
      <c r="C18" s="196"/>
      <c r="D18" s="197"/>
      <c r="E18" s="198"/>
      <c r="F18" s="198"/>
      <c r="G18" s="198"/>
      <c r="H18" s="199"/>
    </row>
    <row r="19" spans="1:8">
      <c r="A19" s="189">
        <v>2100</v>
      </c>
      <c r="B19" s="195"/>
      <c r="C19" s="196"/>
      <c r="D19" s="197"/>
      <c r="E19" s="198"/>
      <c r="F19" s="198"/>
      <c r="G19" s="198"/>
      <c r="H19" s="199"/>
    </row>
    <row r="20" spans="1:8">
      <c r="A20" s="189">
        <v>2200</v>
      </c>
      <c r="B20" s="195"/>
      <c r="C20" s="196"/>
      <c r="D20" s="197"/>
      <c r="E20" s="198"/>
      <c r="F20" s="198"/>
      <c r="G20" s="198"/>
      <c r="H20" s="199"/>
    </row>
    <row r="21" spans="1:8">
      <c r="A21" s="189">
        <v>2300</v>
      </c>
      <c r="B21" s="195"/>
      <c r="C21" s="196"/>
      <c r="D21" s="197"/>
      <c r="E21" s="198"/>
      <c r="F21" s="198"/>
      <c r="G21" s="198"/>
      <c r="H21" s="199"/>
    </row>
    <row r="22" spans="1:8">
      <c r="A22" s="189">
        <v>2400</v>
      </c>
      <c r="B22" s="195"/>
      <c r="C22" s="196"/>
      <c r="D22" s="197"/>
      <c r="E22" s="198"/>
      <c r="F22" s="198"/>
      <c r="G22" s="198"/>
      <c r="H22" s="199"/>
    </row>
    <row r="23" spans="1:8">
      <c r="A23" s="189">
        <v>2500</v>
      </c>
      <c r="B23" s="200"/>
      <c r="C23" s="201"/>
      <c r="D23" s="202"/>
      <c r="E23" s="203"/>
      <c r="F23" s="203"/>
      <c r="G23" s="203"/>
      <c r="H23" s="204"/>
    </row>
    <row r="25" spans="1:8" ht="15">
      <c r="A25" s="205" t="s">
        <v>272</v>
      </c>
      <c r="B25" s="206" t="s">
        <v>296</v>
      </c>
      <c r="C25" s="205" t="s">
        <v>297</v>
      </c>
      <c r="E25" s="205" t="s">
        <v>298</v>
      </c>
      <c r="F25" s="206" t="s">
        <v>296</v>
      </c>
      <c r="G25" s="205" t="s">
        <v>297</v>
      </c>
    </row>
    <row r="26" spans="1:8">
      <c r="A26" s="207"/>
      <c r="B26" s="208"/>
      <c r="C26" s="209">
        <v>500</v>
      </c>
      <c r="E26" s="207"/>
      <c r="F26" s="208"/>
      <c r="G26" s="209"/>
    </row>
    <row r="27" spans="1:8">
      <c r="A27" s="210"/>
      <c r="B27" s="211"/>
      <c r="C27" s="212">
        <v>600</v>
      </c>
      <c r="E27" s="210"/>
      <c r="F27" s="211"/>
      <c r="G27" s="212"/>
    </row>
    <row r="28" spans="1:8">
      <c r="A28" s="210"/>
      <c r="B28" s="211"/>
      <c r="C28" s="212">
        <v>700</v>
      </c>
      <c r="E28" s="210"/>
      <c r="F28" s="211"/>
      <c r="G28" s="212"/>
    </row>
    <row r="29" spans="1:8">
      <c r="A29" s="210"/>
      <c r="B29" s="211"/>
      <c r="C29" s="212">
        <v>800</v>
      </c>
      <c r="E29" s="210"/>
      <c r="F29" s="211"/>
      <c r="G29" s="212"/>
    </row>
    <row r="30" spans="1:8">
      <c r="A30" s="210"/>
      <c r="B30" s="211"/>
      <c r="C30" s="212">
        <v>900</v>
      </c>
      <c r="E30" s="210"/>
      <c r="F30" s="211"/>
      <c r="G30" s="212"/>
    </row>
    <row r="31" spans="1:8">
      <c r="A31" s="210"/>
      <c r="B31" s="211"/>
      <c r="C31" s="212">
        <v>1000</v>
      </c>
      <c r="E31" s="210"/>
      <c r="F31" s="211"/>
      <c r="G31" s="212"/>
    </row>
    <row r="32" spans="1:8">
      <c r="A32" s="210"/>
      <c r="B32" s="211"/>
      <c r="C32" s="212">
        <v>1100</v>
      </c>
      <c r="E32" s="210"/>
      <c r="F32" s="211"/>
      <c r="G32" s="212"/>
    </row>
    <row r="33" spans="1:7">
      <c r="A33" s="210"/>
      <c r="B33" s="211"/>
      <c r="C33" s="212">
        <v>1200</v>
      </c>
      <c r="E33" s="210"/>
      <c r="F33" s="211"/>
      <c r="G33" s="212"/>
    </row>
    <row r="34" spans="1:7">
      <c r="A34" s="210"/>
      <c r="B34" s="211"/>
      <c r="C34" s="212">
        <v>1300</v>
      </c>
      <c r="E34" s="210"/>
      <c r="F34" s="211"/>
      <c r="G34" s="212"/>
    </row>
    <row r="35" spans="1:7">
      <c r="A35" s="210"/>
      <c r="B35" s="211"/>
      <c r="C35" s="212">
        <v>1400</v>
      </c>
      <c r="E35" s="210"/>
      <c r="F35" s="211"/>
      <c r="G35" s="212"/>
    </row>
    <row r="36" spans="1:7">
      <c r="A36" s="210"/>
      <c r="B36" s="211"/>
      <c r="C36" s="212">
        <v>1500</v>
      </c>
      <c r="E36" s="210"/>
      <c r="F36" s="211"/>
      <c r="G36" s="212"/>
    </row>
    <row r="37" spans="1:7">
      <c r="A37" s="210"/>
      <c r="B37" s="211"/>
      <c r="C37" s="212">
        <v>1600</v>
      </c>
      <c r="E37" s="210"/>
      <c r="F37" s="211"/>
      <c r="G37" s="212"/>
    </row>
    <row r="38" spans="1:7">
      <c r="A38" s="210"/>
      <c r="B38" s="211"/>
      <c r="C38" s="212">
        <v>1700</v>
      </c>
      <c r="E38" s="210"/>
      <c r="F38" s="211"/>
      <c r="G38" s="212"/>
    </row>
    <row r="39" spans="1:7">
      <c r="A39" s="210"/>
      <c r="B39" s="211"/>
      <c r="C39" s="212">
        <v>1800</v>
      </c>
      <c r="E39" s="210"/>
      <c r="F39" s="211"/>
      <c r="G39" s="212"/>
    </row>
    <row r="40" spans="1:7">
      <c r="A40" s="210"/>
      <c r="B40" s="211"/>
      <c r="C40" s="212">
        <v>1900</v>
      </c>
      <c r="E40" s="210"/>
      <c r="F40" s="211"/>
      <c r="G40" s="212"/>
    </row>
    <row r="41" spans="1:7">
      <c r="A41" s="210"/>
      <c r="B41" s="211"/>
      <c r="C41" s="212">
        <v>2000</v>
      </c>
      <c r="E41" s="210"/>
      <c r="F41" s="211"/>
      <c r="G41" s="212"/>
    </row>
    <row r="42" spans="1:7">
      <c r="A42" s="210"/>
      <c r="B42" s="211"/>
      <c r="C42" s="212">
        <v>2100</v>
      </c>
      <c r="E42" s="210"/>
      <c r="F42" s="211"/>
      <c r="G42" s="212"/>
    </row>
    <row r="43" spans="1:7">
      <c r="A43" s="210"/>
      <c r="B43" s="211"/>
      <c r="C43" s="212">
        <v>2200</v>
      </c>
      <c r="E43" s="210"/>
      <c r="F43" s="211"/>
      <c r="G43" s="212"/>
    </row>
    <row r="44" spans="1:7">
      <c r="A44" s="210"/>
      <c r="B44" s="211"/>
      <c r="C44" s="212">
        <v>2300</v>
      </c>
      <c r="E44" s="210"/>
      <c r="F44" s="211"/>
      <c r="G44" s="212"/>
    </row>
    <row r="45" spans="1:7">
      <c r="A45" s="210"/>
      <c r="B45" s="211"/>
      <c r="C45" s="212">
        <v>2400</v>
      </c>
      <c r="E45" s="210"/>
      <c r="F45" s="211"/>
      <c r="G45" s="212"/>
    </row>
    <row r="46" spans="1:7">
      <c r="A46" s="213"/>
      <c r="B46" s="214"/>
      <c r="C46" s="215">
        <v>2500</v>
      </c>
      <c r="E46" s="213"/>
      <c r="F46" s="214"/>
      <c r="G46" s="215"/>
    </row>
  </sheetData>
  <mergeCells count="5">
    <mergeCell ref="B1:B2"/>
    <mergeCell ref="E1:E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"/>
  <dimension ref="A1:H20"/>
  <sheetViews>
    <sheetView workbookViewId="0">
      <selection activeCell="I12" sqref="I12"/>
    </sheetView>
  </sheetViews>
  <sheetFormatPr defaultRowHeight="14.25"/>
  <cols>
    <col min="1" max="1" width="13.25" style="48" customWidth="1"/>
    <col min="2" max="8" width="9" style="43"/>
    <col min="9" max="16384" width="9" style="46"/>
  </cols>
  <sheetData>
    <row r="1" spans="1:7" ht="28.5" customHeight="1">
      <c r="A1" s="313" t="s">
        <v>27</v>
      </c>
      <c r="B1" s="314">
        <v>2</v>
      </c>
      <c r="C1" s="310" t="s">
        <v>28</v>
      </c>
      <c r="D1" s="310"/>
      <c r="E1" s="310"/>
      <c r="F1" s="310"/>
      <c r="G1" s="310"/>
    </row>
    <row r="2" spans="1:7">
      <c r="A2" s="313"/>
      <c r="B2" s="314"/>
      <c r="C2" s="310" t="s">
        <v>29</v>
      </c>
      <c r="D2" s="310"/>
      <c r="E2" s="310"/>
      <c r="F2" s="310"/>
      <c r="G2" s="310"/>
    </row>
    <row r="3" spans="1:7">
      <c r="A3" s="311" t="s">
        <v>123</v>
      </c>
      <c r="B3" s="311"/>
      <c r="C3" s="311"/>
      <c r="D3" s="311"/>
      <c r="E3" s="311"/>
      <c r="F3" s="311"/>
      <c r="G3" s="311"/>
    </row>
    <row r="5" spans="1:7" ht="28.5" customHeight="1">
      <c r="A5" s="313" t="s">
        <v>332</v>
      </c>
      <c r="B5" s="314">
        <v>2</v>
      </c>
      <c r="C5" s="312" t="s">
        <v>125</v>
      </c>
      <c r="D5" s="312"/>
      <c r="E5" s="312"/>
      <c r="F5" s="312"/>
      <c r="G5" s="312"/>
    </row>
    <row r="6" spans="1:7">
      <c r="A6" s="313"/>
      <c r="B6" s="314"/>
      <c r="C6" s="312" t="s">
        <v>126</v>
      </c>
      <c r="D6" s="312"/>
      <c r="E6" s="312"/>
      <c r="F6" s="312"/>
      <c r="G6" s="312"/>
    </row>
    <row r="8" spans="1:7" ht="42.75">
      <c r="A8" s="58" t="s">
        <v>127</v>
      </c>
      <c r="B8" s="59">
        <v>2</v>
      </c>
      <c r="C8" s="312" t="s">
        <v>128</v>
      </c>
      <c r="D8" s="312"/>
      <c r="E8" s="312"/>
      <c r="F8" s="312"/>
      <c r="G8" s="312"/>
    </row>
    <row r="9" spans="1:7">
      <c r="A9" s="83"/>
      <c r="B9" s="87"/>
      <c r="C9" s="312" t="s">
        <v>196</v>
      </c>
      <c r="D9" s="312"/>
      <c r="E9" s="312"/>
      <c r="F9" s="312"/>
      <c r="G9" s="312"/>
    </row>
    <row r="11" spans="1:7" ht="42.75" customHeight="1">
      <c r="A11" s="315" t="s">
        <v>129</v>
      </c>
      <c r="B11" s="314">
        <v>2</v>
      </c>
      <c r="C11" s="312" t="s">
        <v>130</v>
      </c>
      <c r="D11" s="312"/>
      <c r="E11" s="312"/>
      <c r="F11" s="312"/>
      <c r="G11" s="312"/>
    </row>
    <row r="12" spans="1:7">
      <c r="A12" s="315"/>
      <c r="B12" s="314"/>
      <c r="C12" s="312" t="s">
        <v>131</v>
      </c>
      <c r="D12" s="312"/>
      <c r="E12" s="312"/>
      <c r="F12" s="312"/>
      <c r="G12" s="312"/>
    </row>
    <row r="14" spans="1:7" ht="28.5" customHeight="1">
      <c r="A14" s="313" t="s">
        <v>191</v>
      </c>
      <c r="B14" s="314" t="s">
        <v>202</v>
      </c>
      <c r="C14" s="87" t="s">
        <v>192</v>
      </c>
    </row>
    <row r="15" spans="1:7">
      <c r="A15" s="313"/>
      <c r="B15" s="314"/>
      <c r="C15" s="43" t="s">
        <v>193</v>
      </c>
    </row>
    <row r="17" spans="1:7" ht="42.75">
      <c r="A17" s="88" t="s">
        <v>200</v>
      </c>
      <c r="B17" s="59" t="s">
        <v>201</v>
      </c>
      <c r="C17" s="87" t="s">
        <v>210</v>
      </c>
    </row>
    <row r="19" spans="1:7">
      <c r="A19" s="313" t="s">
        <v>333</v>
      </c>
      <c r="B19" s="314">
        <v>1</v>
      </c>
      <c r="C19" s="312" t="s">
        <v>125</v>
      </c>
      <c r="D19" s="312"/>
      <c r="E19" s="312"/>
      <c r="F19" s="312"/>
      <c r="G19" s="312"/>
    </row>
    <row r="20" spans="1:7">
      <c r="A20" s="313"/>
      <c r="B20" s="314"/>
      <c r="C20" s="312" t="s">
        <v>126</v>
      </c>
      <c r="D20" s="312"/>
      <c r="E20" s="312"/>
      <c r="F20" s="312"/>
      <c r="G20" s="312"/>
    </row>
  </sheetData>
  <mergeCells count="21">
    <mergeCell ref="C19:G19"/>
    <mergeCell ref="C20:G20"/>
    <mergeCell ref="A14:A15"/>
    <mergeCell ref="B14:B15"/>
    <mergeCell ref="A11:A12"/>
    <mergeCell ref="B11:B12"/>
    <mergeCell ref="A19:A20"/>
    <mergeCell ref="B19:B20"/>
    <mergeCell ref="C1:G1"/>
    <mergeCell ref="A3:G3"/>
    <mergeCell ref="C5:G5"/>
    <mergeCell ref="C6:G6"/>
    <mergeCell ref="C12:G12"/>
    <mergeCell ref="C11:G11"/>
    <mergeCell ref="C9:G9"/>
    <mergeCell ref="C8:G8"/>
    <mergeCell ref="C2:G2"/>
    <mergeCell ref="A5:A6"/>
    <mergeCell ref="B5:B6"/>
    <mergeCell ref="B1:B2"/>
    <mergeCell ref="A1:A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U45"/>
  <sheetViews>
    <sheetView zoomScale="70" zoomScaleNormal="70" workbookViewId="0">
      <selection activeCell="D39" sqref="D39"/>
    </sheetView>
  </sheetViews>
  <sheetFormatPr defaultColWidth="8.75" defaultRowHeight="14.25"/>
  <cols>
    <col min="1" max="1" width="3.625" style="60" bestFit="1" customWidth="1"/>
    <col min="2" max="2" width="13.125" style="60" bestFit="1" customWidth="1"/>
    <col min="3" max="3" width="6.875" style="60" bestFit="1" customWidth="1"/>
    <col min="4" max="4" width="7.125" style="60" bestFit="1" customWidth="1"/>
    <col min="5" max="5" width="6.875" style="60" bestFit="1" customWidth="1"/>
    <col min="6" max="11" width="3" style="60" bestFit="1" customWidth="1"/>
    <col min="12" max="17" width="13" style="60" bestFit="1" customWidth="1"/>
    <col min="18" max="18" width="13.375" style="43" customWidth="1"/>
    <col min="19" max="19" width="7.625" style="43" customWidth="1"/>
    <col min="20" max="20" width="13.125" style="43" bestFit="1" customWidth="1"/>
    <col min="21" max="21" width="9.25" style="43" bestFit="1" customWidth="1"/>
    <col min="22" max="22" width="8.75" style="43"/>
    <col min="23" max="28" width="9" style="43" customWidth="1"/>
    <col min="29" max="16384" width="8.75" style="43"/>
  </cols>
  <sheetData>
    <row r="1" spans="1:21" ht="20.25" thickBot="1">
      <c r="A1" s="120" t="s">
        <v>2</v>
      </c>
      <c r="B1" s="121" t="s">
        <v>18</v>
      </c>
      <c r="C1" s="122" t="s">
        <v>37</v>
      </c>
      <c r="D1" s="146" t="s">
        <v>38</v>
      </c>
      <c r="E1" s="123" t="s">
        <v>39</v>
      </c>
      <c r="F1" s="147" t="s">
        <v>24</v>
      </c>
      <c r="G1" s="148" t="s">
        <v>25</v>
      </c>
      <c r="H1" s="148" t="s">
        <v>143</v>
      </c>
      <c r="I1" s="148" t="s">
        <v>144</v>
      </c>
      <c r="J1" s="148" t="s">
        <v>145</v>
      </c>
      <c r="K1" s="151" t="s">
        <v>26</v>
      </c>
      <c r="L1" s="152" t="s">
        <v>116</v>
      </c>
      <c r="M1" s="149" t="s">
        <v>117</v>
      </c>
      <c r="N1" s="149" t="s">
        <v>147</v>
      </c>
      <c r="O1" s="149" t="s">
        <v>148</v>
      </c>
      <c r="P1" s="149" t="s">
        <v>146</v>
      </c>
      <c r="Q1" s="150" t="s">
        <v>118</v>
      </c>
      <c r="T1" s="54" t="s">
        <v>53</v>
      </c>
      <c r="U1" s="55" t="s">
        <v>54</v>
      </c>
    </row>
    <row r="2" spans="1:21" ht="14.25" customHeight="1" thickBot="1">
      <c r="A2" s="69">
        <v>1</v>
      </c>
      <c r="B2" s="75" t="s">
        <v>320</v>
      </c>
      <c r="C2" s="72">
        <v>0</v>
      </c>
      <c r="D2" s="63">
        <v>0</v>
      </c>
      <c r="E2" s="78">
        <v>0</v>
      </c>
      <c r="F2" s="95">
        <v>1</v>
      </c>
      <c r="G2" s="63">
        <v>1</v>
      </c>
      <c r="H2" s="63">
        <v>1</v>
      </c>
      <c r="I2" s="63">
        <v>1</v>
      </c>
      <c r="J2" s="63">
        <v>1</v>
      </c>
      <c r="K2" s="66">
        <v>1</v>
      </c>
      <c r="L2" s="72">
        <f t="shared" ref="L2:L43" si="0">IF(F2&lt;&gt;0,$T$2,0)</f>
        <v>10000000000</v>
      </c>
      <c r="M2" s="63">
        <f t="shared" ref="M2:M43" si="1">IF(G2&lt;&gt;0,$T$2,0)</f>
        <v>10000000000</v>
      </c>
      <c r="N2" s="63">
        <f t="shared" ref="N2:N43" si="2">IF(H2&lt;&gt;0,$T$2,0)</f>
        <v>10000000000</v>
      </c>
      <c r="O2" s="63">
        <f t="shared" ref="O2:O43" si="3">IF(I2&lt;&gt;0,$T$2,0)</f>
        <v>10000000000</v>
      </c>
      <c r="P2" s="63">
        <f t="shared" ref="P2:P43" si="4">IF(J2&lt;&gt;0,$T$2,0)</f>
        <v>10000000000</v>
      </c>
      <c r="Q2" s="66">
        <f t="shared" ref="Q2:Q43" si="5">IF(K2&lt;&gt;0,$T$2,0)</f>
        <v>10000000000</v>
      </c>
      <c r="T2" s="156">
        <f>(10^(U2))</f>
        <v>10000000000</v>
      </c>
      <c r="U2" s="57">
        <v>10</v>
      </c>
    </row>
    <row r="3" spans="1:21" ht="14.25" customHeight="1">
      <c r="A3" s="70">
        <v>2</v>
      </c>
      <c r="B3" s="76" t="s">
        <v>320</v>
      </c>
      <c r="C3" s="73">
        <v>125</v>
      </c>
      <c r="D3" s="61">
        <v>0</v>
      </c>
      <c r="E3" s="79">
        <v>0</v>
      </c>
      <c r="F3" s="62">
        <v>0</v>
      </c>
      <c r="G3" s="61">
        <v>0</v>
      </c>
      <c r="H3" s="61">
        <v>0</v>
      </c>
      <c r="I3" s="61">
        <v>0</v>
      </c>
      <c r="J3" s="61">
        <v>0</v>
      </c>
      <c r="K3" s="67">
        <v>0</v>
      </c>
      <c r="L3" s="73">
        <f t="shared" si="0"/>
        <v>0</v>
      </c>
      <c r="M3" s="61">
        <f t="shared" si="1"/>
        <v>0</v>
      </c>
      <c r="N3" s="61">
        <f t="shared" si="2"/>
        <v>0</v>
      </c>
      <c r="O3" s="61">
        <f t="shared" si="3"/>
        <v>0</v>
      </c>
      <c r="P3" s="61">
        <f t="shared" si="4"/>
        <v>0</v>
      </c>
      <c r="Q3" s="67">
        <f t="shared" si="5"/>
        <v>0</v>
      </c>
    </row>
    <row r="4" spans="1:21" ht="14.25" customHeight="1">
      <c r="A4" s="70">
        <v>3</v>
      </c>
      <c r="B4" s="76" t="s">
        <v>320</v>
      </c>
      <c r="C4" s="73">
        <v>250</v>
      </c>
      <c r="D4" s="61">
        <v>0</v>
      </c>
      <c r="E4" s="79">
        <v>0</v>
      </c>
      <c r="F4" s="62">
        <v>0</v>
      </c>
      <c r="G4" s="61">
        <v>0</v>
      </c>
      <c r="H4" s="61">
        <v>0</v>
      </c>
      <c r="I4" s="61">
        <v>0</v>
      </c>
      <c r="J4" s="61">
        <v>0</v>
      </c>
      <c r="K4" s="67">
        <v>0</v>
      </c>
      <c r="L4" s="73">
        <f t="shared" si="0"/>
        <v>0</v>
      </c>
      <c r="M4" s="61">
        <f t="shared" si="1"/>
        <v>0</v>
      </c>
      <c r="N4" s="61">
        <f t="shared" si="2"/>
        <v>0</v>
      </c>
      <c r="O4" s="61">
        <f t="shared" si="3"/>
        <v>0</v>
      </c>
      <c r="P4" s="61">
        <f t="shared" si="4"/>
        <v>0</v>
      </c>
      <c r="Q4" s="67">
        <f t="shared" si="5"/>
        <v>0</v>
      </c>
      <c r="T4" s="43" t="s">
        <v>72</v>
      </c>
    </row>
    <row r="5" spans="1:21" ht="14.25" customHeight="1">
      <c r="A5" s="70">
        <v>4</v>
      </c>
      <c r="B5" s="76" t="s">
        <v>320</v>
      </c>
      <c r="C5" s="73">
        <v>375</v>
      </c>
      <c r="D5" s="61">
        <v>0</v>
      </c>
      <c r="E5" s="79">
        <v>0</v>
      </c>
      <c r="F5" s="62">
        <v>0</v>
      </c>
      <c r="G5" s="61">
        <v>0</v>
      </c>
      <c r="H5" s="61">
        <v>0</v>
      </c>
      <c r="I5" s="61">
        <v>0</v>
      </c>
      <c r="J5" s="61">
        <v>0</v>
      </c>
      <c r="K5" s="67">
        <v>0</v>
      </c>
      <c r="L5" s="73">
        <f t="shared" si="0"/>
        <v>0</v>
      </c>
      <c r="M5" s="61">
        <f t="shared" si="1"/>
        <v>0</v>
      </c>
      <c r="N5" s="61">
        <f t="shared" si="2"/>
        <v>0</v>
      </c>
      <c r="O5" s="61">
        <f t="shared" si="3"/>
        <v>0</v>
      </c>
      <c r="P5" s="61">
        <f t="shared" si="4"/>
        <v>0</v>
      </c>
      <c r="Q5" s="67">
        <f t="shared" si="5"/>
        <v>0</v>
      </c>
      <c r="T5" s="43" t="s">
        <v>6</v>
      </c>
      <c r="U5" s="43" t="s">
        <v>56</v>
      </c>
    </row>
    <row r="6" spans="1:21" ht="14.25" customHeight="1">
      <c r="A6" s="70">
        <v>5</v>
      </c>
      <c r="B6" s="76" t="s">
        <v>320</v>
      </c>
      <c r="C6" s="73">
        <v>500</v>
      </c>
      <c r="D6" s="61">
        <v>0</v>
      </c>
      <c r="E6" s="79">
        <v>0</v>
      </c>
      <c r="F6" s="62">
        <v>0</v>
      </c>
      <c r="G6" s="61">
        <v>0</v>
      </c>
      <c r="H6" s="61">
        <v>0</v>
      </c>
      <c r="I6" s="61">
        <v>0</v>
      </c>
      <c r="J6" s="61">
        <v>0</v>
      </c>
      <c r="K6" s="67">
        <v>0</v>
      </c>
      <c r="L6" s="73">
        <f t="shared" si="0"/>
        <v>0</v>
      </c>
      <c r="M6" s="61">
        <f t="shared" si="1"/>
        <v>0</v>
      </c>
      <c r="N6" s="61">
        <f t="shared" si="2"/>
        <v>0</v>
      </c>
      <c r="O6" s="61">
        <f t="shared" si="3"/>
        <v>0</v>
      </c>
      <c r="P6" s="61">
        <f t="shared" si="4"/>
        <v>0</v>
      </c>
      <c r="Q6" s="67">
        <f t="shared" si="5"/>
        <v>0</v>
      </c>
      <c r="T6" s="43" t="s">
        <v>18</v>
      </c>
      <c r="U6" s="43" t="s">
        <v>57</v>
      </c>
    </row>
    <row r="7" spans="1:21" ht="14.25" customHeight="1">
      <c r="A7" s="70">
        <v>6</v>
      </c>
      <c r="B7" s="76" t="s">
        <v>320</v>
      </c>
      <c r="C7" s="73">
        <v>625</v>
      </c>
      <c r="D7" s="61">
        <v>0</v>
      </c>
      <c r="E7" s="79">
        <v>0</v>
      </c>
      <c r="F7" s="62">
        <v>0</v>
      </c>
      <c r="G7" s="61">
        <v>0</v>
      </c>
      <c r="H7" s="61">
        <v>0</v>
      </c>
      <c r="I7" s="61">
        <v>0</v>
      </c>
      <c r="J7" s="61">
        <v>0</v>
      </c>
      <c r="K7" s="67">
        <v>0</v>
      </c>
      <c r="L7" s="73">
        <f t="shared" si="0"/>
        <v>0</v>
      </c>
      <c r="M7" s="61">
        <f t="shared" si="1"/>
        <v>0</v>
      </c>
      <c r="N7" s="61">
        <f t="shared" si="2"/>
        <v>0</v>
      </c>
      <c r="O7" s="61">
        <f t="shared" si="3"/>
        <v>0</v>
      </c>
      <c r="P7" s="61">
        <f t="shared" si="4"/>
        <v>0</v>
      </c>
      <c r="Q7" s="67">
        <f t="shared" si="5"/>
        <v>0</v>
      </c>
      <c r="T7" s="43" t="s">
        <v>58</v>
      </c>
      <c r="U7" s="43" t="s">
        <v>59</v>
      </c>
    </row>
    <row r="8" spans="1:21" ht="14.25" customHeight="1">
      <c r="A8" s="70">
        <v>7</v>
      </c>
      <c r="B8" s="76" t="s">
        <v>320</v>
      </c>
      <c r="C8" s="73">
        <v>750</v>
      </c>
      <c r="D8" s="61">
        <v>0</v>
      </c>
      <c r="E8" s="79">
        <v>0</v>
      </c>
      <c r="F8" s="62">
        <v>0</v>
      </c>
      <c r="G8" s="61">
        <v>0</v>
      </c>
      <c r="H8" s="61">
        <v>0</v>
      </c>
      <c r="I8" s="61">
        <v>0</v>
      </c>
      <c r="J8" s="61">
        <v>0</v>
      </c>
      <c r="K8" s="67">
        <v>0</v>
      </c>
      <c r="L8" s="73">
        <f t="shared" si="0"/>
        <v>0</v>
      </c>
      <c r="M8" s="61">
        <f t="shared" si="1"/>
        <v>0</v>
      </c>
      <c r="N8" s="61">
        <f t="shared" si="2"/>
        <v>0</v>
      </c>
      <c r="O8" s="61">
        <f t="shared" si="3"/>
        <v>0</v>
      </c>
      <c r="P8" s="61">
        <f t="shared" si="4"/>
        <v>0</v>
      </c>
      <c r="Q8" s="67">
        <f t="shared" si="5"/>
        <v>0</v>
      </c>
      <c r="T8" s="56" t="s">
        <v>120</v>
      </c>
      <c r="U8" s="43" t="s">
        <v>61</v>
      </c>
    </row>
    <row r="9" spans="1:21" ht="14.25" customHeight="1">
      <c r="A9" s="70">
        <v>8</v>
      </c>
      <c r="B9" s="76" t="s">
        <v>320</v>
      </c>
      <c r="C9" s="73">
        <v>875</v>
      </c>
      <c r="D9" s="61">
        <v>0</v>
      </c>
      <c r="E9" s="79">
        <v>0</v>
      </c>
      <c r="F9" s="62">
        <v>0</v>
      </c>
      <c r="G9" s="61">
        <v>0</v>
      </c>
      <c r="H9" s="61">
        <v>0</v>
      </c>
      <c r="I9" s="61">
        <v>0</v>
      </c>
      <c r="J9" s="61">
        <v>0</v>
      </c>
      <c r="K9" s="67">
        <v>0</v>
      </c>
      <c r="L9" s="73">
        <f t="shared" si="0"/>
        <v>0</v>
      </c>
      <c r="M9" s="61">
        <f t="shared" si="1"/>
        <v>0</v>
      </c>
      <c r="N9" s="61">
        <f t="shared" si="2"/>
        <v>0</v>
      </c>
      <c r="O9" s="61">
        <f t="shared" si="3"/>
        <v>0</v>
      </c>
      <c r="P9" s="61">
        <f t="shared" si="4"/>
        <v>0</v>
      </c>
      <c r="Q9" s="67">
        <f t="shared" si="5"/>
        <v>0</v>
      </c>
      <c r="T9" s="56" t="s">
        <v>121</v>
      </c>
      <c r="U9" s="43" t="s">
        <v>60</v>
      </c>
    </row>
    <row r="10" spans="1:21" ht="14.25" customHeight="1">
      <c r="A10" s="70">
        <v>9</v>
      </c>
      <c r="B10" s="76" t="s">
        <v>320</v>
      </c>
      <c r="C10" s="73">
        <v>1000</v>
      </c>
      <c r="D10" s="61">
        <v>0</v>
      </c>
      <c r="E10" s="79">
        <v>0</v>
      </c>
      <c r="F10" s="62">
        <v>0</v>
      </c>
      <c r="G10" s="61">
        <v>0</v>
      </c>
      <c r="H10" s="61">
        <v>0</v>
      </c>
      <c r="I10" s="61">
        <v>0</v>
      </c>
      <c r="J10" s="61">
        <v>0</v>
      </c>
      <c r="K10" s="67">
        <v>0</v>
      </c>
      <c r="L10" s="73">
        <f t="shared" si="0"/>
        <v>0</v>
      </c>
      <c r="M10" s="61">
        <f t="shared" si="1"/>
        <v>0</v>
      </c>
      <c r="N10" s="61">
        <f t="shared" si="2"/>
        <v>0</v>
      </c>
      <c r="O10" s="61">
        <f t="shared" si="3"/>
        <v>0</v>
      </c>
      <c r="P10" s="61">
        <f t="shared" si="4"/>
        <v>0</v>
      </c>
      <c r="Q10" s="67">
        <f t="shared" si="5"/>
        <v>0</v>
      </c>
    </row>
    <row r="11" spans="1:21" ht="14.25" customHeight="1">
      <c r="A11" s="70">
        <v>10</v>
      </c>
      <c r="B11" s="76" t="s">
        <v>320</v>
      </c>
      <c r="C11" s="73">
        <v>1125</v>
      </c>
      <c r="D11" s="61">
        <v>0</v>
      </c>
      <c r="E11" s="79">
        <v>0</v>
      </c>
      <c r="F11" s="62">
        <v>0</v>
      </c>
      <c r="G11" s="61">
        <v>0</v>
      </c>
      <c r="H11" s="61">
        <v>0</v>
      </c>
      <c r="I11" s="61">
        <v>0</v>
      </c>
      <c r="J11" s="61">
        <v>0</v>
      </c>
      <c r="K11" s="67">
        <v>0</v>
      </c>
      <c r="L11" s="73">
        <f t="shared" si="0"/>
        <v>0</v>
      </c>
      <c r="M11" s="61">
        <f t="shared" si="1"/>
        <v>0</v>
      </c>
      <c r="N11" s="61">
        <f t="shared" si="2"/>
        <v>0</v>
      </c>
      <c r="O11" s="61">
        <f t="shared" si="3"/>
        <v>0</v>
      </c>
      <c r="P11" s="61">
        <f t="shared" si="4"/>
        <v>0</v>
      </c>
      <c r="Q11" s="67">
        <f t="shared" si="5"/>
        <v>0</v>
      </c>
    </row>
    <row r="12" spans="1:21" ht="14.25" customHeight="1">
      <c r="A12" s="70">
        <v>11</v>
      </c>
      <c r="B12" s="76" t="s">
        <v>320</v>
      </c>
      <c r="C12" s="73">
        <v>1250</v>
      </c>
      <c r="D12" s="61">
        <v>0</v>
      </c>
      <c r="E12" s="79">
        <v>0</v>
      </c>
      <c r="F12" s="62">
        <v>0</v>
      </c>
      <c r="G12" s="61">
        <v>0</v>
      </c>
      <c r="H12" s="61">
        <v>0</v>
      </c>
      <c r="I12" s="61">
        <v>0</v>
      </c>
      <c r="J12" s="61">
        <v>0</v>
      </c>
      <c r="K12" s="67">
        <v>0</v>
      </c>
      <c r="L12" s="73">
        <f t="shared" si="0"/>
        <v>0</v>
      </c>
      <c r="M12" s="61">
        <f t="shared" si="1"/>
        <v>0</v>
      </c>
      <c r="N12" s="61">
        <f t="shared" si="2"/>
        <v>0</v>
      </c>
      <c r="O12" s="61">
        <f t="shared" si="3"/>
        <v>0</v>
      </c>
      <c r="P12" s="61">
        <f t="shared" si="4"/>
        <v>0</v>
      </c>
      <c r="Q12" s="67">
        <f t="shared" si="5"/>
        <v>0</v>
      </c>
    </row>
    <row r="13" spans="1:21" ht="14.25" customHeight="1">
      <c r="A13" s="70">
        <v>12</v>
      </c>
      <c r="B13" s="76" t="s">
        <v>320</v>
      </c>
      <c r="C13" s="73">
        <v>1375</v>
      </c>
      <c r="D13" s="61">
        <v>0</v>
      </c>
      <c r="E13" s="79">
        <v>0</v>
      </c>
      <c r="F13" s="62">
        <v>0</v>
      </c>
      <c r="G13" s="61">
        <v>0</v>
      </c>
      <c r="H13" s="61">
        <v>0</v>
      </c>
      <c r="I13" s="61">
        <v>0</v>
      </c>
      <c r="J13" s="61">
        <v>0</v>
      </c>
      <c r="K13" s="67">
        <v>0</v>
      </c>
      <c r="L13" s="73">
        <f t="shared" si="0"/>
        <v>0</v>
      </c>
      <c r="M13" s="61">
        <f t="shared" si="1"/>
        <v>0</v>
      </c>
      <c r="N13" s="61">
        <f t="shared" si="2"/>
        <v>0</v>
      </c>
      <c r="O13" s="61">
        <f t="shared" si="3"/>
        <v>0</v>
      </c>
      <c r="P13" s="61">
        <f t="shared" si="4"/>
        <v>0</v>
      </c>
      <c r="Q13" s="67">
        <f t="shared" si="5"/>
        <v>0</v>
      </c>
    </row>
    <row r="14" spans="1:21" ht="14.25" customHeight="1">
      <c r="A14" s="70">
        <v>13</v>
      </c>
      <c r="B14" s="76" t="s">
        <v>320</v>
      </c>
      <c r="C14" s="73">
        <v>1500</v>
      </c>
      <c r="D14" s="61">
        <v>0</v>
      </c>
      <c r="E14" s="79">
        <v>0</v>
      </c>
      <c r="F14" s="62">
        <v>0</v>
      </c>
      <c r="G14" s="61">
        <v>0</v>
      </c>
      <c r="H14" s="61">
        <v>0</v>
      </c>
      <c r="I14" s="61">
        <v>0</v>
      </c>
      <c r="J14" s="61">
        <v>0</v>
      </c>
      <c r="K14" s="67">
        <v>0</v>
      </c>
      <c r="L14" s="73">
        <f t="shared" si="0"/>
        <v>0</v>
      </c>
      <c r="M14" s="61">
        <f t="shared" si="1"/>
        <v>0</v>
      </c>
      <c r="N14" s="61">
        <f t="shared" si="2"/>
        <v>0</v>
      </c>
      <c r="O14" s="61">
        <f t="shared" si="3"/>
        <v>0</v>
      </c>
      <c r="P14" s="61">
        <f t="shared" si="4"/>
        <v>0</v>
      </c>
      <c r="Q14" s="67">
        <f t="shared" si="5"/>
        <v>0</v>
      </c>
    </row>
    <row r="15" spans="1:21" ht="14.25" customHeight="1">
      <c r="A15" s="70">
        <v>14</v>
      </c>
      <c r="B15" s="76" t="s">
        <v>320</v>
      </c>
      <c r="C15" s="73">
        <v>1625</v>
      </c>
      <c r="D15" s="61">
        <v>0</v>
      </c>
      <c r="E15" s="79">
        <v>0</v>
      </c>
      <c r="F15" s="62">
        <v>0</v>
      </c>
      <c r="G15" s="61">
        <v>0</v>
      </c>
      <c r="H15" s="61">
        <v>0</v>
      </c>
      <c r="I15" s="61">
        <v>0</v>
      </c>
      <c r="J15" s="61">
        <v>0</v>
      </c>
      <c r="K15" s="67">
        <v>0</v>
      </c>
      <c r="L15" s="73">
        <f t="shared" si="0"/>
        <v>0</v>
      </c>
      <c r="M15" s="61">
        <f t="shared" si="1"/>
        <v>0</v>
      </c>
      <c r="N15" s="61">
        <f t="shared" si="2"/>
        <v>0</v>
      </c>
      <c r="O15" s="61">
        <f t="shared" si="3"/>
        <v>0</v>
      </c>
      <c r="P15" s="61">
        <f t="shared" si="4"/>
        <v>0</v>
      </c>
      <c r="Q15" s="67">
        <f t="shared" si="5"/>
        <v>0</v>
      </c>
    </row>
    <row r="16" spans="1:21" ht="14.25" customHeight="1">
      <c r="A16" s="70">
        <v>15</v>
      </c>
      <c r="B16" s="76" t="s">
        <v>320</v>
      </c>
      <c r="C16" s="73">
        <v>1750</v>
      </c>
      <c r="D16" s="61">
        <v>0</v>
      </c>
      <c r="E16" s="79">
        <v>0</v>
      </c>
      <c r="F16" s="62">
        <v>0</v>
      </c>
      <c r="G16" s="61">
        <v>0</v>
      </c>
      <c r="H16" s="61">
        <v>0</v>
      </c>
      <c r="I16" s="61">
        <v>0</v>
      </c>
      <c r="J16" s="61">
        <v>0</v>
      </c>
      <c r="K16" s="67">
        <v>0</v>
      </c>
      <c r="L16" s="73">
        <f t="shared" si="0"/>
        <v>0</v>
      </c>
      <c r="M16" s="61">
        <f t="shared" si="1"/>
        <v>0</v>
      </c>
      <c r="N16" s="61">
        <f t="shared" si="2"/>
        <v>0</v>
      </c>
      <c r="O16" s="61">
        <f t="shared" si="3"/>
        <v>0</v>
      </c>
      <c r="P16" s="61">
        <f t="shared" si="4"/>
        <v>0</v>
      </c>
      <c r="Q16" s="67">
        <f t="shared" si="5"/>
        <v>0</v>
      </c>
    </row>
    <row r="17" spans="1:17" ht="14.25" customHeight="1">
      <c r="A17" s="70">
        <v>16</v>
      </c>
      <c r="B17" s="76" t="s">
        <v>320</v>
      </c>
      <c r="C17" s="73">
        <v>1875</v>
      </c>
      <c r="D17" s="61">
        <v>0</v>
      </c>
      <c r="E17" s="79">
        <v>0</v>
      </c>
      <c r="F17" s="62">
        <v>0</v>
      </c>
      <c r="G17" s="61">
        <v>0</v>
      </c>
      <c r="H17" s="61">
        <v>0</v>
      </c>
      <c r="I17" s="61">
        <v>0</v>
      </c>
      <c r="J17" s="61">
        <v>0</v>
      </c>
      <c r="K17" s="67">
        <v>0</v>
      </c>
      <c r="L17" s="73">
        <f t="shared" si="0"/>
        <v>0</v>
      </c>
      <c r="M17" s="61">
        <f t="shared" si="1"/>
        <v>0</v>
      </c>
      <c r="N17" s="61">
        <f t="shared" si="2"/>
        <v>0</v>
      </c>
      <c r="O17" s="61">
        <f t="shared" si="3"/>
        <v>0</v>
      </c>
      <c r="P17" s="61">
        <f t="shared" si="4"/>
        <v>0</v>
      </c>
      <c r="Q17" s="67">
        <f t="shared" si="5"/>
        <v>0</v>
      </c>
    </row>
    <row r="18" spans="1:17" ht="14.25" customHeight="1">
      <c r="A18" s="70">
        <v>17</v>
      </c>
      <c r="B18" s="76" t="s">
        <v>320</v>
      </c>
      <c r="C18" s="73">
        <v>2000</v>
      </c>
      <c r="D18" s="61">
        <v>0</v>
      </c>
      <c r="E18" s="79">
        <v>0</v>
      </c>
      <c r="F18" s="62">
        <v>0</v>
      </c>
      <c r="G18" s="61">
        <v>0</v>
      </c>
      <c r="H18" s="61">
        <v>0</v>
      </c>
      <c r="I18" s="61">
        <v>0</v>
      </c>
      <c r="J18" s="61">
        <v>0</v>
      </c>
      <c r="K18" s="67">
        <v>0</v>
      </c>
      <c r="L18" s="73">
        <f t="shared" si="0"/>
        <v>0</v>
      </c>
      <c r="M18" s="61">
        <f t="shared" si="1"/>
        <v>0</v>
      </c>
      <c r="N18" s="61">
        <f t="shared" si="2"/>
        <v>0</v>
      </c>
      <c r="O18" s="61">
        <f t="shared" si="3"/>
        <v>0</v>
      </c>
      <c r="P18" s="61">
        <f t="shared" si="4"/>
        <v>0</v>
      </c>
      <c r="Q18" s="67">
        <f t="shared" si="5"/>
        <v>0</v>
      </c>
    </row>
    <row r="19" spans="1:17" ht="14.25" customHeight="1">
      <c r="A19" s="70">
        <v>18</v>
      </c>
      <c r="B19" s="76" t="s">
        <v>320</v>
      </c>
      <c r="C19" s="73">
        <v>2125</v>
      </c>
      <c r="D19" s="61">
        <v>0</v>
      </c>
      <c r="E19" s="79">
        <v>0</v>
      </c>
      <c r="F19" s="62">
        <v>0</v>
      </c>
      <c r="G19" s="61">
        <v>0</v>
      </c>
      <c r="H19" s="61">
        <v>0</v>
      </c>
      <c r="I19" s="61">
        <v>0</v>
      </c>
      <c r="J19" s="61">
        <v>0</v>
      </c>
      <c r="K19" s="67">
        <v>0</v>
      </c>
      <c r="L19" s="73">
        <f t="shared" si="0"/>
        <v>0</v>
      </c>
      <c r="M19" s="61">
        <f t="shared" si="1"/>
        <v>0</v>
      </c>
      <c r="N19" s="61">
        <f t="shared" si="2"/>
        <v>0</v>
      </c>
      <c r="O19" s="61">
        <f t="shared" si="3"/>
        <v>0</v>
      </c>
      <c r="P19" s="61">
        <f t="shared" si="4"/>
        <v>0</v>
      </c>
      <c r="Q19" s="67">
        <f t="shared" si="5"/>
        <v>0</v>
      </c>
    </row>
    <row r="20" spans="1:17" ht="14.25" customHeight="1">
      <c r="A20" s="70">
        <v>19</v>
      </c>
      <c r="B20" s="76" t="s">
        <v>320</v>
      </c>
      <c r="C20" s="73">
        <v>2250</v>
      </c>
      <c r="D20" s="61">
        <v>0</v>
      </c>
      <c r="E20" s="79">
        <v>0</v>
      </c>
      <c r="F20" s="62">
        <v>0</v>
      </c>
      <c r="G20" s="61">
        <v>0</v>
      </c>
      <c r="H20" s="61">
        <v>0</v>
      </c>
      <c r="I20" s="61">
        <v>0</v>
      </c>
      <c r="J20" s="61">
        <v>0</v>
      </c>
      <c r="K20" s="67">
        <v>0</v>
      </c>
      <c r="L20" s="73">
        <f t="shared" si="0"/>
        <v>0</v>
      </c>
      <c r="M20" s="61">
        <f t="shared" si="1"/>
        <v>0</v>
      </c>
      <c r="N20" s="61">
        <f t="shared" si="2"/>
        <v>0</v>
      </c>
      <c r="O20" s="61">
        <f t="shared" si="3"/>
        <v>0</v>
      </c>
      <c r="P20" s="61">
        <f t="shared" si="4"/>
        <v>0</v>
      </c>
      <c r="Q20" s="67">
        <f t="shared" si="5"/>
        <v>0</v>
      </c>
    </row>
    <row r="21" spans="1:17" ht="14.25" customHeight="1">
      <c r="A21" s="70">
        <v>20</v>
      </c>
      <c r="B21" s="76" t="s">
        <v>320</v>
      </c>
      <c r="C21" s="73">
        <v>2375</v>
      </c>
      <c r="D21" s="61">
        <v>0</v>
      </c>
      <c r="E21" s="79">
        <v>0</v>
      </c>
      <c r="F21" s="62">
        <v>0</v>
      </c>
      <c r="G21" s="61">
        <v>0</v>
      </c>
      <c r="H21" s="61">
        <v>0</v>
      </c>
      <c r="I21" s="61">
        <v>0</v>
      </c>
      <c r="J21" s="61">
        <v>0</v>
      </c>
      <c r="K21" s="67">
        <v>0</v>
      </c>
      <c r="L21" s="73">
        <f t="shared" si="0"/>
        <v>0</v>
      </c>
      <c r="M21" s="61">
        <f t="shared" si="1"/>
        <v>0</v>
      </c>
      <c r="N21" s="61">
        <f t="shared" si="2"/>
        <v>0</v>
      </c>
      <c r="O21" s="61">
        <f t="shared" si="3"/>
        <v>0</v>
      </c>
      <c r="P21" s="61">
        <f t="shared" si="4"/>
        <v>0</v>
      </c>
      <c r="Q21" s="67">
        <f t="shared" si="5"/>
        <v>0</v>
      </c>
    </row>
    <row r="22" spans="1:17" ht="14.25" customHeight="1">
      <c r="A22" s="70">
        <v>21</v>
      </c>
      <c r="B22" s="76" t="s">
        <v>320</v>
      </c>
      <c r="C22" s="73">
        <v>2500</v>
      </c>
      <c r="D22" s="61">
        <v>0</v>
      </c>
      <c r="E22" s="79">
        <v>0</v>
      </c>
      <c r="F22" s="62">
        <v>1</v>
      </c>
      <c r="G22" s="61">
        <v>1</v>
      </c>
      <c r="H22" s="61">
        <v>1</v>
      </c>
      <c r="I22" s="61">
        <v>1</v>
      </c>
      <c r="J22" s="61">
        <v>1</v>
      </c>
      <c r="K22" s="67">
        <v>1</v>
      </c>
      <c r="L22" s="73">
        <f t="shared" si="0"/>
        <v>10000000000</v>
      </c>
      <c r="M22" s="61">
        <f t="shared" si="1"/>
        <v>10000000000</v>
      </c>
      <c r="N22" s="61">
        <f t="shared" si="2"/>
        <v>10000000000</v>
      </c>
      <c r="O22" s="61">
        <f t="shared" si="3"/>
        <v>10000000000</v>
      </c>
      <c r="P22" s="61">
        <f t="shared" si="4"/>
        <v>10000000000</v>
      </c>
      <c r="Q22" s="67">
        <f t="shared" si="5"/>
        <v>10000000000</v>
      </c>
    </row>
    <row r="23" spans="1:17" ht="14.25" customHeight="1">
      <c r="A23" s="70">
        <v>22</v>
      </c>
      <c r="B23" s="76" t="s">
        <v>319</v>
      </c>
      <c r="C23" s="73">
        <v>0</v>
      </c>
      <c r="D23" s="61">
        <v>55</v>
      </c>
      <c r="E23" s="79">
        <v>0</v>
      </c>
      <c r="F23" s="62">
        <v>0</v>
      </c>
      <c r="G23" s="61">
        <v>0</v>
      </c>
      <c r="H23" s="61">
        <v>0</v>
      </c>
      <c r="I23" s="61">
        <v>0</v>
      </c>
      <c r="J23" s="61">
        <v>0</v>
      </c>
      <c r="K23" s="67">
        <v>0</v>
      </c>
      <c r="L23" s="73">
        <f t="shared" si="0"/>
        <v>0</v>
      </c>
      <c r="M23" s="61">
        <f t="shared" si="1"/>
        <v>0</v>
      </c>
      <c r="N23" s="61">
        <f t="shared" si="2"/>
        <v>0</v>
      </c>
      <c r="O23" s="61">
        <f t="shared" si="3"/>
        <v>0</v>
      </c>
      <c r="P23" s="61">
        <f t="shared" si="4"/>
        <v>0</v>
      </c>
      <c r="Q23" s="67">
        <f t="shared" si="5"/>
        <v>0</v>
      </c>
    </row>
    <row r="24" spans="1:17" ht="14.25" customHeight="1">
      <c r="A24" s="70">
        <v>23</v>
      </c>
      <c r="B24" s="76" t="s">
        <v>319</v>
      </c>
      <c r="C24" s="73">
        <v>125</v>
      </c>
      <c r="D24" s="61">
        <v>62.5</v>
      </c>
      <c r="E24" s="79">
        <v>0</v>
      </c>
      <c r="F24" s="62">
        <v>0</v>
      </c>
      <c r="G24" s="61">
        <v>0</v>
      </c>
      <c r="H24" s="61">
        <v>0</v>
      </c>
      <c r="I24" s="61">
        <v>0</v>
      </c>
      <c r="J24" s="61">
        <v>0</v>
      </c>
      <c r="K24" s="67">
        <v>0</v>
      </c>
      <c r="L24" s="73">
        <f t="shared" si="0"/>
        <v>0</v>
      </c>
      <c r="M24" s="61">
        <f t="shared" si="1"/>
        <v>0</v>
      </c>
      <c r="N24" s="61">
        <f t="shared" si="2"/>
        <v>0</v>
      </c>
      <c r="O24" s="61">
        <f t="shared" si="3"/>
        <v>0</v>
      </c>
      <c r="P24" s="61">
        <f t="shared" si="4"/>
        <v>0</v>
      </c>
      <c r="Q24" s="67">
        <f t="shared" si="5"/>
        <v>0</v>
      </c>
    </row>
    <row r="25" spans="1:17" ht="14.25" customHeight="1">
      <c r="A25" s="70">
        <v>24</v>
      </c>
      <c r="B25" s="76" t="s">
        <v>319</v>
      </c>
      <c r="C25" s="73">
        <v>250</v>
      </c>
      <c r="D25" s="61">
        <v>70</v>
      </c>
      <c r="E25" s="79">
        <v>0</v>
      </c>
      <c r="F25" s="62">
        <v>0</v>
      </c>
      <c r="G25" s="61">
        <v>0</v>
      </c>
      <c r="H25" s="61">
        <v>0</v>
      </c>
      <c r="I25" s="61">
        <v>0</v>
      </c>
      <c r="J25" s="61">
        <v>0</v>
      </c>
      <c r="K25" s="67">
        <v>0</v>
      </c>
      <c r="L25" s="73">
        <f t="shared" si="0"/>
        <v>0</v>
      </c>
      <c r="M25" s="61">
        <f t="shared" si="1"/>
        <v>0</v>
      </c>
      <c r="N25" s="61">
        <f t="shared" si="2"/>
        <v>0</v>
      </c>
      <c r="O25" s="61">
        <f t="shared" si="3"/>
        <v>0</v>
      </c>
      <c r="P25" s="61">
        <f t="shared" si="4"/>
        <v>0</v>
      </c>
      <c r="Q25" s="67">
        <f t="shared" si="5"/>
        <v>0</v>
      </c>
    </row>
    <row r="26" spans="1:17" ht="14.25" customHeight="1">
      <c r="A26" s="70">
        <v>25</v>
      </c>
      <c r="B26" s="76" t="s">
        <v>319</v>
      </c>
      <c r="C26" s="73">
        <v>375</v>
      </c>
      <c r="D26" s="61">
        <v>77.5</v>
      </c>
      <c r="E26" s="79">
        <v>0</v>
      </c>
      <c r="F26" s="62">
        <v>0</v>
      </c>
      <c r="G26" s="61">
        <v>0</v>
      </c>
      <c r="H26" s="61">
        <v>0</v>
      </c>
      <c r="I26" s="61">
        <v>0</v>
      </c>
      <c r="J26" s="61">
        <v>0</v>
      </c>
      <c r="K26" s="67">
        <v>0</v>
      </c>
      <c r="L26" s="73">
        <f t="shared" si="0"/>
        <v>0</v>
      </c>
      <c r="M26" s="61">
        <f t="shared" si="1"/>
        <v>0</v>
      </c>
      <c r="N26" s="61">
        <f t="shared" si="2"/>
        <v>0</v>
      </c>
      <c r="O26" s="61">
        <f t="shared" si="3"/>
        <v>0</v>
      </c>
      <c r="P26" s="61">
        <f t="shared" si="4"/>
        <v>0</v>
      </c>
      <c r="Q26" s="67">
        <f t="shared" si="5"/>
        <v>0</v>
      </c>
    </row>
    <row r="27" spans="1:17" ht="14.25" customHeight="1">
      <c r="A27" s="70">
        <v>26</v>
      </c>
      <c r="B27" s="76" t="s">
        <v>319</v>
      </c>
      <c r="C27" s="73">
        <v>500</v>
      </c>
      <c r="D27" s="61">
        <v>85</v>
      </c>
      <c r="E27" s="79">
        <v>0</v>
      </c>
      <c r="F27" s="62">
        <v>0</v>
      </c>
      <c r="G27" s="61">
        <v>0</v>
      </c>
      <c r="H27" s="61">
        <v>0</v>
      </c>
      <c r="I27" s="61">
        <v>0</v>
      </c>
      <c r="J27" s="61">
        <v>0</v>
      </c>
      <c r="K27" s="67">
        <v>0</v>
      </c>
      <c r="L27" s="73">
        <f t="shared" si="0"/>
        <v>0</v>
      </c>
      <c r="M27" s="61">
        <f t="shared" si="1"/>
        <v>0</v>
      </c>
      <c r="N27" s="61">
        <f t="shared" si="2"/>
        <v>0</v>
      </c>
      <c r="O27" s="61">
        <f t="shared" si="3"/>
        <v>0</v>
      </c>
      <c r="P27" s="61">
        <f t="shared" si="4"/>
        <v>0</v>
      </c>
      <c r="Q27" s="67">
        <f t="shared" si="5"/>
        <v>0</v>
      </c>
    </row>
    <row r="28" spans="1:17" ht="14.25" customHeight="1">
      <c r="A28" s="70">
        <v>27</v>
      </c>
      <c r="B28" s="76" t="s">
        <v>319</v>
      </c>
      <c r="C28" s="73">
        <v>625</v>
      </c>
      <c r="D28" s="61">
        <v>92.5</v>
      </c>
      <c r="E28" s="79">
        <v>0</v>
      </c>
      <c r="F28" s="62">
        <v>0</v>
      </c>
      <c r="G28" s="61">
        <v>0</v>
      </c>
      <c r="H28" s="61">
        <v>0</v>
      </c>
      <c r="I28" s="61">
        <v>0</v>
      </c>
      <c r="J28" s="61">
        <v>0</v>
      </c>
      <c r="K28" s="67">
        <v>0</v>
      </c>
      <c r="L28" s="73">
        <f t="shared" si="0"/>
        <v>0</v>
      </c>
      <c r="M28" s="61">
        <f t="shared" si="1"/>
        <v>0</v>
      </c>
      <c r="N28" s="61">
        <f t="shared" si="2"/>
        <v>0</v>
      </c>
      <c r="O28" s="61">
        <f t="shared" si="3"/>
        <v>0</v>
      </c>
      <c r="P28" s="61">
        <f t="shared" si="4"/>
        <v>0</v>
      </c>
      <c r="Q28" s="67">
        <f t="shared" si="5"/>
        <v>0</v>
      </c>
    </row>
    <row r="29" spans="1:17" ht="14.25" customHeight="1">
      <c r="A29" s="70">
        <v>28</v>
      </c>
      <c r="B29" s="76" t="s">
        <v>319</v>
      </c>
      <c r="C29" s="73">
        <v>750</v>
      </c>
      <c r="D29" s="61">
        <v>100</v>
      </c>
      <c r="E29" s="79">
        <v>0</v>
      </c>
      <c r="F29" s="62">
        <v>0</v>
      </c>
      <c r="G29" s="61">
        <v>0</v>
      </c>
      <c r="H29" s="61">
        <v>0</v>
      </c>
      <c r="I29" s="61">
        <v>0</v>
      </c>
      <c r="J29" s="61">
        <v>0</v>
      </c>
      <c r="K29" s="67">
        <v>0</v>
      </c>
      <c r="L29" s="73">
        <f t="shared" si="0"/>
        <v>0</v>
      </c>
      <c r="M29" s="61">
        <f t="shared" si="1"/>
        <v>0</v>
      </c>
      <c r="N29" s="61">
        <f t="shared" si="2"/>
        <v>0</v>
      </c>
      <c r="O29" s="61">
        <f t="shared" si="3"/>
        <v>0</v>
      </c>
      <c r="P29" s="61">
        <f t="shared" si="4"/>
        <v>0</v>
      </c>
      <c r="Q29" s="67">
        <f t="shared" si="5"/>
        <v>0</v>
      </c>
    </row>
    <row r="30" spans="1:17" ht="14.25" customHeight="1">
      <c r="A30" s="70">
        <v>29</v>
      </c>
      <c r="B30" s="76" t="s">
        <v>319</v>
      </c>
      <c r="C30" s="73">
        <v>875</v>
      </c>
      <c r="D30" s="61">
        <v>107.5</v>
      </c>
      <c r="E30" s="79">
        <v>0</v>
      </c>
      <c r="F30" s="62">
        <v>0</v>
      </c>
      <c r="G30" s="61">
        <v>0</v>
      </c>
      <c r="H30" s="61">
        <v>0</v>
      </c>
      <c r="I30" s="61">
        <v>0</v>
      </c>
      <c r="J30" s="61">
        <v>0</v>
      </c>
      <c r="K30" s="67">
        <v>0</v>
      </c>
      <c r="L30" s="73">
        <f t="shared" si="0"/>
        <v>0</v>
      </c>
      <c r="M30" s="61">
        <f t="shared" si="1"/>
        <v>0</v>
      </c>
      <c r="N30" s="61">
        <f t="shared" si="2"/>
        <v>0</v>
      </c>
      <c r="O30" s="61">
        <f t="shared" si="3"/>
        <v>0</v>
      </c>
      <c r="P30" s="61">
        <f t="shared" si="4"/>
        <v>0</v>
      </c>
      <c r="Q30" s="67">
        <f t="shared" si="5"/>
        <v>0</v>
      </c>
    </row>
    <row r="31" spans="1:17" ht="14.25" customHeight="1">
      <c r="A31" s="70">
        <v>30</v>
      </c>
      <c r="B31" s="76" t="s">
        <v>319</v>
      </c>
      <c r="C31" s="73">
        <v>1000</v>
      </c>
      <c r="D31" s="61">
        <v>115</v>
      </c>
      <c r="E31" s="79">
        <v>0</v>
      </c>
      <c r="F31" s="62">
        <v>0</v>
      </c>
      <c r="G31" s="61">
        <v>0</v>
      </c>
      <c r="H31" s="61">
        <v>0</v>
      </c>
      <c r="I31" s="61">
        <v>0</v>
      </c>
      <c r="J31" s="61">
        <v>0</v>
      </c>
      <c r="K31" s="67">
        <v>0</v>
      </c>
      <c r="L31" s="73">
        <f t="shared" si="0"/>
        <v>0</v>
      </c>
      <c r="M31" s="61">
        <f t="shared" si="1"/>
        <v>0</v>
      </c>
      <c r="N31" s="61">
        <f t="shared" si="2"/>
        <v>0</v>
      </c>
      <c r="O31" s="61">
        <f t="shared" si="3"/>
        <v>0</v>
      </c>
      <c r="P31" s="61">
        <f t="shared" si="4"/>
        <v>0</v>
      </c>
      <c r="Q31" s="67">
        <f t="shared" si="5"/>
        <v>0</v>
      </c>
    </row>
    <row r="32" spans="1:17" ht="14.25" customHeight="1">
      <c r="A32" s="70">
        <v>31</v>
      </c>
      <c r="B32" s="76" t="s">
        <v>319</v>
      </c>
      <c r="C32" s="73">
        <v>1125</v>
      </c>
      <c r="D32" s="61">
        <v>122.5</v>
      </c>
      <c r="E32" s="79">
        <v>0</v>
      </c>
      <c r="F32" s="62">
        <v>0</v>
      </c>
      <c r="G32" s="61">
        <v>0</v>
      </c>
      <c r="H32" s="61">
        <v>0</v>
      </c>
      <c r="I32" s="61">
        <v>0</v>
      </c>
      <c r="J32" s="61">
        <v>0</v>
      </c>
      <c r="K32" s="67">
        <v>0</v>
      </c>
      <c r="L32" s="73">
        <f t="shared" si="0"/>
        <v>0</v>
      </c>
      <c r="M32" s="61">
        <f t="shared" si="1"/>
        <v>0</v>
      </c>
      <c r="N32" s="61">
        <f t="shared" si="2"/>
        <v>0</v>
      </c>
      <c r="O32" s="61">
        <f t="shared" si="3"/>
        <v>0</v>
      </c>
      <c r="P32" s="61">
        <f t="shared" si="4"/>
        <v>0</v>
      </c>
      <c r="Q32" s="67">
        <f t="shared" si="5"/>
        <v>0</v>
      </c>
    </row>
    <row r="33" spans="1:17" ht="14.25" customHeight="1">
      <c r="A33" s="70">
        <v>32</v>
      </c>
      <c r="B33" s="76" t="s">
        <v>319</v>
      </c>
      <c r="C33" s="73">
        <v>1250</v>
      </c>
      <c r="D33" s="61">
        <v>130</v>
      </c>
      <c r="E33" s="79">
        <v>0</v>
      </c>
      <c r="F33" s="62">
        <v>0</v>
      </c>
      <c r="G33" s="61">
        <v>0</v>
      </c>
      <c r="H33" s="61">
        <v>0</v>
      </c>
      <c r="I33" s="61">
        <v>0</v>
      </c>
      <c r="J33" s="61">
        <v>0</v>
      </c>
      <c r="K33" s="67">
        <v>0</v>
      </c>
      <c r="L33" s="73">
        <f t="shared" si="0"/>
        <v>0</v>
      </c>
      <c r="M33" s="61">
        <f t="shared" si="1"/>
        <v>0</v>
      </c>
      <c r="N33" s="61">
        <f t="shared" si="2"/>
        <v>0</v>
      </c>
      <c r="O33" s="61">
        <f t="shared" si="3"/>
        <v>0</v>
      </c>
      <c r="P33" s="61">
        <f t="shared" si="4"/>
        <v>0</v>
      </c>
      <c r="Q33" s="67">
        <f t="shared" si="5"/>
        <v>0</v>
      </c>
    </row>
    <row r="34" spans="1:17" ht="14.25" customHeight="1">
      <c r="A34" s="70">
        <v>33</v>
      </c>
      <c r="B34" s="76" t="s">
        <v>319</v>
      </c>
      <c r="C34" s="73">
        <v>1375</v>
      </c>
      <c r="D34" s="61">
        <v>122.5</v>
      </c>
      <c r="E34" s="79">
        <v>0</v>
      </c>
      <c r="F34" s="62">
        <v>0</v>
      </c>
      <c r="G34" s="61">
        <v>0</v>
      </c>
      <c r="H34" s="61">
        <v>0</v>
      </c>
      <c r="I34" s="61">
        <v>0</v>
      </c>
      <c r="J34" s="61">
        <v>0</v>
      </c>
      <c r="K34" s="67">
        <v>0</v>
      </c>
      <c r="L34" s="73">
        <f t="shared" si="0"/>
        <v>0</v>
      </c>
      <c r="M34" s="61">
        <f t="shared" si="1"/>
        <v>0</v>
      </c>
      <c r="N34" s="61">
        <f t="shared" si="2"/>
        <v>0</v>
      </c>
      <c r="O34" s="61">
        <f t="shared" si="3"/>
        <v>0</v>
      </c>
      <c r="P34" s="61">
        <f t="shared" si="4"/>
        <v>0</v>
      </c>
      <c r="Q34" s="67">
        <f t="shared" si="5"/>
        <v>0</v>
      </c>
    </row>
    <row r="35" spans="1:17" ht="14.25" customHeight="1">
      <c r="A35" s="70">
        <v>34</v>
      </c>
      <c r="B35" s="76" t="s">
        <v>319</v>
      </c>
      <c r="C35" s="73">
        <v>1500</v>
      </c>
      <c r="D35" s="61">
        <v>115</v>
      </c>
      <c r="E35" s="79">
        <v>0</v>
      </c>
      <c r="F35" s="62">
        <v>0</v>
      </c>
      <c r="G35" s="61">
        <v>0</v>
      </c>
      <c r="H35" s="61">
        <v>0</v>
      </c>
      <c r="I35" s="61">
        <v>0</v>
      </c>
      <c r="J35" s="61">
        <v>0</v>
      </c>
      <c r="K35" s="67">
        <v>0</v>
      </c>
      <c r="L35" s="73">
        <f t="shared" si="0"/>
        <v>0</v>
      </c>
      <c r="M35" s="61">
        <f t="shared" si="1"/>
        <v>0</v>
      </c>
      <c r="N35" s="61">
        <f t="shared" si="2"/>
        <v>0</v>
      </c>
      <c r="O35" s="61">
        <f t="shared" si="3"/>
        <v>0</v>
      </c>
      <c r="P35" s="61">
        <f t="shared" si="4"/>
        <v>0</v>
      </c>
      <c r="Q35" s="67">
        <f t="shared" si="5"/>
        <v>0</v>
      </c>
    </row>
    <row r="36" spans="1:17" ht="14.25" customHeight="1">
      <c r="A36" s="70">
        <v>35</v>
      </c>
      <c r="B36" s="76" t="s">
        <v>319</v>
      </c>
      <c r="C36" s="73">
        <v>1625</v>
      </c>
      <c r="D36" s="61">
        <v>107.5</v>
      </c>
      <c r="E36" s="79">
        <v>0</v>
      </c>
      <c r="F36" s="62">
        <v>0</v>
      </c>
      <c r="G36" s="61">
        <v>0</v>
      </c>
      <c r="H36" s="61">
        <v>0</v>
      </c>
      <c r="I36" s="61">
        <v>0</v>
      </c>
      <c r="J36" s="61">
        <v>0</v>
      </c>
      <c r="K36" s="67">
        <v>0</v>
      </c>
      <c r="L36" s="73">
        <f t="shared" si="0"/>
        <v>0</v>
      </c>
      <c r="M36" s="61">
        <f t="shared" si="1"/>
        <v>0</v>
      </c>
      <c r="N36" s="61">
        <f t="shared" si="2"/>
        <v>0</v>
      </c>
      <c r="O36" s="61">
        <f t="shared" si="3"/>
        <v>0</v>
      </c>
      <c r="P36" s="61">
        <f t="shared" si="4"/>
        <v>0</v>
      </c>
      <c r="Q36" s="67">
        <f t="shared" si="5"/>
        <v>0</v>
      </c>
    </row>
    <row r="37" spans="1:17" ht="14.25" customHeight="1">
      <c r="A37" s="70">
        <v>36</v>
      </c>
      <c r="B37" s="76" t="s">
        <v>319</v>
      </c>
      <c r="C37" s="73">
        <v>1750</v>
      </c>
      <c r="D37" s="61">
        <v>100</v>
      </c>
      <c r="E37" s="79">
        <v>0</v>
      </c>
      <c r="F37" s="62">
        <v>0</v>
      </c>
      <c r="G37" s="61">
        <v>0</v>
      </c>
      <c r="H37" s="61">
        <v>0</v>
      </c>
      <c r="I37" s="61">
        <v>0</v>
      </c>
      <c r="J37" s="61">
        <v>0</v>
      </c>
      <c r="K37" s="67">
        <v>0</v>
      </c>
      <c r="L37" s="73">
        <f t="shared" si="0"/>
        <v>0</v>
      </c>
      <c r="M37" s="61">
        <f t="shared" si="1"/>
        <v>0</v>
      </c>
      <c r="N37" s="61">
        <f t="shared" si="2"/>
        <v>0</v>
      </c>
      <c r="O37" s="61">
        <f t="shared" si="3"/>
        <v>0</v>
      </c>
      <c r="P37" s="61">
        <f t="shared" si="4"/>
        <v>0</v>
      </c>
      <c r="Q37" s="67">
        <f t="shared" si="5"/>
        <v>0</v>
      </c>
    </row>
    <row r="38" spans="1:17" ht="14.25" customHeight="1">
      <c r="A38" s="70">
        <v>37</v>
      </c>
      <c r="B38" s="76" t="s">
        <v>319</v>
      </c>
      <c r="C38" s="73">
        <v>1875</v>
      </c>
      <c r="D38" s="61">
        <v>92.5</v>
      </c>
      <c r="E38" s="79">
        <v>0</v>
      </c>
      <c r="F38" s="62">
        <v>0</v>
      </c>
      <c r="G38" s="61">
        <v>0</v>
      </c>
      <c r="H38" s="61">
        <v>0</v>
      </c>
      <c r="I38" s="61">
        <v>0</v>
      </c>
      <c r="J38" s="61">
        <v>0</v>
      </c>
      <c r="K38" s="67">
        <v>0</v>
      </c>
      <c r="L38" s="73">
        <f t="shared" si="0"/>
        <v>0</v>
      </c>
      <c r="M38" s="61">
        <f t="shared" si="1"/>
        <v>0</v>
      </c>
      <c r="N38" s="61">
        <f t="shared" si="2"/>
        <v>0</v>
      </c>
      <c r="O38" s="61">
        <f t="shared" si="3"/>
        <v>0</v>
      </c>
      <c r="P38" s="61">
        <f t="shared" si="4"/>
        <v>0</v>
      </c>
      <c r="Q38" s="67">
        <f t="shared" si="5"/>
        <v>0</v>
      </c>
    </row>
    <row r="39" spans="1:17" ht="14.25" customHeight="1">
      <c r="A39" s="70">
        <v>38</v>
      </c>
      <c r="B39" s="76" t="s">
        <v>319</v>
      </c>
      <c r="C39" s="73">
        <v>2000</v>
      </c>
      <c r="D39" s="61">
        <v>85</v>
      </c>
      <c r="E39" s="79">
        <v>0</v>
      </c>
      <c r="F39" s="62">
        <v>0</v>
      </c>
      <c r="G39" s="61">
        <v>0</v>
      </c>
      <c r="H39" s="61">
        <v>0</v>
      </c>
      <c r="I39" s="61">
        <v>0</v>
      </c>
      <c r="J39" s="61">
        <v>0</v>
      </c>
      <c r="K39" s="67">
        <v>0</v>
      </c>
      <c r="L39" s="73">
        <f t="shared" si="0"/>
        <v>0</v>
      </c>
      <c r="M39" s="61">
        <f t="shared" si="1"/>
        <v>0</v>
      </c>
      <c r="N39" s="61">
        <f t="shared" si="2"/>
        <v>0</v>
      </c>
      <c r="O39" s="61">
        <f t="shared" si="3"/>
        <v>0</v>
      </c>
      <c r="P39" s="61">
        <f t="shared" si="4"/>
        <v>0</v>
      </c>
      <c r="Q39" s="67">
        <f t="shared" si="5"/>
        <v>0</v>
      </c>
    </row>
    <row r="40" spans="1:17" ht="14.25" customHeight="1">
      <c r="A40" s="70">
        <v>39</v>
      </c>
      <c r="B40" s="76" t="s">
        <v>319</v>
      </c>
      <c r="C40" s="73">
        <v>2125</v>
      </c>
      <c r="D40" s="61">
        <v>77.5</v>
      </c>
      <c r="E40" s="79">
        <v>0</v>
      </c>
      <c r="F40" s="62">
        <v>0</v>
      </c>
      <c r="G40" s="61">
        <v>0</v>
      </c>
      <c r="H40" s="61">
        <v>0</v>
      </c>
      <c r="I40" s="61">
        <v>0</v>
      </c>
      <c r="J40" s="61">
        <v>0</v>
      </c>
      <c r="K40" s="67">
        <v>0</v>
      </c>
      <c r="L40" s="73">
        <f t="shared" si="0"/>
        <v>0</v>
      </c>
      <c r="M40" s="61">
        <f t="shared" si="1"/>
        <v>0</v>
      </c>
      <c r="N40" s="61">
        <f t="shared" si="2"/>
        <v>0</v>
      </c>
      <c r="O40" s="61">
        <f t="shared" si="3"/>
        <v>0</v>
      </c>
      <c r="P40" s="61">
        <f t="shared" si="4"/>
        <v>0</v>
      </c>
      <c r="Q40" s="67">
        <f t="shared" si="5"/>
        <v>0</v>
      </c>
    </row>
    <row r="41" spans="1:17" ht="14.25" customHeight="1">
      <c r="A41" s="70">
        <v>40</v>
      </c>
      <c r="B41" s="76" t="s">
        <v>319</v>
      </c>
      <c r="C41" s="73">
        <v>2250</v>
      </c>
      <c r="D41" s="61">
        <v>70</v>
      </c>
      <c r="E41" s="79">
        <v>0</v>
      </c>
      <c r="F41" s="62">
        <v>0</v>
      </c>
      <c r="G41" s="61">
        <v>0</v>
      </c>
      <c r="H41" s="61">
        <v>0</v>
      </c>
      <c r="I41" s="61">
        <v>0</v>
      </c>
      <c r="J41" s="61">
        <v>0</v>
      </c>
      <c r="K41" s="67">
        <v>0</v>
      </c>
      <c r="L41" s="73">
        <f t="shared" si="0"/>
        <v>0</v>
      </c>
      <c r="M41" s="61">
        <f t="shared" si="1"/>
        <v>0</v>
      </c>
      <c r="N41" s="61">
        <f t="shared" si="2"/>
        <v>0</v>
      </c>
      <c r="O41" s="61">
        <f t="shared" si="3"/>
        <v>0</v>
      </c>
      <c r="P41" s="61">
        <f t="shared" si="4"/>
        <v>0</v>
      </c>
      <c r="Q41" s="67">
        <f t="shared" si="5"/>
        <v>0</v>
      </c>
    </row>
    <row r="42" spans="1:17" ht="14.25" customHeight="1">
      <c r="A42" s="70">
        <v>41</v>
      </c>
      <c r="B42" s="76" t="s">
        <v>319</v>
      </c>
      <c r="C42" s="73">
        <v>2375</v>
      </c>
      <c r="D42" s="61">
        <v>62.5</v>
      </c>
      <c r="E42" s="79">
        <v>0</v>
      </c>
      <c r="F42" s="62">
        <v>0</v>
      </c>
      <c r="G42" s="61">
        <v>0</v>
      </c>
      <c r="H42" s="61">
        <v>0</v>
      </c>
      <c r="I42" s="61">
        <v>0</v>
      </c>
      <c r="J42" s="61">
        <v>0</v>
      </c>
      <c r="K42" s="67">
        <v>0</v>
      </c>
      <c r="L42" s="73">
        <f t="shared" si="0"/>
        <v>0</v>
      </c>
      <c r="M42" s="61">
        <f t="shared" si="1"/>
        <v>0</v>
      </c>
      <c r="N42" s="61">
        <f t="shared" si="2"/>
        <v>0</v>
      </c>
      <c r="O42" s="61">
        <f t="shared" si="3"/>
        <v>0</v>
      </c>
      <c r="P42" s="61">
        <f t="shared" si="4"/>
        <v>0</v>
      </c>
      <c r="Q42" s="67">
        <f t="shared" si="5"/>
        <v>0</v>
      </c>
    </row>
    <row r="43" spans="1:17" ht="14.25" customHeight="1" thickBot="1">
      <c r="A43" s="71">
        <v>42</v>
      </c>
      <c r="B43" s="77" t="s">
        <v>319</v>
      </c>
      <c r="C43" s="74">
        <v>2500</v>
      </c>
      <c r="D43" s="65">
        <v>55</v>
      </c>
      <c r="E43" s="80">
        <v>0</v>
      </c>
      <c r="F43" s="64">
        <v>0</v>
      </c>
      <c r="G43" s="65">
        <v>0</v>
      </c>
      <c r="H43" s="65">
        <v>0</v>
      </c>
      <c r="I43" s="65">
        <v>0</v>
      </c>
      <c r="J43" s="65">
        <v>0</v>
      </c>
      <c r="K43" s="68">
        <v>0</v>
      </c>
      <c r="L43" s="74">
        <f t="shared" si="0"/>
        <v>0</v>
      </c>
      <c r="M43" s="65">
        <f t="shared" si="1"/>
        <v>0</v>
      </c>
      <c r="N43" s="65">
        <f t="shared" si="2"/>
        <v>0</v>
      </c>
      <c r="O43" s="65">
        <f t="shared" si="3"/>
        <v>0</v>
      </c>
      <c r="P43" s="65">
        <f t="shared" si="4"/>
        <v>0</v>
      </c>
      <c r="Q43" s="68">
        <f t="shared" si="5"/>
        <v>0</v>
      </c>
    </row>
    <row r="44" spans="1:17" ht="14.25" customHeight="1"/>
    <row r="45" spans="1:17" ht="14.25" customHeight="1"/>
  </sheetData>
  <dataConsolidate/>
  <pageMargins left="0.511811024" right="0.511811024" top="0.78740157499999996" bottom="0.78740157499999996" header="0.31496062000000002" footer="0.31496062000000002"/>
  <pageSetup paperSize="9" scale="5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V82"/>
  <sheetViews>
    <sheetView zoomScale="70" zoomScaleNormal="70" workbookViewId="0">
      <selection activeCell="M45" sqref="M45"/>
    </sheetView>
  </sheetViews>
  <sheetFormatPr defaultColWidth="8.75" defaultRowHeight="14.25"/>
  <cols>
    <col min="1" max="1" width="6" style="60" bestFit="1" customWidth="1"/>
    <col min="2" max="2" width="13.875" style="60" bestFit="1" customWidth="1"/>
    <col min="3" max="3" width="9" style="60" bestFit="1" customWidth="1"/>
    <col min="4" max="4" width="8.375" style="60" bestFit="1" customWidth="1"/>
    <col min="5" max="5" width="6.875" style="60" bestFit="1" customWidth="1"/>
    <col min="6" max="6" width="17.375" style="60" bestFit="1" customWidth="1"/>
    <col min="7" max="7" width="12" style="60" bestFit="1" customWidth="1"/>
    <col min="8" max="8" width="11.375" style="60" bestFit="1" customWidth="1"/>
    <col min="9" max="9" width="13" style="43" bestFit="1" customWidth="1"/>
    <col min="10" max="10" width="8.75" style="43"/>
    <col min="11" max="11" width="39.625" style="43" bestFit="1" customWidth="1"/>
    <col min="12" max="16384" width="8.75" style="43"/>
  </cols>
  <sheetData>
    <row r="1" spans="1:22" ht="30.75" thickBot="1">
      <c r="A1" s="120" t="s">
        <v>0</v>
      </c>
      <c r="B1" s="121" t="s">
        <v>18</v>
      </c>
      <c r="C1" s="122" t="s">
        <v>64</v>
      </c>
      <c r="D1" s="123" t="s">
        <v>62</v>
      </c>
      <c r="E1" s="120" t="s">
        <v>3</v>
      </c>
      <c r="F1" s="124" t="s">
        <v>198</v>
      </c>
      <c r="G1" s="122" t="s">
        <v>4</v>
      </c>
      <c r="H1" s="125" t="s">
        <v>5</v>
      </c>
    </row>
    <row r="2" spans="1:22">
      <c r="A2" s="69">
        <v>1</v>
      </c>
      <c r="B2" s="75" t="s">
        <v>174</v>
      </c>
      <c r="C2" s="72">
        <v>1</v>
      </c>
      <c r="D2" s="78">
        <v>2</v>
      </c>
      <c r="E2" s="69">
        <v>1</v>
      </c>
      <c r="F2" s="75">
        <v>0</v>
      </c>
      <c r="G2" s="72">
        <v>1</v>
      </c>
      <c r="H2" s="66">
        <v>0</v>
      </c>
      <c r="K2" s="43" t="s">
        <v>71</v>
      </c>
    </row>
    <row r="3" spans="1:22">
      <c r="A3" s="70">
        <v>2</v>
      </c>
      <c r="B3" s="76" t="s">
        <v>174</v>
      </c>
      <c r="C3" s="73">
        <v>2</v>
      </c>
      <c r="D3" s="79">
        <v>3</v>
      </c>
      <c r="E3" s="70">
        <v>1</v>
      </c>
      <c r="F3" s="76">
        <v>0</v>
      </c>
      <c r="G3" s="73">
        <v>1</v>
      </c>
      <c r="H3" s="67">
        <v>0</v>
      </c>
      <c r="K3" s="43" t="s">
        <v>0</v>
      </c>
      <c r="L3" s="43" t="s">
        <v>65</v>
      </c>
    </row>
    <row r="4" spans="1:22">
      <c r="A4" s="70">
        <v>3</v>
      </c>
      <c r="B4" s="76" t="s">
        <v>174</v>
      </c>
      <c r="C4" s="73">
        <v>3</v>
      </c>
      <c r="D4" s="79">
        <v>4</v>
      </c>
      <c r="E4" s="70">
        <v>1</v>
      </c>
      <c r="F4" s="76">
        <v>0</v>
      </c>
      <c r="G4" s="73">
        <v>1</v>
      </c>
      <c r="H4" s="67">
        <v>0</v>
      </c>
      <c r="K4" s="43" t="s">
        <v>18</v>
      </c>
      <c r="L4" s="43" t="s">
        <v>66</v>
      </c>
    </row>
    <row r="5" spans="1:22">
      <c r="A5" s="70">
        <v>4</v>
      </c>
      <c r="B5" s="76" t="s">
        <v>174</v>
      </c>
      <c r="C5" s="73">
        <v>4</v>
      </c>
      <c r="D5" s="79">
        <v>5</v>
      </c>
      <c r="E5" s="70">
        <v>1</v>
      </c>
      <c r="F5" s="76">
        <v>0</v>
      </c>
      <c r="G5" s="73">
        <v>1</v>
      </c>
      <c r="H5" s="67">
        <v>0</v>
      </c>
      <c r="K5" s="43" t="s">
        <v>67</v>
      </c>
      <c r="L5" s="43" t="s">
        <v>68</v>
      </c>
    </row>
    <row r="6" spans="1:22">
      <c r="A6" s="70">
        <v>5</v>
      </c>
      <c r="B6" s="76" t="s">
        <v>174</v>
      </c>
      <c r="C6" s="73">
        <v>5</v>
      </c>
      <c r="D6" s="79">
        <v>6</v>
      </c>
      <c r="E6" s="70">
        <v>1</v>
      </c>
      <c r="F6" s="76">
        <v>0</v>
      </c>
      <c r="G6" s="73">
        <v>1</v>
      </c>
      <c r="H6" s="67">
        <v>0</v>
      </c>
      <c r="K6" s="43" t="s">
        <v>3</v>
      </c>
      <c r="L6" s="43" t="s">
        <v>69</v>
      </c>
    </row>
    <row r="7" spans="1:22">
      <c r="A7" s="70">
        <v>6</v>
      </c>
      <c r="B7" s="76" t="s">
        <v>174</v>
      </c>
      <c r="C7" s="73">
        <v>6</v>
      </c>
      <c r="D7" s="79">
        <v>7</v>
      </c>
      <c r="E7" s="70">
        <v>1</v>
      </c>
      <c r="F7" s="76">
        <v>0</v>
      </c>
      <c r="G7" s="73">
        <v>1</v>
      </c>
      <c r="H7" s="67">
        <v>0</v>
      </c>
      <c r="K7" s="43" t="s">
        <v>63</v>
      </c>
      <c r="L7" s="43" t="s">
        <v>70</v>
      </c>
    </row>
    <row r="8" spans="1:22">
      <c r="A8" s="70">
        <v>7</v>
      </c>
      <c r="B8" s="76" t="s">
        <v>174</v>
      </c>
      <c r="C8" s="73">
        <v>7</v>
      </c>
      <c r="D8" s="79">
        <v>8</v>
      </c>
      <c r="E8" s="70">
        <v>1</v>
      </c>
      <c r="F8" s="76">
        <v>0</v>
      </c>
      <c r="G8" s="73">
        <v>1</v>
      </c>
      <c r="H8" s="67">
        <v>0</v>
      </c>
    </row>
    <row r="9" spans="1:22">
      <c r="A9" s="70">
        <v>8</v>
      </c>
      <c r="B9" s="76" t="s">
        <v>174</v>
      </c>
      <c r="C9" s="73">
        <v>8</v>
      </c>
      <c r="D9" s="79">
        <v>9</v>
      </c>
      <c r="E9" s="70">
        <v>1</v>
      </c>
      <c r="F9" s="76">
        <v>0</v>
      </c>
      <c r="G9" s="73">
        <v>1</v>
      </c>
      <c r="H9" s="67">
        <v>0</v>
      </c>
      <c r="K9" s="316" t="s">
        <v>73</v>
      </c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</row>
    <row r="10" spans="1:22">
      <c r="A10" s="70">
        <v>9</v>
      </c>
      <c r="B10" s="76" t="s">
        <v>174</v>
      </c>
      <c r="C10" s="73">
        <v>9</v>
      </c>
      <c r="D10" s="79">
        <v>10</v>
      </c>
      <c r="E10" s="70">
        <v>1</v>
      </c>
      <c r="F10" s="76">
        <v>0</v>
      </c>
      <c r="G10" s="73">
        <v>1</v>
      </c>
      <c r="H10" s="67">
        <v>0</v>
      </c>
    </row>
    <row r="11" spans="1:22">
      <c r="A11" s="70">
        <v>10</v>
      </c>
      <c r="B11" s="76" t="s">
        <v>174</v>
      </c>
      <c r="C11" s="73">
        <v>10</v>
      </c>
      <c r="D11" s="79">
        <v>11</v>
      </c>
      <c r="E11" s="70">
        <v>1</v>
      </c>
      <c r="F11" s="76">
        <v>0</v>
      </c>
      <c r="G11" s="73">
        <v>1</v>
      </c>
      <c r="H11" s="67">
        <v>0</v>
      </c>
    </row>
    <row r="12" spans="1:22">
      <c r="A12" s="70">
        <v>11</v>
      </c>
      <c r="B12" s="76" t="s">
        <v>174</v>
      </c>
      <c r="C12" s="73">
        <v>11</v>
      </c>
      <c r="D12" s="79">
        <v>12</v>
      </c>
      <c r="E12" s="70">
        <v>1</v>
      </c>
      <c r="F12" s="76">
        <v>0</v>
      </c>
      <c r="G12" s="73">
        <v>1</v>
      </c>
      <c r="H12" s="67">
        <v>0</v>
      </c>
    </row>
    <row r="13" spans="1:22">
      <c r="A13" s="70">
        <v>12</v>
      </c>
      <c r="B13" s="76" t="s">
        <v>174</v>
      </c>
      <c r="C13" s="73">
        <v>12</v>
      </c>
      <c r="D13" s="79">
        <v>13</v>
      </c>
      <c r="E13" s="70">
        <v>1</v>
      </c>
      <c r="F13" s="76">
        <v>0</v>
      </c>
      <c r="G13" s="73">
        <v>1</v>
      </c>
      <c r="H13" s="67">
        <v>0</v>
      </c>
    </row>
    <row r="14" spans="1:22">
      <c r="A14" s="70">
        <v>13</v>
      </c>
      <c r="B14" s="76" t="s">
        <v>174</v>
      </c>
      <c r="C14" s="73">
        <v>13</v>
      </c>
      <c r="D14" s="79">
        <v>14</v>
      </c>
      <c r="E14" s="70">
        <v>1</v>
      </c>
      <c r="F14" s="76">
        <v>0</v>
      </c>
      <c r="G14" s="73">
        <v>1</v>
      </c>
      <c r="H14" s="67">
        <v>0</v>
      </c>
    </row>
    <row r="15" spans="1:22">
      <c r="A15" s="70">
        <v>14</v>
      </c>
      <c r="B15" s="76" t="s">
        <v>174</v>
      </c>
      <c r="C15" s="73">
        <v>14</v>
      </c>
      <c r="D15" s="79">
        <v>15</v>
      </c>
      <c r="E15" s="70">
        <v>1</v>
      </c>
      <c r="F15" s="76">
        <v>0</v>
      </c>
      <c r="G15" s="73">
        <v>1</v>
      </c>
      <c r="H15" s="67">
        <v>0</v>
      </c>
    </row>
    <row r="16" spans="1:22">
      <c r="A16" s="70">
        <v>15</v>
      </c>
      <c r="B16" s="76" t="s">
        <v>174</v>
      </c>
      <c r="C16" s="73">
        <v>15</v>
      </c>
      <c r="D16" s="79">
        <v>16</v>
      </c>
      <c r="E16" s="70">
        <v>1</v>
      </c>
      <c r="F16" s="76">
        <v>0</v>
      </c>
      <c r="G16" s="73">
        <v>1</v>
      </c>
      <c r="H16" s="67">
        <v>0</v>
      </c>
    </row>
    <row r="17" spans="1:8">
      <c r="A17" s="70">
        <v>16</v>
      </c>
      <c r="B17" s="76" t="s">
        <v>174</v>
      </c>
      <c r="C17" s="73">
        <v>16</v>
      </c>
      <c r="D17" s="79">
        <v>17</v>
      </c>
      <c r="E17" s="70">
        <v>1</v>
      </c>
      <c r="F17" s="76">
        <v>0</v>
      </c>
      <c r="G17" s="73">
        <v>1</v>
      </c>
      <c r="H17" s="67">
        <v>0</v>
      </c>
    </row>
    <row r="18" spans="1:8">
      <c r="A18" s="70">
        <v>17</v>
      </c>
      <c r="B18" s="76" t="s">
        <v>174</v>
      </c>
      <c r="C18" s="73">
        <v>17</v>
      </c>
      <c r="D18" s="79">
        <v>18</v>
      </c>
      <c r="E18" s="70">
        <v>1</v>
      </c>
      <c r="F18" s="76">
        <v>0</v>
      </c>
      <c r="G18" s="73">
        <v>1</v>
      </c>
      <c r="H18" s="67">
        <v>0</v>
      </c>
    </row>
    <row r="19" spans="1:8">
      <c r="A19" s="70">
        <v>18</v>
      </c>
      <c r="B19" s="76" t="s">
        <v>174</v>
      </c>
      <c r="C19" s="73">
        <v>18</v>
      </c>
      <c r="D19" s="79">
        <v>19</v>
      </c>
      <c r="E19" s="70">
        <v>1</v>
      </c>
      <c r="F19" s="76">
        <v>0</v>
      </c>
      <c r="G19" s="73">
        <v>1</v>
      </c>
      <c r="H19" s="67">
        <v>0</v>
      </c>
    </row>
    <row r="20" spans="1:8">
      <c r="A20" s="70">
        <v>19</v>
      </c>
      <c r="B20" s="76" t="s">
        <v>174</v>
      </c>
      <c r="C20" s="73">
        <v>19</v>
      </c>
      <c r="D20" s="79">
        <v>20</v>
      </c>
      <c r="E20" s="70">
        <v>1</v>
      </c>
      <c r="F20" s="76">
        <v>0</v>
      </c>
      <c r="G20" s="73">
        <v>1</v>
      </c>
      <c r="H20" s="67">
        <v>0</v>
      </c>
    </row>
    <row r="21" spans="1:8">
      <c r="A21" s="70">
        <v>20</v>
      </c>
      <c r="B21" s="76" t="s">
        <v>174</v>
      </c>
      <c r="C21" s="73">
        <v>20</v>
      </c>
      <c r="D21" s="79">
        <v>21</v>
      </c>
      <c r="E21" s="70">
        <v>1</v>
      </c>
      <c r="F21" s="76">
        <v>0</v>
      </c>
      <c r="G21" s="73">
        <v>1</v>
      </c>
      <c r="H21" s="67">
        <v>0</v>
      </c>
    </row>
    <row r="22" spans="1:8">
      <c r="A22" s="70">
        <v>21</v>
      </c>
      <c r="B22" s="76" t="s">
        <v>205</v>
      </c>
      <c r="C22" s="73">
        <v>22</v>
      </c>
      <c r="D22" s="79">
        <v>23</v>
      </c>
      <c r="E22" s="70">
        <v>1</v>
      </c>
      <c r="F22" s="76">
        <v>0</v>
      </c>
      <c r="G22" s="73">
        <v>0</v>
      </c>
      <c r="H22" s="67">
        <v>1</v>
      </c>
    </row>
    <row r="23" spans="1:8">
      <c r="A23" s="70">
        <v>22</v>
      </c>
      <c r="B23" s="76" t="s">
        <v>205</v>
      </c>
      <c r="C23" s="73">
        <v>23</v>
      </c>
      <c r="D23" s="79">
        <v>24</v>
      </c>
      <c r="E23" s="70">
        <v>1</v>
      </c>
      <c r="F23" s="76">
        <v>0</v>
      </c>
      <c r="G23" s="73">
        <v>0</v>
      </c>
      <c r="H23" s="67">
        <v>1</v>
      </c>
    </row>
    <row r="24" spans="1:8">
      <c r="A24" s="70">
        <v>23</v>
      </c>
      <c r="B24" s="76" t="s">
        <v>205</v>
      </c>
      <c r="C24" s="73">
        <v>24</v>
      </c>
      <c r="D24" s="79">
        <v>25</v>
      </c>
      <c r="E24" s="70">
        <v>1</v>
      </c>
      <c r="F24" s="76">
        <v>0</v>
      </c>
      <c r="G24" s="73">
        <v>0</v>
      </c>
      <c r="H24" s="67">
        <v>1</v>
      </c>
    </row>
    <row r="25" spans="1:8">
      <c r="A25" s="70">
        <v>24</v>
      </c>
      <c r="B25" s="76" t="s">
        <v>205</v>
      </c>
      <c r="C25" s="73">
        <v>25</v>
      </c>
      <c r="D25" s="79">
        <v>26</v>
      </c>
      <c r="E25" s="70">
        <v>1</v>
      </c>
      <c r="F25" s="76">
        <v>0</v>
      </c>
      <c r="G25" s="73">
        <v>0</v>
      </c>
      <c r="H25" s="67">
        <v>1</v>
      </c>
    </row>
    <row r="26" spans="1:8">
      <c r="A26" s="70">
        <v>25</v>
      </c>
      <c r="B26" s="76" t="s">
        <v>205</v>
      </c>
      <c r="C26" s="73">
        <v>26</v>
      </c>
      <c r="D26" s="79">
        <v>27</v>
      </c>
      <c r="E26" s="70">
        <v>1</v>
      </c>
      <c r="F26" s="76">
        <v>0</v>
      </c>
      <c r="G26" s="73">
        <v>0</v>
      </c>
      <c r="H26" s="67">
        <v>1</v>
      </c>
    </row>
    <row r="27" spans="1:8">
      <c r="A27" s="70">
        <v>26</v>
      </c>
      <c r="B27" s="76" t="s">
        <v>205</v>
      </c>
      <c r="C27" s="73">
        <v>27</v>
      </c>
      <c r="D27" s="79">
        <v>28</v>
      </c>
      <c r="E27" s="70">
        <v>1</v>
      </c>
      <c r="F27" s="76">
        <v>0</v>
      </c>
      <c r="G27" s="73">
        <v>0</v>
      </c>
      <c r="H27" s="67">
        <v>1</v>
      </c>
    </row>
    <row r="28" spans="1:8">
      <c r="A28" s="70">
        <v>27</v>
      </c>
      <c r="B28" s="76" t="s">
        <v>205</v>
      </c>
      <c r="C28" s="73">
        <v>28</v>
      </c>
      <c r="D28" s="79">
        <v>29</v>
      </c>
      <c r="E28" s="70">
        <v>1</v>
      </c>
      <c r="F28" s="76">
        <v>0</v>
      </c>
      <c r="G28" s="73">
        <v>0</v>
      </c>
      <c r="H28" s="67">
        <v>1</v>
      </c>
    </row>
    <row r="29" spans="1:8">
      <c r="A29" s="70">
        <v>28</v>
      </c>
      <c r="B29" s="76" t="s">
        <v>205</v>
      </c>
      <c r="C29" s="73">
        <v>29</v>
      </c>
      <c r="D29" s="79">
        <v>30</v>
      </c>
      <c r="E29" s="70">
        <v>1</v>
      </c>
      <c r="F29" s="76">
        <v>0</v>
      </c>
      <c r="G29" s="73">
        <v>0</v>
      </c>
      <c r="H29" s="67">
        <v>1</v>
      </c>
    </row>
    <row r="30" spans="1:8">
      <c r="A30" s="70">
        <v>29</v>
      </c>
      <c r="B30" s="76" t="s">
        <v>205</v>
      </c>
      <c r="C30" s="73">
        <v>30</v>
      </c>
      <c r="D30" s="79">
        <v>31</v>
      </c>
      <c r="E30" s="70">
        <v>1</v>
      </c>
      <c r="F30" s="76">
        <v>0</v>
      </c>
      <c r="G30" s="73">
        <v>0</v>
      </c>
      <c r="H30" s="67">
        <v>1</v>
      </c>
    </row>
    <row r="31" spans="1:8">
      <c r="A31" s="70">
        <v>30</v>
      </c>
      <c r="B31" s="76" t="s">
        <v>205</v>
      </c>
      <c r="C31" s="73">
        <v>31</v>
      </c>
      <c r="D31" s="79">
        <v>32</v>
      </c>
      <c r="E31" s="70">
        <v>1</v>
      </c>
      <c r="F31" s="76">
        <v>0</v>
      </c>
      <c r="G31" s="73">
        <v>0</v>
      </c>
      <c r="H31" s="67">
        <v>1</v>
      </c>
    </row>
    <row r="32" spans="1:8">
      <c r="A32" s="70">
        <v>31</v>
      </c>
      <c r="B32" s="76" t="s">
        <v>205</v>
      </c>
      <c r="C32" s="73">
        <v>32</v>
      </c>
      <c r="D32" s="79">
        <v>33</v>
      </c>
      <c r="E32" s="70">
        <v>1</v>
      </c>
      <c r="F32" s="76">
        <v>0</v>
      </c>
      <c r="G32" s="73">
        <v>0</v>
      </c>
      <c r="H32" s="67">
        <v>1</v>
      </c>
    </row>
    <row r="33" spans="1:8">
      <c r="A33" s="70">
        <v>32</v>
      </c>
      <c r="B33" s="76" t="s">
        <v>205</v>
      </c>
      <c r="C33" s="73">
        <v>33</v>
      </c>
      <c r="D33" s="79">
        <v>34</v>
      </c>
      <c r="E33" s="70">
        <v>1</v>
      </c>
      <c r="F33" s="76">
        <v>0</v>
      </c>
      <c r="G33" s="73">
        <v>0</v>
      </c>
      <c r="H33" s="67">
        <v>1</v>
      </c>
    </row>
    <row r="34" spans="1:8">
      <c r="A34" s="70">
        <v>33</v>
      </c>
      <c r="B34" s="76" t="s">
        <v>205</v>
      </c>
      <c r="C34" s="73">
        <v>34</v>
      </c>
      <c r="D34" s="79">
        <v>35</v>
      </c>
      <c r="E34" s="70">
        <v>1</v>
      </c>
      <c r="F34" s="76">
        <v>0</v>
      </c>
      <c r="G34" s="73">
        <v>0</v>
      </c>
      <c r="H34" s="67">
        <v>1</v>
      </c>
    </row>
    <row r="35" spans="1:8">
      <c r="A35" s="70">
        <v>34</v>
      </c>
      <c r="B35" s="76" t="s">
        <v>205</v>
      </c>
      <c r="C35" s="73">
        <v>35</v>
      </c>
      <c r="D35" s="79">
        <v>36</v>
      </c>
      <c r="E35" s="70">
        <v>1</v>
      </c>
      <c r="F35" s="76">
        <v>0</v>
      </c>
      <c r="G35" s="73">
        <v>0</v>
      </c>
      <c r="H35" s="67">
        <v>1</v>
      </c>
    </row>
    <row r="36" spans="1:8">
      <c r="A36" s="70">
        <v>35</v>
      </c>
      <c r="B36" s="76" t="s">
        <v>205</v>
      </c>
      <c r="C36" s="73">
        <v>36</v>
      </c>
      <c r="D36" s="79">
        <v>37</v>
      </c>
      <c r="E36" s="70">
        <v>1</v>
      </c>
      <c r="F36" s="76">
        <v>0</v>
      </c>
      <c r="G36" s="73">
        <v>0</v>
      </c>
      <c r="H36" s="67">
        <v>1</v>
      </c>
    </row>
    <row r="37" spans="1:8">
      <c r="A37" s="70">
        <v>36</v>
      </c>
      <c r="B37" s="76" t="s">
        <v>205</v>
      </c>
      <c r="C37" s="73">
        <v>37</v>
      </c>
      <c r="D37" s="79">
        <v>38</v>
      </c>
      <c r="E37" s="70">
        <v>1</v>
      </c>
      <c r="F37" s="76">
        <v>0</v>
      </c>
      <c r="G37" s="73">
        <v>0</v>
      </c>
      <c r="H37" s="67">
        <v>1</v>
      </c>
    </row>
    <row r="38" spans="1:8">
      <c r="A38" s="70">
        <v>37</v>
      </c>
      <c r="B38" s="76" t="s">
        <v>205</v>
      </c>
      <c r="C38" s="73">
        <v>38</v>
      </c>
      <c r="D38" s="79">
        <v>39</v>
      </c>
      <c r="E38" s="70">
        <v>1</v>
      </c>
      <c r="F38" s="76">
        <v>0</v>
      </c>
      <c r="G38" s="73">
        <v>0</v>
      </c>
      <c r="H38" s="67">
        <v>1</v>
      </c>
    </row>
    <row r="39" spans="1:8">
      <c r="A39" s="70">
        <v>38</v>
      </c>
      <c r="B39" s="76" t="s">
        <v>205</v>
      </c>
      <c r="C39" s="73">
        <v>39</v>
      </c>
      <c r="D39" s="79">
        <v>40</v>
      </c>
      <c r="E39" s="70">
        <v>1</v>
      </c>
      <c r="F39" s="76">
        <v>0</v>
      </c>
      <c r="G39" s="73">
        <v>0</v>
      </c>
      <c r="H39" s="67">
        <v>1</v>
      </c>
    </row>
    <row r="40" spans="1:8">
      <c r="A40" s="70">
        <v>39</v>
      </c>
      <c r="B40" s="76" t="s">
        <v>205</v>
      </c>
      <c r="C40" s="73">
        <v>40</v>
      </c>
      <c r="D40" s="79">
        <v>41</v>
      </c>
      <c r="E40" s="70">
        <v>1</v>
      </c>
      <c r="F40" s="76">
        <v>0</v>
      </c>
      <c r="G40" s="73">
        <v>0</v>
      </c>
      <c r="H40" s="67">
        <v>1</v>
      </c>
    </row>
    <row r="41" spans="1:8">
      <c r="A41" s="70">
        <v>40</v>
      </c>
      <c r="B41" s="76" t="s">
        <v>205</v>
      </c>
      <c r="C41" s="73">
        <v>41</v>
      </c>
      <c r="D41" s="79">
        <v>42</v>
      </c>
      <c r="E41" s="70">
        <v>1</v>
      </c>
      <c r="F41" s="76">
        <v>0</v>
      </c>
      <c r="G41" s="73">
        <v>0</v>
      </c>
      <c r="H41" s="67">
        <v>1</v>
      </c>
    </row>
    <row r="42" spans="1:8">
      <c r="A42" s="70">
        <v>41</v>
      </c>
      <c r="B42" s="76" t="s">
        <v>278</v>
      </c>
      <c r="C42" s="73">
        <v>1</v>
      </c>
      <c r="D42" s="79">
        <v>22</v>
      </c>
      <c r="E42" s="70">
        <v>1</v>
      </c>
      <c r="F42" s="76">
        <v>0</v>
      </c>
      <c r="G42" s="73">
        <v>1</v>
      </c>
      <c r="H42" s="67">
        <v>1</v>
      </c>
    </row>
    <row r="43" spans="1:8">
      <c r="A43" s="70">
        <v>42</v>
      </c>
      <c r="B43" s="76" t="s">
        <v>278</v>
      </c>
      <c r="C43" s="73">
        <v>2</v>
      </c>
      <c r="D43" s="79">
        <v>23</v>
      </c>
      <c r="E43" s="70">
        <v>1</v>
      </c>
      <c r="F43" s="76">
        <v>0</v>
      </c>
      <c r="G43" s="73">
        <v>1</v>
      </c>
      <c r="H43" s="67">
        <v>1</v>
      </c>
    </row>
    <row r="44" spans="1:8">
      <c r="A44" s="70">
        <v>43</v>
      </c>
      <c r="B44" s="76" t="s">
        <v>278</v>
      </c>
      <c r="C44" s="73">
        <v>3</v>
      </c>
      <c r="D44" s="79">
        <v>24</v>
      </c>
      <c r="E44" s="70">
        <v>1</v>
      </c>
      <c r="F44" s="76">
        <v>0</v>
      </c>
      <c r="G44" s="73">
        <v>1</v>
      </c>
      <c r="H44" s="67">
        <v>1</v>
      </c>
    </row>
    <row r="45" spans="1:8">
      <c r="A45" s="70">
        <v>44</v>
      </c>
      <c r="B45" s="76" t="s">
        <v>278</v>
      </c>
      <c r="C45" s="73">
        <v>4</v>
      </c>
      <c r="D45" s="79">
        <v>25</v>
      </c>
      <c r="E45" s="70">
        <v>1</v>
      </c>
      <c r="F45" s="76">
        <v>0</v>
      </c>
      <c r="G45" s="73">
        <v>1</v>
      </c>
      <c r="H45" s="67">
        <v>1</v>
      </c>
    </row>
    <row r="46" spans="1:8">
      <c r="A46" s="70">
        <v>45</v>
      </c>
      <c r="B46" s="76" t="s">
        <v>278</v>
      </c>
      <c r="C46" s="73">
        <v>5</v>
      </c>
      <c r="D46" s="79">
        <v>26</v>
      </c>
      <c r="E46" s="70">
        <v>1</v>
      </c>
      <c r="F46" s="76">
        <v>0</v>
      </c>
      <c r="G46" s="73">
        <v>1</v>
      </c>
      <c r="H46" s="67">
        <v>1</v>
      </c>
    </row>
    <row r="47" spans="1:8">
      <c r="A47" s="70">
        <v>46</v>
      </c>
      <c r="B47" s="76" t="s">
        <v>278</v>
      </c>
      <c r="C47" s="73">
        <v>6</v>
      </c>
      <c r="D47" s="79">
        <v>27</v>
      </c>
      <c r="E47" s="70">
        <v>1</v>
      </c>
      <c r="F47" s="76">
        <v>0</v>
      </c>
      <c r="G47" s="73">
        <v>1</v>
      </c>
      <c r="H47" s="67">
        <v>1</v>
      </c>
    </row>
    <row r="48" spans="1:8">
      <c r="A48" s="70">
        <v>47</v>
      </c>
      <c r="B48" s="76" t="s">
        <v>278</v>
      </c>
      <c r="C48" s="73">
        <v>7</v>
      </c>
      <c r="D48" s="79">
        <v>28</v>
      </c>
      <c r="E48" s="70">
        <v>1</v>
      </c>
      <c r="F48" s="76">
        <v>0</v>
      </c>
      <c r="G48" s="73">
        <v>1</v>
      </c>
      <c r="H48" s="67">
        <v>1</v>
      </c>
    </row>
    <row r="49" spans="1:8">
      <c r="A49" s="70">
        <v>48</v>
      </c>
      <c r="B49" s="76" t="s">
        <v>278</v>
      </c>
      <c r="C49" s="73">
        <v>8</v>
      </c>
      <c r="D49" s="79">
        <v>29</v>
      </c>
      <c r="E49" s="70">
        <v>1</v>
      </c>
      <c r="F49" s="76">
        <v>0</v>
      </c>
      <c r="G49" s="73">
        <v>1</v>
      </c>
      <c r="H49" s="67">
        <v>1</v>
      </c>
    </row>
    <row r="50" spans="1:8">
      <c r="A50" s="70">
        <v>49</v>
      </c>
      <c r="B50" s="76" t="s">
        <v>278</v>
      </c>
      <c r="C50" s="73">
        <v>9</v>
      </c>
      <c r="D50" s="79">
        <v>30</v>
      </c>
      <c r="E50" s="70">
        <v>1</v>
      </c>
      <c r="F50" s="76">
        <v>0</v>
      </c>
      <c r="G50" s="73">
        <v>1</v>
      </c>
      <c r="H50" s="67">
        <v>1</v>
      </c>
    </row>
    <row r="51" spans="1:8">
      <c r="A51" s="70">
        <v>50</v>
      </c>
      <c r="B51" s="76" t="s">
        <v>278</v>
      </c>
      <c r="C51" s="73">
        <v>10</v>
      </c>
      <c r="D51" s="79">
        <v>31</v>
      </c>
      <c r="E51" s="70">
        <v>1</v>
      </c>
      <c r="F51" s="76">
        <v>0</v>
      </c>
      <c r="G51" s="73">
        <v>1</v>
      </c>
      <c r="H51" s="67">
        <v>1</v>
      </c>
    </row>
    <row r="52" spans="1:8">
      <c r="A52" s="70">
        <v>51</v>
      </c>
      <c r="B52" s="76" t="s">
        <v>278</v>
      </c>
      <c r="C52" s="73">
        <v>11</v>
      </c>
      <c r="D52" s="79">
        <v>32</v>
      </c>
      <c r="E52" s="70">
        <v>1</v>
      </c>
      <c r="F52" s="76">
        <v>0</v>
      </c>
      <c r="G52" s="73">
        <v>1</v>
      </c>
      <c r="H52" s="67">
        <v>1</v>
      </c>
    </row>
    <row r="53" spans="1:8">
      <c r="A53" s="70">
        <v>52</v>
      </c>
      <c r="B53" s="76" t="s">
        <v>278</v>
      </c>
      <c r="C53" s="73">
        <v>12</v>
      </c>
      <c r="D53" s="79">
        <v>33</v>
      </c>
      <c r="E53" s="70">
        <v>1</v>
      </c>
      <c r="F53" s="76">
        <v>0</v>
      </c>
      <c r="G53" s="73">
        <v>1</v>
      </c>
      <c r="H53" s="67">
        <v>1</v>
      </c>
    </row>
    <row r="54" spans="1:8">
      <c r="A54" s="70">
        <v>53</v>
      </c>
      <c r="B54" s="76" t="s">
        <v>278</v>
      </c>
      <c r="C54" s="73">
        <v>13</v>
      </c>
      <c r="D54" s="79">
        <v>34</v>
      </c>
      <c r="E54" s="70">
        <v>1</v>
      </c>
      <c r="F54" s="76">
        <v>0</v>
      </c>
      <c r="G54" s="73">
        <v>1</v>
      </c>
      <c r="H54" s="67">
        <v>1</v>
      </c>
    </row>
    <row r="55" spans="1:8">
      <c r="A55" s="70">
        <v>54</v>
      </c>
      <c r="B55" s="76" t="s">
        <v>278</v>
      </c>
      <c r="C55" s="73">
        <v>14</v>
      </c>
      <c r="D55" s="79">
        <v>35</v>
      </c>
      <c r="E55" s="70">
        <v>1</v>
      </c>
      <c r="F55" s="76">
        <v>0</v>
      </c>
      <c r="G55" s="73">
        <v>1</v>
      </c>
      <c r="H55" s="67">
        <v>1</v>
      </c>
    </row>
    <row r="56" spans="1:8">
      <c r="A56" s="70">
        <v>55</v>
      </c>
      <c r="B56" s="76" t="s">
        <v>278</v>
      </c>
      <c r="C56" s="73">
        <v>15</v>
      </c>
      <c r="D56" s="79">
        <v>36</v>
      </c>
      <c r="E56" s="70">
        <v>1</v>
      </c>
      <c r="F56" s="76">
        <v>0</v>
      </c>
      <c r="G56" s="73">
        <v>1</v>
      </c>
      <c r="H56" s="67">
        <v>1</v>
      </c>
    </row>
    <row r="57" spans="1:8">
      <c r="A57" s="70">
        <v>56</v>
      </c>
      <c r="B57" s="76" t="s">
        <v>278</v>
      </c>
      <c r="C57" s="73">
        <v>16</v>
      </c>
      <c r="D57" s="79">
        <v>37</v>
      </c>
      <c r="E57" s="70">
        <v>1</v>
      </c>
      <c r="F57" s="76">
        <v>0</v>
      </c>
      <c r="G57" s="73">
        <v>1</v>
      </c>
      <c r="H57" s="67">
        <v>1</v>
      </c>
    </row>
    <row r="58" spans="1:8">
      <c r="A58" s="70">
        <v>57</v>
      </c>
      <c r="B58" s="76" t="s">
        <v>278</v>
      </c>
      <c r="C58" s="73">
        <v>17</v>
      </c>
      <c r="D58" s="79">
        <v>38</v>
      </c>
      <c r="E58" s="70">
        <v>1</v>
      </c>
      <c r="F58" s="76">
        <v>0</v>
      </c>
      <c r="G58" s="73">
        <v>1</v>
      </c>
      <c r="H58" s="67">
        <v>1</v>
      </c>
    </row>
    <row r="59" spans="1:8">
      <c r="A59" s="70">
        <v>58</v>
      </c>
      <c r="B59" s="76" t="s">
        <v>278</v>
      </c>
      <c r="C59" s="73">
        <v>18</v>
      </c>
      <c r="D59" s="79">
        <v>39</v>
      </c>
      <c r="E59" s="70">
        <v>1</v>
      </c>
      <c r="F59" s="76">
        <v>0</v>
      </c>
      <c r="G59" s="73">
        <v>1</v>
      </c>
      <c r="H59" s="67">
        <v>1</v>
      </c>
    </row>
    <row r="60" spans="1:8">
      <c r="A60" s="70">
        <v>59</v>
      </c>
      <c r="B60" s="76" t="s">
        <v>278</v>
      </c>
      <c r="C60" s="73">
        <v>19</v>
      </c>
      <c r="D60" s="79">
        <v>40</v>
      </c>
      <c r="E60" s="70">
        <v>1</v>
      </c>
      <c r="F60" s="76">
        <v>0</v>
      </c>
      <c r="G60" s="73">
        <v>1</v>
      </c>
      <c r="H60" s="67">
        <v>1</v>
      </c>
    </row>
    <row r="61" spans="1:8">
      <c r="A61" s="70">
        <v>60</v>
      </c>
      <c r="B61" s="76" t="s">
        <v>278</v>
      </c>
      <c r="C61" s="73">
        <v>20</v>
      </c>
      <c r="D61" s="79">
        <v>41</v>
      </c>
      <c r="E61" s="70">
        <v>1</v>
      </c>
      <c r="F61" s="76">
        <v>0</v>
      </c>
      <c r="G61" s="73">
        <v>1</v>
      </c>
      <c r="H61" s="67">
        <v>1</v>
      </c>
    </row>
    <row r="62" spans="1:8">
      <c r="A62" s="70">
        <v>61</v>
      </c>
      <c r="B62" s="76" t="s">
        <v>278</v>
      </c>
      <c r="C62" s="73">
        <v>21</v>
      </c>
      <c r="D62" s="79">
        <v>42</v>
      </c>
      <c r="E62" s="70">
        <v>1</v>
      </c>
      <c r="F62" s="76">
        <v>0</v>
      </c>
      <c r="G62" s="73">
        <v>1</v>
      </c>
      <c r="H62" s="67">
        <v>1</v>
      </c>
    </row>
    <row r="63" spans="1:8">
      <c r="A63" s="70">
        <v>62</v>
      </c>
      <c r="B63" s="76" t="s">
        <v>206</v>
      </c>
      <c r="C63" s="73">
        <v>1</v>
      </c>
      <c r="D63" s="79">
        <v>23</v>
      </c>
      <c r="E63" s="70">
        <v>1</v>
      </c>
      <c r="F63" s="76">
        <v>0</v>
      </c>
      <c r="G63" s="73">
        <v>1</v>
      </c>
      <c r="H63" s="67">
        <v>1</v>
      </c>
    </row>
    <row r="64" spans="1:8">
      <c r="A64" s="70">
        <v>63</v>
      </c>
      <c r="B64" s="76" t="s">
        <v>206</v>
      </c>
      <c r="C64" s="73">
        <v>2</v>
      </c>
      <c r="D64" s="79">
        <v>24</v>
      </c>
      <c r="E64" s="70">
        <v>1</v>
      </c>
      <c r="F64" s="76">
        <v>0</v>
      </c>
      <c r="G64" s="73">
        <v>1</v>
      </c>
      <c r="H64" s="67">
        <v>1</v>
      </c>
    </row>
    <row r="65" spans="1:8">
      <c r="A65" s="70">
        <v>64</v>
      </c>
      <c r="B65" s="76" t="s">
        <v>206</v>
      </c>
      <c r="C65" s="73">
        <v>3</v>
      </c>
      <c r="D65" s="79">
        <v>25</v>
      </c>
      <c r="E65" s="70">
        <v>1</v>
      </c>
      <c r="F65" s="76">
        <v>0</v>
      </c>
      <c r="G65" s="73">
        <v>1</v>
      </c>
      <c r="H65" s="67">
        <v>1</v>
      </c>
    </row>
    <row r="66" spans="1:8">
      <c r="A66" s="70">
        <v>65</v>
      </c>
      <c r="B66" s="76" t="s">
        <v>206</v>
      </c>
      <c r="C66" s="73">
        <v>4</v>
      </c>
      <c r="D66" s="79">
        <v>26</v>
      </c>
      <c r="E66" s="70">
        <v>1</v>
      </c>
      <c r="F66" s="76">
        <v>0</v>
      </c>
      <c r="G66" s="73">
        <v>1</v>
      </c>
      <c r="H66" s="67">
        <v>1</v>
      </c>
    </row>
    <row r="67" spans="1:8">
      <c r="A67" s="70">
        <v>66</v>
      </c>
      <c r="B67" s="76" t="s">
        <v>206</v>
      </c>
      <c r="C67" s="73">
        <v>5</v>
      </c>
      <c r="D67" s="79">
        <v>27</v>
      </c>
      <c r="E67" s="70">
        <v>1</v>
      </c>
      <c r="F67" s="76">
        <v>0</v>
      </c>
      <c r="G67" s="73">
        <v>1</v>
      </c>
      <c r="H67" s="67">
        <v>1</v>
      </c>
    </row>
    <row r="68" spans="1:8">
      <c r="A68" s="70">
        <v>67</v>
      </c>
      <c r="B68" s="76" t="s">
        <v>206</v>
      </c>
      <c r="C68" s="73">
        <v>6</v>
      </c>
      <c r="D68" s="79">
        <v>28</v>
      </c>
      <c r="E68" s="70">
        <v>1</v>
      </c>
      <c r="F68" s="76">
        <v>0</v>
      </c>
      <c r="G68" s="73">
        <v>1</v>
      </c>
      <c r="H68" s="67">
        <v>1</v>
      </c>
    </row>
    <row r="69" spans="1:8">
      <c r="A69" s="70">
        <v>68</v>
      </c>
      <c r="B69" s="76" t="s">
        <v>206</v>
      </c>
      <c r="C69" s="73">
        <v>7</v>
      </c>
      <c r="D69" s="79">
        <v>29</v>
      </c>
      <c r="E69" s="70">
        <v>1</v>
      </c>
      <c r="F69" s="76">
        <v>0</v>
      </c>
      <c r="G69" s="73">
        <v>1</v>
      </c>
      <c r="H69" s="67">
        <v>1</v>
      </c>
    </row>
    <row r="70" spans="1:8">
      <c r="A70" s="70">
        <v>69</v>
      </c>
      <c r="B70" s="76" t="s">
        <v>206</v>
      </c>
      <c r="C70" s="73">
        <v>8</v>
      </c>
      <c r="D70" s="79">
        <v>30</v>
      </c>
      <c r="E70" s="70">
        <v>1</v>
      </c>
      <c r="F70" s="76">
        <v>0</v>
      </c>
      <c r="G70" s="73">
        <v>1</v>
      </c>
      <c r="H70" s="67">
        <v>1</v>
      </c>
    </row>
    <row r="71" spans="1:8">
      <c r="A71" s="70">
        <v>70</v>
      </c>
      <c r="B71" s="76" t="s">
        <v>206</v>
      </c>
      <c r="C71" s="73">
        <v>9</v>
      </c>
      <c r="D71" s="79">
        <v>31</v>
      </c>
      <c r="E71" s="70">
        <v>1</v>
      </c>
      <c r="F71" s="76">
        <v>0</v>
      </c>
      <c r="G71" s="73">
        <v>1</v>
      </c>
      <c r="H71" s="67">
        <v>1</v>
      </c>
    </row>
    <row r="72" spans="1:8">
      <c r="A72" s="70">
        <v>71</v>
      </c>
      <c r="B72" s="76" t="s">
        <v>206</v>
      </c>
      <c r="C72" s="73">
        <v>10</v>
      </c>
      <c r="D72" s="79">
        <v>32</v>
      </c>
      <c r="E72" s="70">
        <v>1</v>
      </c>
      <c r="F72" s="76">
        <v>0</v>
      </c>
      <c r="G72" s="73">
        <v>1</v>
      </c>
      <c r="H72" s="67">
        <v>1</v>
      </c>
    </row>
    <row r="73" spans="1:8">
      <c r="A73" s="70">
        <v>72</v>
      </c>
      <c r="B73" s="76" t="s">
        <v>206</v>
      </c>
      <c r="C73" s="73">
        <v>12</v>
      </c>
      <c r="D73" s="79">
        <v>32</v>
      </c>
      <c r="E73" s="70">
        <v>1</v>
      </c>
      <c r="F73" s="76">
        <v>0</v>
      </c>
      <c r="G73" s="73">
        <v>1</v>
      </c>
      <c r="H73" s="67">
        <v>1</v>
      </c>
    </row>
    <row r="74" spans="1:8">
      <c r="A74" s="70">
        <v>73</v>
      </c>
      <c r="B74" s="76" t="s">
        <v>206</v>
      </c>
      <c r="C74" s="73">
        <v>13</v>
      </c>
      <c r="D74" s="79">
        <v>33</v>
      </c>
      <c r="E74" s="70">
        <v>1</v>
      </c>
      <c r="F74" s="76">
        <v>0</v>
      </c>
      <c r="G74" s="73">
        <v>1</v>
      </c>
      <c r="H74" s="67">
        <v>1</v>
      </c>
    </row>
    <row r="75" spans="1:8">
      <c r="A75" s="70">
        <v>74</v>
      </c>
      <c r="B75" s="76" t="s">
        <v>206</v>
      </c>
      <c r="C75" s="73">
        <v>14</v>
      </c>
      <c r="D75" s="79">
        <v>34</v>
      </c>
      <c r="E75" s="70">
        <v>1</v>
      </c>
      <c r="F75" s="76">
        <v>0</v>
      </c>
      <c r="G75" s="73">
        <v>1</v>
      </c>
      <c r="H75" s="67">
        <v>1</v>
      </c>
    </row>
    <row r="76" spans="1:8">
      <c r="A76" s="70">
        <v>75</v>
      </c>
      <c r="B76" s="76" t="s">
        <v>206</v>
      </c>
      <c r="C76" s="73">
        <v>15</v>
      </c>
      <c r="D76" s="79">
        <v>35</v>
      </c>
      <c r="E76" s="70">
        <v>1</v>
      </c>
      <c r="F76" s="76">
        <v>0</v>
      </c>
      <c r="G76" s="73">
        <v>1</v>
      </c>
      <c r="H76" s="67">
        <v>1</v>
      </c>
    </row>
    <row r="77" spans="1:8">
      <c r="A77" s="70">
        <v>76</v>
      </c>
      <c r="B77" s="76" t="s">
        <v>206</v>
      </c>
      <c r="C77" s="73">
        <v>16</v>
      </c>
      <c r="D77" s="79">
        <v>36</v>
      </c>
      <c r="E77" s="70">
        <v>1</v>
      </c>
      <c r="F77" s="76">
        <v>0</v>
      </c>
      <c r="G77" s="73">
        <v>1</v>
      </c>
      <c r="H77" s="67">
        <v>1</v>
      </c>
    </row>
    <row r="78" spans="1:8">
      <c r="A78" s="70">
        <v>77</v>
      </c>
      <c r="B78" s="76" t="s">
        <v>206</v>
      </c>
      <c r="C78" s="73">
        <v>17</v>
      </c>
      <c r="D78" s="79">
        <v>37</v>
      </c>
      <c r="E78" s="70">
        <v>1</v>
      </c>
      <c r="F78" s="76">
        <v>0</v>
      </c>
      <c r="G78" s="73">
        <v>1</v>
      </c>
      <c r="H78" s="67">
        <v>1</v>
      </c>
    </row>
    <row r="79" spans="1:8">
      <c r="A79" s="70">
        <v>78</v>
      </c>
      <c r="B79" s="76" t="s">
        <v>206</v>
      </c>
      <c r="C79" s="73">
        <v>18</v>
      </c>
      <c r="D79" s="79">
        <v>38</v>
      </c>
      <c r="E79" s="70">
        <v>1</v>
      </c>
      <c r="F79" s="76">
        <v>0</v>
      </c>
      <c r="G79" s="73">
        <v>1</v>
      </c>
      <c r="H79" s="67">
        <v>1</v>
      </c>
    </row>
    <row r="80" spans="1:8">
      <c r="A80" s="70">
        <v>79</v>
      </c>
      <c r="B80" s="76" t="s">
        <v>206</v>
      </c>
      <c r="C80" s="73">
        <v>19</v>
      </c>
      <c r="D80" s="79">
        <v>39</v>
      </c>
      <c r="E80" s="70">
        <v>1</v>
      </c>
      <c r="F80" s="76">
        <v>0</v>
      </c>
      <c r="G80" s="73">
        <v>1</v>
      </c>
      <c r="H80" s="67">
        <v>1</v>
      </c>
    </row>
    <row r="81" spans="1:8">
      <c r="A81" s="70">
        <v>80</v>
      </c>
      <c r="B81" s="76" t="s">
        <v>206</v>
      </c>
      <c r="C81" s="73">
        <v>20</v>
      </c>
      <c r="D81" s="79">
        <v>40</v>
      </c>
      <c r="E81" s="70">
        <v>1</v>
      </c>
      <c r="F81" s="76">
        <v>0</v>
      </c>
      <c r="G81" s="73">
        <v>1</v>
      </c>
      <c r="H81" s="67">
        <v>1</v>
      </c>
    </row>
    <row r="82" spans="1:8" ht="15" thickBot="1">
      <c r="A82" s="71">
        <v>81</v>
      </c>
      <c r="B82" s="77" t="s">
        <v>206</v>
      </c>
      <c r="C82" s="74">
        <v>21</v>
      </c>
      <c r="D82" s="80">
        <v>41</v>
      </c>
      <c r="E82" s="71">
        <v>1</v>
      </c>
      <c r="F82" s="77">
        <v>0</v>
      </c>
      <c r="G82" s="74">
        <v>1</v>
      </c>
      <c r="H82" s="68">
        <v>1</v>
      </c>
    </row>
  </sheetData>
  <dataConsolidate link="1"/>
  <mergeCells count="1">
    <mergeCell ref="K9:V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J7"/>
  <sheetViews>
    <sheetView zoomScale="70" zoomScaleNormal="70" workbookViewId="0">
      <selection activeCell="F57" sqref="F57"/>
    </sheetView>
  </sheetViews>
  <sheetFormatPr defaultColWidth="8.75" defaultRowHeight="14.25"/>
  <cols>
    <col min="1" max="1" width="13.875" style="81" customWidth="1"/>
    <col min="2" max="2" width="14.125" style="81" bestFit="1" customWidth="1"/>
    <col min="3" max="3" width="13.375" style="81" customWidth="1"/>
    <col min="4" max="4" width="13.875" style="81" customWidth="1"/>
    <col min="5" max="5" width="10.625" style="81" customWidth="1"/>
    <col min="6" max="6" width="13.875" style="81" customWidth="1"/>
    <col min="7" max="8" width="8.75" style="43"/>
    <col min="9" max="9" width="28.375" style="43" bestFit="1" customWidth="1"/>
    <col min="10" max="16384" width="8.75" style="43"/>
  </cols>
  <sheetData>
    <row r="1" spans="1:10" ht="46.5" thickBot="1">
      <c r="A1" s="28" t="s">
        <v>8</v>
      </c>
      <c r="B1" s="29" t="s">
        <v>18</v>
      </c>
      <c r="C1" s="30" t="s">
        <v>20</v>
      </c>
      <c r="D1" s="30" t="s">
        <v>17</v>
      </c>
      <c r="E1" s="30" t="s">
        <v>21</v>
      </c>
      <c r="F1" s="31" t="s">
        <v>9</v>
      </c>
      <c r="I1" s="42" t="s">
        <v>74</v>
      </c>
    </row>
    <row r="2" spans="1:10" ht="15">
      <c r="A2" s="23">
        <v>1</v>
      </c>
      <c r="B2" s="27" t="s">
        <v>19</v>
      </c>
      <c r="C2" s="26">
        <v>210000</v>
      </c>
      <c r="D2" s="26">
        <v>0.3</v>
      </c>
      <c r="E2" s="26">
        <v>7850</v>
      </c>
      <c r="F2" s="32">
        <f>10^-5</f>
        <v>1.0000000000000001E-5</v>
      </c>
      <c r="I2" s="43" t="s">
        <v>8</v>
      </c>
      <c r="J2" s="43" t="s">
        <v>75</v>
      </c>
    </row>
    <row r="3" spans="1:10" ht="15">
      <c r="A3" s="2">
        <v>2</v>
      </c>
      <c r="B3" s="6" t="s">
        <v>40</v>
      </c>
      <c r="C3" s="3">
        <v>26838</v>
      </c>
      <c r="D3" s="3">
        <v>0.2</v>
      </c>
      <c r="E3" s="3">
        <v>2500</v>
      </c>
      <c r="F3" s="22">
        <f>10^-5</f>
        <v>1.0000000000000001E-5</v>
      </c>
      <c r="I3" s="43" t="s">
        <v>18</v>
      </c>
      <c r="J3" s="43" t="s">
        <v>76</v>
      </c>
    </row>
    <row r="4" spans="1:10" ht="15.75" thickBot="1">
      <c r="A4" s="4">
        <v>3</v>
      </c>
      <c r="B4" s="7" t="s">
        <v>199</v>
      </c>
      <c r="C4" s="5">
        <v>307600000000000</v>
      </c>
      <c r="D4" s="5">
        <v>0.2</v>
      </c>
      <c r="E4" s="5">
        <v>2500</v>
      </c>
      <c r="F4" s="116">
        <f>F3</f>
        <v>1.0000000000000001E-5</v>
      </c>
      <c r="I4" s="43" t="s">
        <v>77</v>
      </c>
      <c r="J4" s="43" t="s">
        <v>78</v>
      </c>
    </row>
    <row r="5" spans="1:10">
      <c r="I5" s="43" t="s">
        <v>79</v>
      </c>
      <c r="J5" s="43" t="s">
        <v>81</v>
      </c>
    </row>
    <row r="6" spans="1:10">
      <c r="I6" s="43" t="s">
        <v>80</v>
      </c>
      <c r="J6" s="43" t="s">
        <v>82</v>
      </c>
    </row>
    <row r="7" spans="1:10">
      <c r="A7" s="82" t="s">
        <v>23</v>
      </c>
      <c r="I7" s="43" t="s">
        <v>83</v>
      </c>
      <c r="J7" s="43" t="s">
        <v>84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S10"/>
  <sheetViews>
    <sheetView zoomScale="85" zoomScaleNormal="85" workbookViewId="0">
      <selection activeCell="K17" sqref="K17"/>
    </sheetView>
  </sheetViews>
  <sheetFormatPr defaultColWidth="8.75" defaultRowHeight="14.25"/>
  <cols>
    <col min="1" max="2" width="13.875" style="83" customWidth="1"/>
    <col min="3" max="6" width="15.625" style="83" customWidth="1"/>
    <col min="7" max="8" width="17.75" style="83" customWidth="1"/>
    <col min="9" max="9" width="8.75" style="48"/>
    <col min="10" max="11" width="8.75" style="43"/>
    <col min="12" max="12" width="22.5" style="43" bestFit="1" customWidth="1"/>
    <col min="13" max="16384" width="8.75" style="43"/>
  </cols>
  <sheetData>
    <row r="1" spans="1:19" ht="33.75" thickBot="1">
      <c r="A1" s="33" t="s">
        <v>10</v>
      </c>
      <c r="B1" s="34" t="s">
        <v>18</v>
      </c>
      <c r="C1" s="34" t="s">
        <v>36</v>
      </c>
      <c r="D1" s="34" t="s">
        <v>194</v>
      </c>
      <c r="E1" s="34" t="s">
        <v>195</v>
      </c>
      <c r="F1" s="34" t="s">
        <v>149</v>
      </c>
      <c r="G1" s="34" t="s">
        <v>211</v>
      </c>
      <c r="H1" s="34" t="s">
        <v>212</v>
      </c>
      <c r="I1" s="35" t="s">
        <v>1</v>
      </c>
      <c r="L1" s="312" t="s">
        <v>85</v>
      </c>
      <c r="M1" s="312"/>
      <c r="N1" s="312"/>
      <c r="O1" s="312"/>
      <c r="P1" s="312"/>
      <c r="Q1" s="312"/>
      <c r="R1" s="312"/>
      <c r="S1" s="312"/>
    </row>
    <row r="2" spans="1:19">
      <c r="A2" s="17">
        <v>1</v>
      </c>
      <c r="B2" s="19" t="s">
        <v>124</v>
      </c>
      <c r="C2" s="19">
        <f>3.37/3.37*1.56</f>
        <v>1.56</v>
      </c>
      <c r="D2" s="19">
        <v>1</v>
      </c>
      <c r="E2" s="19">
        <v>1</v>
      </c>
      <c r="F2" s="90">
        <v>11.4</v>
      </c>
      <c r="G2" s="19">
        <v>11.4</v>
      </c>
      <c r="H2" s="90">
        <v>11.4</v>
      </c>
      <c r="I2" s="36">
        <v>1</v>
      </c>
      <c r="L2" s="43" t="s">
        <v>10</v>
      </c>
      <c r="M2" s="43" t="s">
        <v>88</v>
      </c>
    </row>
    <row r="3" spans="1:19" ht="16.5">
      <c r="A3" s="11">
        <v>2</v>
      </c>
      <c r="B3" s="1" t="s">
        <v>115</v>
      </c>
      <c r="C3" s="1">
        <f>20*70</f>
        <v>1400</v>
      </c>
      <c r="D3" s="1">
        <f>5*20*70/6</f>
        <v>1166.6666666666667</v>
      </c>
      <c r="E3" s="1">
        <f>5*20*70/6</f>
        <v>1166.6666666666667</v>
      </c>
      <c r="F3" s="91">
        <f>(1/3-0.21*20/70*(1-20^4/(12*70^4)))*70*20^3</f>
        <v>153085.32555879492</v>
      </c>
      <c r="G3" s="1">
        <f>70^3*20/12</f>
        <v>571666.66666666663</v>
      </c>
      <c r="H3" s="91">
        <f>20^3*70/12</f>
        <v>46666.666666666664</v>
      </c>
      <c r="I3" s="15">
        <v>1</v>
      </c>
      <c r="L3" s="43" t="s">
        <v>86</v>
      </c>
      <c r="M3" s="43" t="s">
        <v>119</v>
      </c>
    </row>
    <row r="4" spans="1:19" ht="15" thickBot="1">
      <c r="A4" s="21">
        <v>3</v>
      </c>
      <c r="B4" s="37" t="s">
        <v>197</v>
      </c>
      <c r="C4" s="37">
        <v>1</v>
      </c>
      <c r="D4" s="37">
        <v>1</v>
      </c>
      <c r="E4" s="37">
        <v>1</v>
      </c>
      <c r="F4" s="96">
        <v>1</v>
      </c>
      <c r="G4" s="37">
        <v>1</v>
      </c>
      <c r="H4" s="96">
        <v>1</v>
      </c>
      <c r="I4" s="16">
        <v>1</v>
      </c>
      <c r="L4" s="43" t="s">
        <v>87</v>
      </c>
      <c r="M4" s="43" t="s">
        <v>89</v>
      </c>
    </row>
    <row r="5" spans="1:19">
      <c r="L5" s="43" t="s">
        <v>1</v>
      </c>
      <c r="M5" s="43" t="s">
        <v>90</v>
      </c>
    </row>
    <row r="6" spans="1:19">
      <c r="A6" s="317" t="s">
        <v>22</v>
      </c>
      <c r="B6" s="317"/>
      <c r="C6" s="317"/>
      <c r="D6" s="317"/>
      <c r="E6" s="317"/>
      <c r="F6" s="317"/>
      <c r="G6" s="317"/>
      <c r="H6" s="317"/>
      <c r="I6" s="317"/>
    </row>
    <row r="7" spans="1:19">
      <c r="A7" s="317"/>
      <c r="B7" s="317"/>
      <c r="C7" s="317"/>
      <c r="D7" s="317"/>
      <c r="E7" s="317"/>
      <c r="F7" s="317"/>
      <c r="G7" s="317"/>
      <c r="H7" s="317"/>
      <c r="I7" s="317"/>
    </row>
    <row r="10" spans="1:19">
      <c r="A10" s="42"/>
      <c r="B10" s="42"/>
    </row>
  </sheetData>
  <mergeCells count="2">
    <mergeCell ref="A6:I7"/>
    <mergeCell ref="L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/>
  <dimension ref="A1:K52"/>
  <sheetViews>
    <sheetView zoomScale="70" zoomScaleNormal="70" workbookViewId="0">
      <selection activeCell="L40" sqref="L39:L40"/>
    </sheetView>
  </sheetViews>
  <sheetFormatPr defaultColWidth="8.75" defaultRowHeight="14.25"/>
  <cols>
    <col min="1" max="7" width="19.125" style="51" customWidth="1"/>
    <col min="8" max="8" width="8.75" style="52"/>
    <col min="9" max="16384" width="8.75" style="43"/>
  </cols>
  <sheetData>
    <row r="1" spans="1:11" ht="29.25" thickBot="1">
      <c r="A1" s="8" t="s">
        <v>6</v>
      </c>
      <c r="B1" s="9" t="s">
        <v>41</v>
      </c>
      <c r="C1" s="9" t="s">
        <v>42</v>
      </c>
      <c r="D1" s="9" t="s">
        <v>173</v>
      </c>
      <c r="E1" s="89" t="s">
        <v>132</v>
      </c>
      <c r="F1" s="89" t="s">
        <v>133</v>
      </c>
      <c r="G1" s="10" t="s">
        <v>43</v>
      </c>
      <c r="J1" s="53" t="s">
        <v>91</v>
      </c>
    </row>
    <row r="2" spans="1:11">
      <c r="A2" s="69"/>
      <c r="B2" s="117"/>
      <c r="C2" s="117"/>
      <c r="D2" s="117"/>
      <c r="E2" s="117"/>
      <c r="F2" s="117"/>
      <c r="G2" s="117"/>
      <c r="J2" s="43" t="s">
        <v>6</v>
      </c>
      <c r="K2" s="43" t="s">
        <v>95</v>
      </c>
    </row>
    <row r="3" spans="1:11">
      <c r="A3" s="70"/>
      <c r="B3" s="118"/>
      <c r="C3" s="118"/>
      <c r="D3" s="118"/>
      <c r="E3" s="118"/>
      <c r="F3" s="118"/>
      <c r="G3" s="118"/>
      <c r="J3" s="43" t="s">
        <v>92</v>
      </c>
      <c r="K3" s="43" t="s">
        <v>96</v>
      </c>
    </row>
    <row r="4" spans="1:11">
      <c r="A4" s="70"/>
      <c r="B4" s="118"/>
      <c r="C4" s="118"/>
      <c r="D4" s="118"/>
      <c r="E4" s="118"/>
      <c r="F4" s="118"/>
      <c r="G4" s="118"/>
      <c r="J4" s="43" t="s">
        <v>93</v>
      </c>
      <c r="K4" s="43" t="s">
        <v>96</v>
      </c>
    </row>
    <row r="5" spans="1:11">
      <c r="A5" s="70"/>
      <c r="B5" s="118"/>
      <c r="C5" s="118"/>
      <c r="D5" s="118"/>
      <c r="E5" s="118"/>
      <c r="F5" s="118"/>
      <c r="G5" s="118"/>
      <c r="J5" s="43" t="s">
        <v>94</v>
      </c>
      <c r="K5" s="43" t="s">
        <v>97</v>
      </c>
    </row>
    <row r="6" spans="1:11">
      <c r="A6" s="70"/>
      <c r="B6" s="118"/>
      <c r="C6" s="118"/>
      <c r="D6" s="118"/>
      <c r="E6" s="118"/>
      <c r="F6" s="118"/>
      <c r="G6" s="118"/>
    </row>
    <row r="7" spans="1:11">
      <c r="A7" s="70"/>
      <c r="B7" s="118"/>
      <c r="C7" s="118"/>
      <c r="D7" s="118"/>
      <c r="E7" s="118"/>
      <c r="F7" s="118"/>
      <c r="G7" s="118"/>
      <c r="J7" s="43" t="s">
        <v>98</v>
      </c>
    </row>
    <row r="8" spans="1:11">
      <c r="A8" s="70"/>
      <c r="B8" s="118"/>
      <c r="C8" s="118"/>
      <c r="D8" s="118"/>
      <c r="E8" s="118"/>
      <c r="F8" s="118"/>
      <c r="G8" s="118"/>
    </row>
    <row r="9" spans="1:11">
      <c r="A9" s="70"/>
      <c r="B9" s="118"/>
      <c r="C9" s="118"/>
      <c r="D9" s="118"/>
      <c r="E9" s="118"/>
      <c r="F9" s="118"/>
      <c r="G9" s="118"/>
    </row>
    <row r="10" spans="1:11">
      <c r="A10" s="70"/>
      <c r="B10" s="118"/>
      <c r="C10" s="118"/>
      <c r="D10" s="118"/>
      <c r="E10" s="118"/>
      <c r="F10" s="118"/>
      <c r="G10" s="118"/>
    </row>
    <row r="11" spans="1:11">
      <c r="A11" s="70"/>
      <c r="B11" s="118"/>
      <c r="C11" s="118"/>
      <c r="D11" s="118"/>
      <c r="E11" s="118"/>
      <c r="F11" s="118"/>
      <c r="G11" s="118"/>
    </row>
    <row r="12" spans="1:11">
      <c r="A12" s="70"/>
      <c r="B12" s="118"/>
      <c r="C12" s="118"/>
      <c r="D12" s="118"/>
      <c r="E12" s="118"/>
      <c r="F12" s="118"/>
      <c r="G12" s="118"/>
    </row>
    <row r="13" spans="1:11">
      <c r="A13" s="70"/>
      <c r="B13" s="118"/>
      <c r="C13" s="118"/>
      <c r="D13" s="118"/>
      <c r="E13" s="118"/>
      <c r="F13" s="118"/>
      <c r="G13" s="118"/>
    </row>
    <row r="14" spans="1:11">
      <c r="A14" s="70"/>
      <c r="B14" s="118"/>
      <c r="C14" s="118"/>
      <c r="D14" s="118"/>
      <c r="E14" s="118"/>
      <c r="F14" s="118"/>
      <c r="G14" s="118"/>
    </row>
    <row r="15" spans="1:11">
      <c r="A15" s="70"/>
      <c r="B15" s="118"/>
      <c r="C15" s="118"/>
      <c r="D15" s="118"/>
      <c r="E15" s="118"/>
      <c r="F15" s="118"/>
      <c r="G15" s="118"/>
    </row>
    <row r="16" spans="1:11">
      <c r="A16" s="70"/>
      <c r="B16" s="118"/>
      <c r="C16" s="118"/>
      <c r="D16" s="118"/>
      <c r="E16" s="118"/>
      <c r="F16" s="118"/>
      <c r="G16" s="118"/>
    </row>
    <row r="17" spans="1:7">
      <c r="A17" s="70"/>
      <c r="B17" s="118"/>
      <c r="C17" s="118"/>
      <c r="D17" s="118"/>
      <c r="E17" s="118"/>
      <c r="F17" s="118"/>
      <c r="G17" s="118"/>
    </row>
    <row r="18" spans="1:7">
      <c r="A18" s="70"/>
      <c r="B18" s="118"/>
      <c r="C18" s="118"/>
      <c r="D18" s="118"/>
      <c r="E18" s="118"/>
      <c r="F18" s="118"/>
      <c r="G18" s="118"/>
    </row>
    <row r="19" spans="1:7">
      <c r="A19" s="70"/>
      <c r="B19" s="118"/>
      <c r="C19" s="118"/>
      <c r="D19" s="118"/>
      <c r="E19" s="118"/>
      <c r="F19" s="118"/>
      <c r="G19" s="118"/>
    </row>
    <row r="20" spans="1:7">
      <c r="A20" s="70"/>
      <c r="B20" s="118"/>
      <c r="C20" s="118"/>
      <c r="D20" s="118"/>
      <c r="E20" s="118"/>
      <c r="F20" s="118"/>
      <c r="G20" s="118"/>
    </row>
    <row r="21" spans="1:7">
      <c r="A21" s="70"/>
      <c r="B21" s="118"/>
      <c r="C21" s="118"/>
      <c r="D21" s="118"/>
      <c r="E21" s="118"/>
      <c r="F21" s="118"/>
      <c r="G21" s="118"/>
    </row>
    <row r="22" spans="1:7">
      <c r="A22" s="70"/>
      <c r="B22" s="118"/>
      <c r="C22" s="118"/>
      <c r="D22" s="118"/>
      <c r="E22" s="118"/>
      <c r="F22" s="118"/>
      <c r="G22" s="118"/>
    </row>
    <row r="23" spans="1:7">
      <c r="A23" s="70"/>
      <c r="B23" s="118"/>
      <c r="C23" s="118"/>
      <c r="D23" s="118"/>
      <c r="E23" s="118"/>
      <c r="F23" s="118"/>
      <c r="G23" s="118"/>
    </row>
    <row r="24" spans="1:7">
      <c r="A24" s="70"/>
      <c r="B24" s="118"/>
      <c r="C24" s="118"/>
      <c r="D24" s="118"/>
      <c r="E24" s="118"/>
      <c r="F24" s="118"/>
      <c r="G24" s="118"/>
    </row>
    <row r="25" spans="1:7">
      <c r="A25" s="70"/>
      <c r="B25" s="118"/>
      <c r="C25" s="118"/>
      <c r="D25" s="118"/>
      <c r="E25" s="118"/>
      <c r="F25" s="118"/>
      <c r="G25" s="118"/>
    </row>
    <row r="26" spans="1:7">
      <c r="A26" s="70"/>
      <c r="B26" s="118"/>
      <c r="C26" s="118"/>
      <c r="D26" s="118"/>
      <c r="E26" s="118"/>
      <c r="F26" s="118"/>
      <c r="G26" s="118"/>
    </row>
    <row r="27" spans="1:7">
      <c r="A27" s="70"/>
      <c r="B27" s="118"/>
      <c r="C27" s="118"/>
      <c r="D27" s="118"/>
      <c r="E27" s="118"/>
      <c r="F27" s="118"/>
      <c r="G27" s="118"/>
    </row>
    <row r="28" spans="1:7">
      <c r="A28" s="70"/>
      <c r="B28" s="118"/>
      <c r="C28" s="118"/>
      <c r="D28" s="118"/>
      <c r="E28" s="118"/>
      <c r="F28" s="118"/>
      <c r="G28" s="118"/>
    </row>
    <row r="29" spans="1:7">
      <c r="A29" s="70"/>
      <c r="B29" s="118"/>
      <c r="C29" s="118"/>
      <c r="D29" s="118"/>
      <c r="E29" s="118"/>
      <c r="F29" s="118"/>
      <c r="G29" s="118"/>
    </row>
    <row r="30" spans="1:7">
      <c r="A30" s="70"/>
      <c r="B30" s="118"/>
      <c r="C30" s="118"/>
      <c r="D30" s="118"/>
      <c r="E30" s="118"/>
      <c r="F30" s="118"/>
      <c r="G30" s="118"/>
    </row>
    <row r="31" spans="1:7">
      <c r="A31" s="70"/>
      <c r="B31" s="118"/>
      <c r="C31" s="118"/>
      <c r="D31" s="118"/>
      <c r="E31" s="118"/>
      <c r="F31" s="118"/>
      <c r="G31" s="118"/>
    </row>
    <row r="32" spans="1:7">
      <c r="A32" s="70"/>
      <c r="B32" s="118"/>
      <c r="C32" s="118"/>
      <c r="D32" s="118"/>
      <c r="E32" s="118"/>
      <c r="F32" s="118"/>
      <c r="G32" s="118"/>
    </row>
    <row r="33" spans="1:7">
      <c r="A33" s="70"/>
      <c r="B33" s="118"/>
      <c r="C33" s="118"/>
      <c r="D33" s="118"/>
      <c r="E33" s="118"/>
      <c r="F33" s="118"/>
      <c r="G33" s="118"/>
    </row>
    <row r="34" spans="1:7">
      <c r="A34" s="70"/>
      <c r="B34" s="118"/>
      <c r="C34" s="118"/>
      <c r="D34" s="118"/>
      <c r="E34" s="118"/>
      <c r="F34" s="118"/>
      <c r="G34" s="118"/>
    </row>
    <row r="35" spans="1:7">
      <c r="A35" s="70"/>
      <c r="B35" s="118"/>
      <c r="C35" s="118"/>
      <c r="D35" s="118"/>
      <c r="E35" s="118"/>
      <c r="F35" s="118"/>
      <c r="G35" s="118"/>
    </row>
    <row r="36" spans="1:7">
      <c r="A36" s="70"/>
      <c r="B36" s="118"/>
      <c r="C36" s="118"/>
      <c r="D36" s="118"/>
      <c r="E36" s="118"/>
      <c r="F36" s="118"/>
      <c r="G36" s="118"/>
    </row>
    <row r="37" spans="1:7">
      <c r="A37" s="70"/>
      <c r="B37" s="118"/>
      <c r="C37" s="118"/>
      <c r="D37" s="118"/>
      <c r="E37" s="118"/>
      <c r="F37" s="118"/>
      <c r="G37" s="118"/>
    </row>
    <row r="38" spans="1:7">
      <c r="A38" s="70"/>
      <c r="B38" s="118"/>
      <c r="C38" s="118"/>
      <c r="D38" s="118"/>
      <c r="E38" s="118"/>
      <c r="F38" s="118"/>
      <c r="G38" s="118"/>
    </row>
    <row r="39" spans="1:7">
      <c r="A39" s="70"/>
      <c r="B39" s="118"/>
      <c r="C39" s="118"/>
      <c r="D39" s="118"/>
      <c r="E39" s="118"/>
      <c r="F39" s="118"/>
      <c r="G39" s="118"/>
    </row>
    <row r="40" spans="1:7">
      <c r="A40" s="70"/>
      <c r="B40" s="118"/>
      <c r="C40" s="118"/>
      <c r="D40" s="118"/>
      <c r="E40" s="118"/>
      <c r="F40" s="118"/>
      <c r="G40" s="118"/>
    </row>
    <row r="41" spans="1:7">
      <c r="A41" s="70"/>
      <c r="B41" s="118"/>
      <c r="C41" s="118"/>
      <c r="D41" s="118"/>
      <c r="E41" s="118"/>
      <c r="F41" s="118"/>
      <c r="G41" s="118"/>
    </row>
    <row r="42" spans="1:7">
      <c r="A42" s="70"/>
      <c r="B42" s="118"/>
      <c r="C42" s="118"/>
      <c r="D42" s="118"/>
      <c r="E42" s="118"/>
      <c r="F42" s="118"/>
      <c r="G42" s="118"/>
    </row>
    <row r="43" spans="1:7">
      <c r="A43" s="70"/>
      <c r="B43" s="118"/>
      <c r="C43" s="118"/>
      <c r="D43" s="118"/>
      <c r="E43" s="118"/>
      <c r="F43" s="118"/>
      <c r="G43" s="118"/>
    </row>
    <row r="44" spans="1:7">
      <c r="A44" s="70"/>
      <c r="B44" s="118"/>
      <c r="C44" s="118"/>
      <c r="D44" s="118"/>
      <c r="E44" s="118"/>
      <c r="F44" s="118"/>
      <c r="G44" s="118"/>
    </row>
    <row r="45" spans="1:7">
      <c r="A45" s="70"/>
      <c r="B45" s="118"/>
      <c r="C45" s="118"/>
      <c r="D45" s="118"/>
      <c r="E45" s="118"/>
      <c r="F45" s="118"/>
      <c r="G45" s="118"/>
    </row>
    <row r="46" spans="1:7">
      <c r="A46" s="70"/>
      <c r="B46" s="118"/>
      <c r="C46" s="118"/>
      <c r="D46" s="118"/>
      <c r="E46" s="118"/>
      <c r="F46" s="118"/>
      <c r="G46" s="118"/>
    </row>
    <row r="47" spans="1:7">
      <c r="A47" s="70"/>
      <c r="B47" s="118"/>
      <c r="C47" s="118"/>
      <c r="D47" s="118"/>
      <c r="E47" s="118"/>
      <c r="F47" s="118"/>
      <c r="G47" s="118"/>
    </row>
    <row r="48" spans="1:7">
      <c r="A48" s="70"/>
      <c r="B48" s="118"/>
      <c r="C48" s="118"/>
      <c r="D48" s="118"/>
      <c r="E48" s="118"/>
      <c r="F48" s="118"/>
      <c r="G48" s="118"/>
    </row>
    <row r="49" spans="1:7">
      <c r="A49" s="70"/>
      <c r="B49" s="118"/>
      <c r="C49" s="118"/>
      <c r="D49" s="118"/>
      <c r="E49" s="118"/>
      <c r="F49" s="118"/>
      <c r="G49" s="118"/>
    </row>
    <row r="50" spans="1:7">
      <c r="A50" s="70"/>
      <c r="B50" s="118"/>
      <c r="C50" s="118"/>
      <c r="D50" s="118"/>
      <c r="E50" s="118"/>
      <c r="F50" s="118"/>
      <c r="G50" s="118"/>
    </row>
    <row r="51" spans="1:7">
      <c r="A51" s="70"/>
      <c r="B51" s="118"/>
      <c r="C51" s="118"/>
      <c r="D51" s="118"/>
      <c r="E51" s="118"/>
      <c r="F51" s="118"/>
      <c r="G51" s="118"/>
    </row>
    <row r="52" spans="1:7">
      <c r="A52" s="70"/>
      <c r="B52" s="118"/>
      <c r="C52" s="118"/>
      <c r="D52" s="118"/>
      <c r="E52" s="118"/>
      <c r="F52" s="118"/>
      <c r="G52" s="11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/>
  <dimension ref="A1:P40"/>
  <sheetViews>
    <sheetView zoomScale="70" zoomScaleNormal="70" workbookViewId="0">
      <selection activeCell="I50" sqref="I50"/>
    </sheetView>
  </sheetViews>
  <sheetFormatPr defaultColWidth="8.75" defaultRowHeight="14.25"/>
  <cols>
    <col min="1" max="4" width="16.125" style="46" customWidth="1"/>
    <col min="5" max="7" width="15.625" style="46" customWidth="1"/>
    <col min="8" max="8" width="17.25" style="46" bestFit="1" customWidth="1"/>
    <col min="9" max="9" width="17.75" style="46" bestFit="1" customWidth="1"/>
    <col min="10" max="10" width="17.25" style="46" bestFit="1" customWidth="1"/>
    <col min="11" max="11" width="26.125" style="46" customWidth="1"/>
    <col min="12" max="14" width="8.75" style="43"/>
    <col min="15" max="15" width="10.75" style="43" bestFit="1" customWidth="1"/>
    <col min="16" max="16384" width="8.75" style="43"/>
  </cols>
  <sheetData>
    <row r="1" spans="1:15" ht="43.5" thickBot="1">
      <c r="A1" s="8" t="s">
        <v>7</v>
      </c>
      <c r="B1" s="9" t="s">
        <v>134</v>
      </c>
      <c r="C1" s="9" t="s">
        <v>135</v>
      </c>
      <c r="D1" s="9" t="s">
        <v>136</v>
      </c>
      <c r="E1" s="9" t="s">
        <v>139</v>
      </c>
      <c r="F1" s="9" t="s">
        <v>138</v>
      </c>
      <c r="G1" s="9" t="s">
        <v>137</v>
      </c>
      <c r="H1" s="89" t="s">
        <v>140</v>
      </c>
      <c r="I1" s="89" t="s">
        <v>141</v>
      </c>
      <c r="J1" s="89" t="s">
        <v>142</v>
      </c>
      <c r="K1" s="10" t="s">
        <v>44</v>
      </c>
      <c r="N1" s="42" t="s">
        <v>99</v>
      </c>
    </row>
    <row r="2" spans="1:15">
      <c r="A2" s="17"/>
      <c r="B2" s="18"/>
      <c r="C2" s="18"/>
      <c r="D2" s="18"/>
      <c r="E2" s="19"/>
      <c r="F2" s="19"/>
      <c r="G2" s="90"/>
      <c r="H2" s="90"/>
      <c r="I2" s="90"/>
      <c r="J2" s="90"/>
      <c r="K2" s="20"/>
      <c r="N2" s="43" t="s">
        <v>7</v>
      </c>
      <c r="O2" s="43" t="s">
        <v>105</v>
      </c>
    </row>
    <row r="3" spans="1:15">
      <c r="A3" s="11"/>
      <c r="B3" s="12"/>
      <c r="C3" s="12"/>
      <c r="D3" s="12"/>
      <c r="E3" s="1"/>
      <c r="F3" s="1"/>
      <c r="G3" s="91"/>
      <c r="H3" s="91"/>
      <c r="I3" s="91"/>
      <c r="J3" s="91"/>
      <c r="K3" s="14"/>
      <c r="N3" s="43" t="s">
        <v>100</v>
      </c>
      <c r="O3" s="43" t="s">
        <v>106</v>
      </c>
    </row>
    <row r="4" spans="1:15">
      <c r="A4" s="11"/>
      <c r="B4" s="12"/>
      <c r="C4" s="12"/>
      <c r="D4" s="12"/>
      <c r="E4" s="1"/>
      <c r="F4" s="1"/>
      <c r="G4" s="91"/>
      <c r="H4" s="91"/>
      <c r="I4" s="91"/>
      <c r="J4" s="91"/>
      <c r="K4" s="14"/>
      <c r="N4" s="43" t="s">
        <v>101</v>
      </c>
      <c r="O4" s="43" t="s">
        <v>107</v>
      </c>
    </row>
    <row r="5" spans="1:15">
      <c r="A5" s="11"/>
      <c r="B5" s="12"/>
      <c r="C5" s="12"/>
      <c r="D5" s="12"/>
      <c r="E5" s="12"/>
      <c r="F5" s="12"/>
      <c r="G5" s="92"/>
      <c r="H5" s="92"/>
      <c r="I5" s="92"/>
      <c r="J5" s="92"/>
      <c r="K5" s="15"/>
      <c r="N5" s="43" t="s">
        <v>102</v>
      </c>
      <c r="O5" s="43" t="s">
        <v>108</v>
      </c>
    </row>
    <row r="6" spans="1:15">
      <c r="A6" s="11"/>
      <c r="B6" s="12"/>
      <c r="C6" s="12"/>
      <c r="D6" s="12"/>
      <c r="E6" s="12"/>
      <c r="F6" s="12"/>
      <c r="G6" s="92"/>
      <c r="H6" s="92"/>
      <c r="I6" s="92"/>
      <c r="J6" s="92"/>
      <c r="K6" s="15"/>
      <c r="N6" s="43" t="s">
        <v>103</v>
      </c>
      <c r="O6" s="43" t="s">
        <v>109</v>
      </c>
    </row>
    <row r="7" spans="1:15">
      <c r="A7" s="11"/>
      <c r="B7" s="12"/>
      <c r="C7" s="12"/>
      <c r="D7" s="12"/>
      <c r="E7" s="12"/>
      <c r="F7" s="12"/>
      <c r="G7" s="92"/>
      <c r="H7" s="92"/>
      <c r="I7" s="92"/>
      <c r="J7" s="92"/>
      <c r="K7" s="15"/>
      <c r="N7" s="43" t="s">
        <v>104</v>
      </c>
      <c r="O7" s="43" t="s">
        <v>110</v>
      </c>
    </row>
    <row r="8" spans="1:15">
      <c r="A8" s="11"/>
      <c r="B8" s="12"/>
      <c r="C8" s="12"/>
      <c r="D8" s="12"/>
      <c r="E8" s="12"/>
      <c r="F8" s="12"/>
      <c r="G8" s="92"/>
      <c r="H8" s="92"/>
      <c r="I8" s="92"/>
      <c r="J8" s="92"/>
      <c r="K8" s="15"/>
    </row>
    <row r="9" spans="1:15">
      <c r="A9" s="11"/>
      <c r="B9" s="12"/>
      <c r="C9" s="12"/>
      <c r="D9" s="12"/>
      <c r="E9" s="12"/>
      <c r="F9" s="12"/>
      <c r="G9" s="92"/>
      <c r="H9" s="92"/>
      <c r="I9" s="92"/>
      <c r="J9" s="92"/>
      <c r="K9" s="15"/>
      <c r="N9" s="43" t="s">
        <v>111</v>
      </c>
    </row>
    <row r="10" spans="1:15" ht="15" thickBot="1">
      <c r="A10" s="21"/>
      <c r="B10" s="13"/>
      <c r="C10" s="13"/>
      <c r="D10" s="13"/>
      <c r="E10" s="13"/>
      <c r="F10" s="13"/>
      <c r="G10" s="93"/>
      <c r="H10" s="93"/>
      <c r="I10" s="93"/>
      <c r="J10" s="93"/>
      <c r="K10" s="16"/>
      <c r="N10" s="43" t="s">
        <v>112</v>
      </c>
    </row>
    <row r="11" spans="1:15">
      <c r="B11" s="47"/>
      <c r="C11" s="47"/>
      <c r="D11" s="47"/>
    </row>
    <row r="32" spans="15:16">
      <c r="O32" s="48" t="s">
        <v>0</v>
      </c>
      <c r="P32" s="48"/>
    </row>
    <row r="33" spans="14:16">
      <c r="N33" s="43" t="s">
        <v>47</v>
      </c>
      <c r="O33" s="49">
        <v>0.4</v>
      </c>
      <c r="P33" s="49"/>
    </row>
    <row r="34" spans="14:16">
      <c r="N34" s="43" t="s">
        <v>52</v>
      </c>
      <c r="O34" s="43">
        <v>300</v>
      </c>
    </row>
    <row r="35" spans="14:16">
      <c r="N35" s="43" t="s">
        <v>51</v>
      </c>
      <c r="O35" s="43">
        <v>200</v>
      </c>
    </row>
    <row r="36" spans="14:16">
      <c r="N36" s="43" t="s">
        <v>46</v>
      </c>
      <c r="O36" s="50">
        <f>ATAN(O35/O34)</f>
        <v>0.5880026035475675</v>
      </c>
    </row>
    <row r="37" spans="14:16">
      <c r="N37" s="43" t="s">
        <v>114</v>
      </c>
      <c r="O37" s="50">
        <f>SIN(O36)</f>
        <v>0.55470019622522904</v>
      </c>
    </row>
    <row r="38" spans="14:16">
      <c r="N38" s="43" t="s">
        <v>48</v>
      </c>
      <c r="O38" s="50">
        <f>COS(O36)</f>
        <v>0.83205029433784372</v>
      </c>
    </row>
    <row r="39" spans="14:16">
      <c r="N39" s="43" t="s">
        <v>49</v>
      </c>
      <c r="O39" s="50">
        <f>O37*O33</f>
        <v>0.22188007849009161</v>
      </c>
      <c r="P39" s="43" t="s">
        <v>113</v>
      </c>
    </row>
    <row r="40" spans="14:16">
      <c r="N40" s="43" t="s">
        <v>50</v>
      </c>
      <c r="O40" s="50">
        <f>O38*O33</f>
        <v>0.33282011773513753</v>
      </c>
      <c r="P40" s="43" t="s">
        <v>122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/>
  <dimension ref="A1:AC98"/>
  <sheetViews>
    <sheetView zoomScale="70" zoomScaleNormal="70" workbookViewId="0">
      <selection activeCell="M12" sqref="M12"/>
    </sheetView>
  </sheetViews>
  <sheetFormatPr defaultColWidth="8.75" defaultRowHeight="14.25"/>
  <cols>
    <col min="1" max="1" width="3.5" style="60" bestFit="1" customWidth="1"/>
    <col min="2" max="3" width="13.875" style="60" bestFit="1" customWidth="1"/>
    <col min="4" max="4" width="13.125" style="60" bestFit="1" customWidth="1"/>
    <col min="5" max="13" width="14.75" style="60" bestFit="1" customWidth="1"/>
    <col min="14" max="14" width="5.125" style="38" customWidth="1"/>
    <col min="15" max="15" width="13.875" style="38" bestFit="1" customWidth="1"/>
    <col min="16" max="16" width="2.25" style="38" bestFit="1" customWidth="1"/>
    <col min="17" max="17" width="9.25" style="38" bestFit="1" customWidth="1"/>
    <col min="18" max="18" width="9.625" style="38" bestFit="1" customWidth="1"/>
    <col min="19" max="21" width="9.25" style="38" bestFit="1" customWidth="1"/>
    <col min="22" max="22" width="9.625" style="38" bestFit="1" customWidth="1"/>
    <col min="23" max="16384" width="8.75" style="38"/>
  </cols>
  <sheetData>
    <row r="1" spans="1:29" s="41" customFormat="1" ht="29.25" thickBot="1">
      <c r="A1" s="126" t="s">
        <v>2</v>
      </c>
      <c r="B1" s="267" t="s">
        <v>30</v>
      </c>
      <c r="C1" s="268" t="s">
        <v>31</v>
      </c>
      <c r="D1" s="268" t="s">
        <v>153</v>
      </c>
      <c r="E1" s="268" t="s">
        <v>154</v>
      </c>
      <c r="F1" s="268" t="s">
        <v>155</v>
      </c>
      <c r="G1" s="268" t="s">
        <v>32</v>
      </c>
      <c r="H1" s="268" t="s">
        <v>33</v>
      </c>
      <c r="I1" s="268" t="s">
        <v>34</v>
      </c>
      <c r="J1" s="268" t="s">
        <v>156</v>
      </c>
      <c r="K1" s="268" t="s">
        <v>158</v>
      </c>
      <c r="L1" s="268" t="s">
        <v>157</v>
      </c>
      <c r="M1" s="269" t="s">
        <v>35</v>
      </c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2" spans="1:29" s="41" customFormat="1">
      <c r="A2" s="75">
        <v>1</v>
      </c>
      <c r="B2" s="220">
        <v>-1.5637684431879745E-9</v>
      </c>
      <c r="C2" s="135">
        <v>-4.8165137614678915E-10</v>
      </c>
      <c r="D2" s="135">
        <v>0</v>
      </c>
      <c r="E2" s="135">
        <v>0</v>
      </c>
      <c r="F2" s="135">
        <v>0</v>
      </c>
      <c r="G2" s="135">
        <v>-7.4464657826956512E-10</v>
      </c>
      <c r="H2" s="135">
        <v>15.340568427674029</v>
      </c>
      <c r="I2" s="135">
        <v>4.7249999999999988</v>
      </c>
      <c r="J2" s="135">
        <v>0</v>
      </c>
      <c r="K2" s="135">
        <v>0</v>
      </c>
      <c r="L2" s="135">
        <v>0</v>
      </c>
      <c r="M2" s="136">
        <v>7.3049829328244353</v>
      </c>
      <c r="P2" s="38"/>
      <c r="Q2" s="38"/>
      <c r="R2" s="155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</row>
    <row r="3" spans="1:29" s="41" customFormat="1">
      <c r="A3" s="76">
        <v>2</v>
      </c>
      <c r="B3" s="221">
        <v>-2.1750066601356646E-4</v>
      </c>
      <c r="C3" s="137">
        <v>-3.5564440692923008E-3</v>
      </c>
      <c r="D3" s="137">
        <v>0</v>
      </c>
      <c r="E3" s="137">
        <v>0</v>
      </c>
      <c r="F3" s="137">
        <v>0</v>
      </c>
      <c r="G3" s="137">
        <v>-4.606611812472329E-3</v>
      </c>
      <c r="H3" s="137">
        <v>-1.7364581994527839E-14</v>
      </c>
      <c r="I3" s="137">
        <v>3.1606661732297425E-15</v>
      </c>
      <c r="J3" s="137">
        <v>0</v>
      </c>
      <c r="K3" s="137">
        <v>0</v>
      </c>
      <c r="L3" s="137">
        <v>0</v>
      </c>
      <c r="M3" s="138">
        <v>1.0354998108974556E-14</v>
      </c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</row>
    <row r="4" spans="1:29" s="41" customFormat="1">
      <c r="A4" s="76">
        <v>3</v>
      </c>
      <c r="B4" s="221">
        <v>-5.3888241978552217E-4</v>
      </c>
      <c r="C4" s="137">
        <v>-1.0879271005591119E-2</v>
      </c>
      <c r="D4" s="137">
        <v>0</v>
      </c>
      <c r="E4" s="137">
        <v>0</v>
      </c>
      <c r="F4" s="137">
        <v>0</v>
      </c>
      <c r="G4" s="137">
        <v>-6.4629614883126062E-3</v>
      </c>
      <c r="H4" s="137">
        <v>4.0425995884163513E-14</v>
      </c>
      <c r="I4" s="137">
        <v>-1.1882855810441129E-14</v>
      </c>
      <c r="J4" s="137">
        <v>0</v>
      </c>
      <c r="K4" s="137">
        <v>0</v>
      </c>
      <c r="L4" s="137">
        <v>0</v>
      </c>
      <c r="M4" s="138">
        <v>1.8192641403763643E-15</v>
      </c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</row>
    <row r="5" spans="1:29" s="41" customFormat="1">
      <c r="A5" s="76">
        <v>4</v>
      </c>
      <c r="B5" s="221">
        <v>-1.1802681850007081E-3</v>
      </c>
      <c r="C5" s="137">
        <v>-1.8180556936639794E-2</v>
      </c>
      <c r="D5" s="137">
        <v>0</v>
      </c>
      <c r="E5" s="137">
        <v>0</v>
      </c>
      <c r="F5" s="137">
        <v>0</v>
      </c>
      <c r="G5" s="137">
        <v>-5.5212993600939819E-3</v>
      </c>
      <c r="H5" s="137">
        <v>-1.0658141036401503E-14</v>
      </c>
      <c r="I5" s="137">
        <v>1.3454862224371311E-13</v>
      </c>
      <c r="J5" s="137">
        <v>0</v>
      </c>
      <c r="K5" s="137">
        <v>0</v>
      </c>
      <c r="L5" s="137">
        <v>0</v>
      </c>
      <c r="M5" s="138">
        <v>-5.2087782871634847E-16</v>
      </c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</row>
    <row r="6" spans="1:29" s="41" customFormat="1">
      <c r="A6" s="76">
        <v>5</v>
      </c>
      <c r="B6" s="221">
        <v>-1.8937191149906354E-3</v>
      </c>
      <c r="C6" s="137">
        <v>-2.5058097849111831E-2</v>
      </c>
      <c r="D6" s="137">
        <v>0</v>
      </c>
      <c r="E6" s="137">
        <v>0</v>
      </c>
      <c r="F6" s="137">
        <v>0</v>
      </c>
      <c r="G6" s="137">
        <v>-5.5392428169106838E-3</v>
      </c>
      <c r="H6" s="137">
        <v>1.8866852524723754E-14</v>
      </c>
      <c r="I6" s="137">
        <v>-4.3926667858684709E-14</v>
      </c>
      <c r="J6" s="137">
        <v>0</v>
      </c>
      <c r="K6" s="137">
        <v>0</v>
      </c>
      <c r="L6" s="137">
        <v>0</v>
      </c>
      <c r="M6" s="138">
        <v>5.8492707205592964E-17</v>
      </c>
      <c r="R6" s="44"/>
      <c r="S6" s="43"/>
      <c r="T6" s="43"/>
      <c r="U6" s="43"/>
      <c r="V6" s="43"/>
      <c r="W6" s="43"/>
      <c r="X6" s="43"/>
    </row>
    <row r="7" spans="1:29" s="41" customFormat="1">
      <c r="A7" s="76">
        <v>6</v>
      </c>
      <c r="B7" s="221">
        <v>-2.0443222320554195E-3</v>
      </c>
      <c r="C7" s="137">
        <v>-3.1889346519457892E-2</v>
      </c>
      <c r="D7" s="137">
        <v>0</v>
      </c>
      <c r="E7" s="137">
        <v>0</v>
      </c>
      <c r="F7" s="137">
        <v>0</v>
      </c>
      <c r="G7" s="137">
        <v>-5.2012722476994641E-3</v>
      </c>
      <c r="H7" s="137">
        <v>-2.165628787409446E-14</v>
      </c>
      <c r="I7" s="137">
        <v>1.2310985564312205E-13</v>
      </c>
      <c r="J7" s="137">
        <v>0</v>
      </c>
      <c r="K7" s="137">
        <v>0</v>
      </c>
      <c r="L7" s="137">
        <v>0</v>
      </c>
      <c r="M7" s="138">
        <v>-7.1050817681585221E-17</v>
      </c>
      <c r="R7" s="44"/>
      <c r="S7" s="43"/>
      <c r="T7" s="43"/>
      <c r="U7" s="43"/>
      <c r="V7" s="43"/>
      <c r="W7" s="43"/>
      <c r="X7" s="43"/>
    </row>
    <row r="8" spans="1:29" s="41" customFormat="1">
      <c r="A8" s="76">
        <v>7</v>
      </c>
      <c r="B8" s="221">
        <v>-1.7452685310489014E-3</v>
      </c>
      <c r="C8" s="137">
        <v>-3.7777345531552986E-2</v>
      </c>
      <c r="D8" s="137">
        <v>0</v>
      </c>
      <c r="E8" s="137">
        <v>0</v>
      </c>
      <c r="F8" s="137">
        <v>0</v>
      </c>
      <c r="G8" s="137">
        <v>-4.181862630150246E-3</v>
      </c>
      <c r="H8" s="137">
        <v>-2.4938384690642579E-14</v>
      </c>
      <c r="I8" s="137">
        <v>-8.4765527930130702E-14</v>
      </c>
      <c r="J8" s="137">
        <v>0</v>
      </c>
      <c r="K8" s="137">
        <v>0</v>
      </c>
      <c r="L8" s="137">
        <v>0</v>
      </c>
      <c r="M8" s="138">
        <v>1.4048719056570375E-16</v>
      </c>
      <c r="R8" s="44"/>
      <c r="S8" s="43"/>
      <c r="T8" s="43"/>
      <c r="U8" s="43"/>
      <c r="V8" s="43"/>
      <c r="W8" s="43"/>
      <c r="X8" s="43"/>
    </row>
    <row r="9" spans="1:29" s="41" customFormat="1">
      <c r="A9" s="76">
        <v>8</v>
      </c>
      <c r="B9" s="221">
        <v>-1.2256612308833804E-3</v>
      </c>
      <c r="C9" s="137">
        <v>-4.218150426289468E-2</v>
      </c>
      <c r="D9" s="137">
        <v>0</v>
      </c>
      <c r="E9" s="137">
        <v>0</v>
      </c>
      <c r="F9" s="137">
        <v>0</v>
      </c>
      <c r="G9" s="137">
        <v>-2.7724558159478059E-3</v>
      </c>
      <c r="H9" s="137">
        <v>-6.7584826624056404E-15</v>
      </c>
      <c r="I9" s="137">
        <v>-8.7239243606873629E-14</v>
      </c>
      <c r="J9" s="137">
        <v>0</v>
      </c>
      <c r="K9" s="137">
        <v>0</v>
      </c>
      <c r="L9" s="137">
        <v>0</v>
      </c>
      <c r="M9" s="138">
        <v>-3.247126214287778E-16</v>
      </c>
      <c r="R9" s="44"/>
      <c r="S9" s="43"/>
      <c r="T9" s="43"/>
      <c r="U9" s="43"/>
      <c r="V9" s="43"/>
      <c r="W9" s="43"/>
      <c r="X9" s="43"/>
    </row>
    <row r="10" spans="1:29" s="41" customFormat="1">
      <c r="A10" s="76">
        <v>9</v>
      </c>
      <c r="B10" s="221">
        <v>-6.7255841535310724E-4</v>
      </c>
      <c r="C10" s="137">
        <v>-4.4671086381287757E-2</v>
      </c>
      <c r="D10" s="137">
        <v>0</v>
      </c>
      <c r="E10" s="137">
        <v>0</v>
      </c>
      <c r="F10" s="137">
        <v>0</v>
      </c>
      <c r="G10" s="137">
        <v>-1.2732921454220306E-3</v>
      </c>
      <c r="H10" s="137">
        <v>4.999473057765158E-15</v>
      </c>
      <c r="I10" s="137">
        <v>6.8417493892525272E-14</v>
      </c>
      <c r="J10" s="137">
        <v>0</v>
      </c>
      <c r="K10" s="137">
        <v>0</v>
      </c>
      <c r="L10" s="137">
        <v>0</v>
      </c>
      <c r="M10" s="138">
        <v>-2.0028745194406133E-16</v>
      </c>
      <c r="Q10" s="38"/>
      <c r="R10" s="43"/>
      <c r="S10" s="43"/>
      <c r="T10" s="43"/>
      <c r="U10" s="43"/>
      <c r="V10" s="43"/>
      <c r="W10" s="43"/>
      <c r="X10" s="43"/>
    </row>
    <row r="11" spans="1:29" s="41" customFormat="1">
      <c r="A11" s="76">
        <v>10</v>
      </c>
      <c r="B11" s="221">
        <v>-2.5524790562696053E-4</v>
      </c>
      <c r="C11" s="137">
        <v>-4.5502496271512025E-2</v>
      </c>
      <c r="D11" s="137">
        <v>0</v>
      </c>
      <c r="E11" s="137">
        <v>0</v>
      </c>
      <c r="F11" s="137">
        <v>0</v>
      </c>
      <c r="G11" s="137">
        <v>-1.0475642304574791E-4</v>
      </c>
      <c r="H11" s="137">
        <v>3.3997110682193465E-14</v>
      </c>
      <c r="I11" s="137">
        <v>2.4331231474050696E-14</v>
      </c>
      <c r="J11" s="137">
        <v>0</v>
      </c>
      <c r="K11" s="137">
        <v>0</v>
      </c>
      <c r="L11" s="137">
        <v>0</v>
      </c>
      <c r="M11" s="138">
        <v>2.341949087332175E-16</v>
      </c>
      <c r="R11" s="318"/>
      <c r="S11" s="318"/>
      <c r="T11" s="318"/>
      <c r="U11" s="318"/>
      <c r="V11" s="318"/>
      <c r="W11" s="318"/>
      <c r="X11" s="318"/>
    </row>
    <row r="12" spans="1:29" s="41" customFormat="1">
      <c r="A12" s="76">
        <v>11</v>
      </c>
      <c r="B12" s="221">
        <v>2.6672600362664387E-16</v>
      </c>
      <c r="C12" s="137">
        <v>-4.5376218813623151E-2</v>
      </c>
      <c r="D12" s="137">
        <v>0</v>
      </c>
      <c r="E12" s="137">
        <v>0</v>
      </c>
      <c r="F12" s="137">
        <v>0</v>
      </c>
      <c r="G12" s="137">
        <v>1.2694483891943368E-16</v>
      </c>
      <c r="H12" s="137">
        <v>-3.4468915396402141E-16</v>
      </c>
      <c r="I12" s="137">
        <v>4.2021941482062175E-14</v>
      </c>
      <c r="J12" s="137">
        <v>0</v>
      </c>
      <c r="K12" s="137">
        <v>0</v>
      </c>
      <c r="L12" s="137">
        <v>0</v>
      </c>
      <c r="M12" s="138">
        <v>2.8909356250775438E-16</v>
      </c>
      <c r="O12" s="153"/>
    </row>
    <row r="13" spans="1:29" s="41" customFormat="1">
      <c r="A13" s="76">
        <v>12</v>
      </c>
      <c r="B13" s="221">
        <v>2.5524790562749412E-4</v>
      </c>
      <c r="C13" s="137">
        <v>-4.5502496271511705E-2</v>
      </c>
      <c r="D13" s="137">
        <v>0</v>
      </c>
      <c r="E13" s="137">
        <v>0</v>
      </c>
      <c r="F13" s="137">
        <v>0</v>
      </c>
      <c r="G13" s="137">
        <v>1.0475642304604685E-4</v>
      </c>
      <c r="H13" s="137">
        <v>-8.7089382453823429E-15</v>
      </c>
      <c r="I13" s="137">
        <v>3.384792446325946E-14</v>
      </c>
      <c r="J13" s="137">
        <v>0</v>
      </c>
      <c r="K13" s="137">
        <v>0</v>
      </c>
      <c r="L13" s="137">
        <v>0</v>
      </c>
      <c r="M13" s="138">
        <v>-1.221794204437493E-16</v>
      </c>
      <c r="N13" s="38"/>
      <c r="O13" s="154"/>
      <c r="P13" s="38"/>
      <c r="Q13" s="38"/>
      <c r="R13" s="38"/>
    </row>
    <row r="14" spans="1:29" s="41" customFormat="1">
      <c r="A14" s="76">
        <v>13</v>
      </c>
      <c r="B14" s="73">
        <v>6.725584153536424E-4</v>
      </c>
      <c r="C14" s="61">
        <v>-4.4671086381287008E-2</v>
      </c>
      <c r="D14" s="61">
        <v>0</v>
      </c>
      <c r="E14" s="61">
        <v>0</v>
      </c>
      <c r="F14" s="61">
        <v>0</v>
      </c>
      <c r="G14" s="61">
        <v>1.2732921454224133E-3</v>
      </c>
      <c r="H14" s="61">
        <v>-2.4693896169314193E-14</v>
      </c>
      <c r="I14" s="61">
        <v>-4.7184478546569153E-16</v>
      </c>
      <c r="J14" s="61">
        <v>0</v>
      </c>
      <c r="K14" s="61">
        <v>0</v>
      </c>
      <c r="L14" s="61">
        <v>0</v>
      </c>
      <c r="M14" s="67">
        <v>5.1482662534116375E-17</v>
      </c>
      <c r="N14" s="38"/>
      <c r="O14" s="38"/>
      <c r="P14" s="38"/>
      <c r="Q14" s="38"/>
      <c r="R14" s="38"/>
    </row>
    <row r="15" spans="1:29" s="41" customFormat="1">
      <c r="A15" s="76">
        <v>14</v>
      </c>
      <c r="B15" s="73">
        <v>1.2256612308838787E-3</v>
      </c>
      <c r="C15" s="61">
        <v>-4.2181504262893452E-2</v>
      </c>
      <c r="D15" s="61">
        <v>0</v>
      </c>
      <c r="E15" s="61">
        <v>0</v>
      </c>
      <c r="F15" s="61">
        <v>0</v>
      </c>
      <c r="G15" s="61">
        <v>2.7724558159481082E-3</v>
      </c>
      <c r="H15" s="61">
        <v>8.1230671737839017E-15</v>
      </c>
      <c r="I15" s="61">
        <v>-3.4194869158454821E-14</v>
      </c>
      <c r="J15" s="61">
        <v>0</v>
      </c>
      <c r="K15" s="61">
        <v>0</v>
      </c>
      <c r="L15" s="61">
        <v>0</v>
      </c>
      <c r="M15" s="67">
        <v>1.2384299315215674E-16</v>
      </c>
      <c r="N15" s="38"/>
      <c r="O15" s="38"/>
      <c r="P15" s="38"/>
      <c r="Q15" s="38"/>
      <c r="R15" s="38"/>
    </row>
    <row r="16" spans="1:29">
      <c r="A16" s="76">
        <v>15</v>
      </c>
      <c r="B16" s="73">
        <v>1.7452685310493043E-3</v>
      </c>
      <c r="C16" s="61">
        <v>-3.7777345531551508E-2</v>
      </c>
      <c r="D16" s="61">
        <v>0</v>
      </c>
      <c r="E16" s="61">
        <v>0</v>
      </c>
      <c r="F16" s="61">
        <v>0</v>
      </c>
      <c r="G16" s="61">
        <v>4.1818626301503682E-3</v>
      </c>
      <c r="H16" s="61">
        <v>1.2067854659048729E-14</v>
      </c>
      <c r="I16" s="61">
        <v>-1.2240208846492351E-14</v>
      </c>
      <c r="J16" s="61">
        <v>0</v>
      </c>
      <c r="K16" s="61">
        <v>0</v>
      </c>
      <c r="L16" s="61">
        <v>0</v>
      </c>
      <c r="M16" s="67">
        <v>2.03960451501152E-16</v>
      </c>
    </row>
    <row r="17" spans="1:18">
      <c r="A17" s="76">
        <v>16</v>
      </c>
      <c r="B17" s="73">
        <v>2.044322232055704E-3</v>
      </c>
      <c r="C17" s="61">
        <v>-3.188934651945638E-2</v>
      </c>
      <c r="D17" s="61">
        <v>0</v>
      </c>
      <c r="E17" s="61">
        <v>0</v>
      </c>
      <c r="F17" s="61">
        <v>0</v>
      </c>
      <c r="G17" s="61">
        <v>5.2012722476994207E-3</v>
      </c>
      <c r="H17" s="61">
        <v>-1.6795510000246944E-14</v>
      </c>
      <c r="I17" s="61">
        <v>5.3540505362548174E-14</v>
      </c>
      <c r="J17" s="61">
        <v>0</v>
      </c>
      <c r="K17" s="61">
        <v>0</v>
      </c>
      <c r="L17" s="61">
        <v>0</v>
      </c>
      <c r="M17" s="67">
        <v>1.4209824723138142E-17</v>
      </c>
    </row>
    <row r="18" spans="1:18">
      <c r="A18" s="76">
        <v>17</v>
      </c>
      <c r="B18" s="73">
        <v>1.8937191149907917E-3</v>
      </c>
      <c r="C18" s="61">
        <v>-2.5058097849110467E-2</v>
      </c>
      <c r="D18" s="61">
        <v>0</v>
      </c>
      <c r="E18" s="61">
        <v>0</v>
      </c>
      <c r="F18" s="61">
        <v>0</v>
      </c>
      <c r="G18" s="61">
        <v>5.5392428169104453E-3</v>
      </c>
      <c r="H18" s="61">
        <v>-1.0509885160139076E-14</v>
      </c>
      <c r="I18" s="61">
        <v>-4.1272540940440194E-14</v>
      </c>
      <c r="J18" s="61">
        <v>0</v>
      </c>
      <c r="K18" s="61">
        <v>0</v>
      </c>
      <c r="L18" s="61">
        <v>0</v>
      </c>
      <c r="M18" s="67">
        <v>-5.6483545054705764E-17</v>
      </c>
    </row>
    <row r="19" spans="1:18">
      <c r="A19" s="76">
        <v>18</v>
      </c>
      <c r="B19" s="73">
        <v>1.1802681850007534E-3</v>
      </c>
      <c r="C19" s="61">
        <v>-1.8180556936638836E-2</v>
      </c>
      <c r="D19" s="61">
        <v>0</v>
      </c>
      <c r="E19" s="61">
        <v>0</v>
      </c>
      <c r="F19" s="61">
        <v>0</v>
      </c>
      <c r="G19" s="61">
        <v>5.5212993600936133E-3</v>
      </c>
      <c r="H19" s="61">
        <v>1.8693346857324781E-14</v>
      </c>
      <c r="I19" s="61">
        <v>-4.5852210917018965E-14</v>
      </c>
      <c r="J19" s="61">
        <v>0</v>
      </c>
      <c r="K19" s="61">
        <v>0</v>
      </c>
      <c r="L19" s="61">
        <v>0</v>
      </c>
      <c r="M19" s="67">
        <v>-2.0618814815243081E-16</v>
      </c>
    </row>
    <row r="20" spans="1:18">
      <c r="A20" s="76">
        <v>19</v>
      </c>
      <c r="B20" s="73">
        <v>5.3888241978553204E-4</v>
      </c>
      <c r="C20" s="61">
        <v>-1.0879271005590605E-2</v>
      </c>
      <c r="D20" s="61">
        <v>0</v>
      </c>
      <c r="E20" s="61">
        <v>0</v>
      </c>
      <c r="F20" s="61">
        <v>0</v>
      </c>
      <c r="G20" s="61">
        <v>6.462961488312261E-3</v>
      </c>
      <c r="H20" s="61">
        <v>-6.3876264272765262E-15</v>
      </c>
      <c r="I20" s="61">
        <v>8.429368314466501E-14</v>
      </c>
      <c r="J20" s="61">
        <v>0</v>
      </c>
      <c r="K20" s="61">
        <v>0</v>
      </c>
      <c r="L20" s="61">
        <v>0</v>
      </c>
      <c r="M20" s="67">
        <v>5.6736299686166447E-15</v>
      </c>
    </row>
    <row r="21" spans="1:18">
      <c r="A21" s="76">
        <v>20</v>
      </c>
      <c r="B21" s="73">
        <v>2.1750066601356957E-4</v>
      </c>
      <c r="C21" s="61">
        <v>-3.5564440692921603E-3</v>
      </c>
      <c r="D21" s="61">
        <v>0</v>
      </c>
      <c r="E21" s="61">
        <v>0</v>
      </c>
      <c r="F21" s="61">
        <v>0</v>
      </c>
      <c r="G21" s="61">
        <v>4.6066118124721365E-3</v>
      </c>
      <c r="H21" s="61">
        <v>-1.0590234197423278E-14</v>
      </c>
      <c r="I21" s="61">
        <v>2.7530061563751929E-15</v>
      </c>
      <c r="J21" s="61">
        <v>0</v>
      </c>
      <c r="K21" s="61">
        <v>0</v>
      </c>
      <c r="L21" s="61">
        <v>0</v>
      </c>
      <c r="M21" s="67">
        <v>1.1973064320533802E-14</v>
      </c>
    </row>
    <row r="22" spans="1:18">
      <c r="A22" s="76">
        <v>21</v>
      </c>
      <c r="B22" s="73">
        <v>1.5637684431880152E-9</v>
      </c>
      <c r="C22" s="61">
        <v>-4.8165137614678284E-10</v>
      </c>
      <c r="D22" s="61">
        <v>0</v>
      </c>
      <c r="E22" s="61">
        <v>0</v>
      </c>
      <c r="F22" s="61">
        <v>0</v>
      </c>
      <c r="G22" s="61">
        <v>7.4464657826953792E-10</v>
      </c>
      <c r="H22" s="61">
        <v>-15.340568427674425</v>
      </c>
      <c r="I22" s="61">
        <v>4.7249999999999357</v>
      </c>
      <c r="J22" s="61">
        <v>0</v>
      </c>
      <c r="K22" s="61">
        <v>0</v>
      </c>
      <c r="L22" s="61">
        <v>0</v>
      </c>
      <c r="M22" s="67">
        <v>-7.3049829328241671</v>
      </c>
    </row>
    <row r="23" spans="1:18">
      <c r="A23" s="76">
        <v>22</v>
      </c>
      <c r="B23" s="73">
        <v>2.0184489393402128E-3</v>
      </c>
      <c r="C23" s="61">
        <v>-4.9884378483912436E-5</v>
      </c>
      <c r="D23" s="61">
        <v>0</v>
      </c>
      <c r="E23" s="61">
        <v>0</v>
      </c>
      <c r="F23" s="61">
        <v>0</v>
      </c>
      <c r="G23" s="61">
        <v>-2.2046060313587385E-3</v>
      </c>
      <c r="H23" s="61">
        <v>-1.4091398929200151E-15</v>
      </c>
      <c r="I23" s="61">
        <v>-0.45</v>
      </c>
      <c r="J23" s="61">
        <v>0</v>
      </c>
      <c r="K23" s="61">
        <v>0</v>
      </c>
      <c r="L23" s="61">
        <v>0</v>
      </c>
      <c r="M23" s="67">
        <v>-1.3100211562235009E-17</v>
      </c>
    </row>
    <row r="24" spans="1:18">
      <c r="A24" s="76">
        <v>23</v>
      </c>
      <c r="B24" s="73">
        <v>2.2364141726919609E-3</v>
      </c>
      <c r="C24" s="61">
        <v>-3.6795527989541702E-3</v>
      </c>
      <c r="D24" s="61">
        <v>0</v>
      </c>
      <c r="E24" s="61">
        <v>0</v>
      </c>
      <c r="F24" s="61">
        <v>0</v>
      </c>
      <c r="G24" s="61">
        <v>-4.3020187092347667E-3</v>
      </c>
      <c r="H24" s="61">
        <v>4.3747511072978005E-15</v>
      </c>
      <c r="I24" s="61">
        <v>-0.44999999999999046</v>
      </c>
      <c r="J24" s="61">
        <v>0</v>
      </c>
      <c r="K24" s="61">
        <v>0</v>
      </c>
      <c r="L24" s="61">
        <v>0</v>
      </c>
      <c r="M24" s="67">
        <v>1.2390397952435905E-17</v>
      </c>
    </row>
    <row r="25" spans="1:18">
      <c r="A25" s="76">
        <v>24</v>
      </c>
      <c r="B25" s="73">
        <v>3.0070772435016428E-3</v>
      </c>
      <c r="C25" s="61">
        <v>-1.0576032414058535E-2</v>
      </c>
      <c r="D25" s="61">
        <v>0</v>
      </c>
      <c r="E25" s="61">
        <v>0</v>
      </c>
      <c r="F25" s="61">
        <v>0</v>
      </c>
      <c r="G25" s="61">
        <v>-5.9013065382170788E-3</v>
      </c>
      <c r="H25" s="61">
        <v>-5.7782266791412892E-15</v>
      </c>
      <c r="I25" s="61">
        <v>-0.44999999999999163</v>
      </c>
      <c r="J25" s="61">
        <v>0</v>
      </c>
      <c r="K25" s="61">
        <v>0</v>
      </c>
      <c r="L25" s="61">
        <v>0</v>
      </c>
      <c r="M25" s="67">
        <v>5.7573845864411499E-16</v>
      </c>
      <c r="N25" s="39"/>
      <c r="O25" s="39"/>
      <c r="P25" s="39"/>
      <c r="Q25" s="39"/>
      <c r="R25" s="39"/>
    </row>
    <row r="26" spans="1:18">
      <c r="A26" s="76">
        <v>25</v>
      </c>
      <c r="B26" s="73">
        <v>2.9004526283683794E-3</v>
      </c>
      <c r="C26" s="61">
        <v>-1.7795731801550713E-2</v>
      </c>
      <c r="D26" s="61">
        <v>0</v>
      </c>
      <c r="E26" s="61">
        <v>0</v>
      </c>
      <c r="F26" s="61">
        <v>0</v>
      </c>
      <c r="G26" s="61">
        <v>-5.5682793799934965E-3</v>
      </c>
      <c r="H26" s="61">
        <v>3.9968842038135E-14</v>
      </c>
      <c r="I26" s="61">
        <v>-0.45000000000013557</v>
      </c>
      <c r="J26" s="61">
        <v>0</v>
      </c>
      <c r="K26" s="61">
        <v>0</v>
      </c>
      <c r="L26" s="61">
        <v>0</v>
      </c>
      <c r="M26" s="67">
        <v>-1.7066290871822765E-15</v>
      </c>
    </row>
    <row r="27" spans="1:18">
      <c r="A27" s="76">
        <v>26</v>
      </c>
      <c r="B27" s="73">
        <v>2.5788954531708926E-3</v>
      </c>
      <c r="C27" s="61">
        <v>-2.4761788014757171E-2</v>
      </c>
      <c r="D27" s="61">
        <v>0</v>
      </c>
      <c r="E27" s="61">
        <v>0</v>
      </c>
      <c r="F27" s="61">
        <v>0</v>
      </c>
      <c r="G27" s="61">
        <v>-5.5931940700658994E-3</v>
      </c>
      <c r="H27" s="61">
        <v>5.8313082010666428E-14</v>
      </c>
      <c r="I27" s="61">
        <v>-0.44999999999998658</v>
      </c>
      <c r="J27" s="61">
        <v>0</v>
      </c>
      <c r="K27" s="61">
        <v>0</v>
      </c>
      <c r="L27" s="61">
        <v>0</v>
      </c>
      <c r="M27" s="67">
        <v>1.592692991381206E-16</v>
      </c>
    </row>
    <row r="28" spans="1:18">
      <c r="A28" s="76">
        <v>27</v>
      </c>
      <c r="B28" s="73">
        <v>2.2568572805821661E-3</v>
      </c>
      <c r="C28" s="61">
        <v>-3.1677036122026783E-2</v>
      </c>
      <c r="D28" s="61">
        <v>0</v>
      </c>
      <c r="E28" s="61">
        <v>0</v>
      </c>
      <c r="F28" s="61">
        <v>0</v>
      </c>
      <c r="G28" s="61">
        <v>-5.1993743998979738E-3</v>
      </c>
      <c r="H28" s="61">
        <v>-1.7721922494491442E-13</v>
      </c>
      <c r="I28" s="61">
        <v>-0.45000000000014567</v>
      </c>
      <c r="J28" s="61">
        <v>0</v>
      </c>
      <c r="K28" s="61">
        <v>0</v>
      </c>
      <c r="L28" s="61">
        <v>0</v>
      </c>
      <c r="M28" s="67">
        <v>-1.4389802283770736E-15</v>
      </c>
    </row>
    <row r="29" spans="1:18">
      <c r="A29" s="76">
        <v>28</v>
      </c>
      <c r="B29" s="73">
        <v>2.0110781649869485E-3</v>
      </c>
      <c r="C29" s="61">
        <v>-3.7655941607624414E-2</v>
      </c>
      <c r="D29" s="61">
        <v>0</v>
      </c>
      <c r="E29" s="61">
        <v>0</v>
      </c>
      <c r="F29" s="61">
        <v>0</v>
      </c>
      <c r="G29" s="61">
        <v>-4.2273723767654479E-3</v>
      </c>
      <c r="H29" s="61">
        <v>3.0983410485136385E-13</v>
      </c>
      <c r="I29" s="61">
        <v>-0.44999999999986845</v>
      </c>
      <c r="J29" s="61">
        <v>0</v>
      </c>
      <c r="K29" s="61">
        <v>0</v>
      </c>
      <c r="L29" s="61">
        <v>0</v>
      </c>
      <c r="M29" s="67">
        <v>-2.5772027741066683E-15</v>
      </c>
    </row>
    <row r="30" spans="1:18">
      <c r="A30" s="76">
        <v>29</v>
      </c>
      <c r="B30" s="73">
        <v>1.6201417137327162E-3</v>
      </c>
      <c r="C30" s="61">
        <v>-4.2160797241846078E-2</v>
      </c>
      <c r="D30" s="61">
        <v>0</v>
      </c>
      <c r="E30" s="61">
        <v>0</v>
      </c>
      <c r="F30" s="61">
        <v>0</v>
      </c>
      <c r="G30" s="61">
        <v>-2.8705498494571596E-3</v>
      </c>
      <c r="H30" s="61">
        <v>-1.2030081402212124E-13</v>
      </c>
      <c r="I30" s="61">
        <v>-0.44999999999995266</v>
      </c>
      <c r="J30" s="61">
        <v>0</v>
      </c>
      <c r="K30" s="61">
        <v>0</v>
      </c>
      <c r="L30" s="61">
        <v>0</v>
      </c>
      <c r="M30" s="67">
        <v>-9.4655593042489161E-16</v>
      </c>
    </row>
    <row r="31" spans="1:18">
      <c r="A31" s="76">
        <v>30</v>
      </c>
      <c r="B31" s="73">
        <v>1.0875621032833069E-3</v>
      </c>
      <c r="C31" s="61">
        <v>-4.4768867821161351E-2</v>
      </c>
      <c r="D31" s="61">
        <v>0</v>
      </c>
      <c r="E31" s="61">
        <v>0</v>
      </c>
      <c r="F31" s="61">
        <v>0</v>
      </c>
      <c r="G31" s="61">
        <v>-1.1677066227786896E-3</v>
      </c>
      <c r="H31" s="61">
        <v>3.4389481172014924E-14</v>
      </c>
      <c r="I31" s="61">
        <v>-0.45000000000006518</v>
      </c>
      <c r="J31" s="61">
        <v>0</v>
      </c>
      <c r="K31" s="61">
        <v>0</v>
      </c>
      <c r="L31" s="61">
        <v>0</v>
      </c>
      <c r="M31" s="67">
        <v>-8.3344696229681499E-16</v>
      </c>
    </row>
    <row r="32" spans="1:18">
      <c r="A32" s="76">
        <v>31</v>
      </c>
      <c r="B32" s="73">
        <v>5.7027572984476554E-4</v>
      </c>
      <c r="C32" s="61">
        <v>-4.5635375067912216E-2</v>
      </c>
      <c r="D32" s="61">
        <v>0</v>
      </c>
      <c r="E32" s="61">
        <v>0</v>
      </c>
      <c r="F32" s="61">
        <v>0</v>
      </c>
      <c r="G32" s="61">
        <v>-3.0819589941308699E-5</v>
      </c>
      <c r="H32" s="61">
        <v>2.7838422333067696E-13</v>
      </c>
      <c r="I32" s="61">
        <v>-0.44999999999990481</v>
      </c>
      <c r="J32" s="61">
        <v>0</v>
      </c>
      <c r="K32" s="61">
        <v>0</v>
      </c>
      <c r="L32" s="61">
        <v>0</v>
      </c>
      <c r="M32" s="67">
        <v>1.1344969929682288E-14</v>
      </c>
    </row>
    <row r="33" spans="1:18">
      <c r="A33" s="76">
        <v>32</v>
      </c>
      <c r="B33" s="73">
        <v>8.9211624143970968E-17</v>
      </c>
      <c r="C33" s="61">
        <v>-4.5373968434225434E-2</v>
      </c>
      <c r="D33" s="61">
        <v>0</v>
      </c>
      <c r="E33" s="61">
        <v>0</v>
      </c>
      <c r="F33" s="61">
        <v>0</v>
      </c>
      <c r="G33" s="61">
        <v>1.0092948547986718E-16</v>
      </c>
      <c r="H33" s="61">
        <v>-2.0388839070255993E-14</v>
      </c>
      <c r="I33" s="61">
        <v>-0.45000000000008827</v>
      </c>
      <c r="J33" s="61">
        <v>0</v>
      </c>
      <c r="K33" s="61">
        <v>0</v>
      </c>
      <c r="L33" s="61">
        <v>0</v>
      </c>
      <c r="M33" s="67">
        <v>-2.0544110744459988E-15</v>
      </c>
    </row>
    <row r="34" spans="1:18">
      <c r="A34" s="76">
        <v>33</v>
      </c>
      <c r="B34" s="73">
        <v>-5.7027572984456897E-4</v>
      </c>
      <c r="C34" s="61">
        <v>-4.5635375067911911E-2</v>
      </c>
      <c r="D34" s="61">
        <v>0</v>
      </c>
      <c r="E34" s="61">
        <v>0</v>
      </c>
      <c r="F34" s="61">
        <v>0</v>
      </c>
      <c r="G34" s="61">
        <v>3.0819589941646062E-5</v>
      </c>
      <c r="H34" s="61">
        <v>-2.4407772759296384E-14</v>
      </c>
      <c r="I34" s="61">
        <v>-0.45000000000019819</v>
      </c>
      <c r="J34" s="61">
        <v>0</v>
      </c>
      <c r="K34" s="61">
        <v>0</v>
      </c>
      <c r="L34" s="61">
        <v>0</v>
      </c>
      <c r="M34" s="67">
        <v>-8.5546261914537514E-16</v>
      </c>
    </row>
    <row r="35" spans="1:18">
      <c r="A35" s="76">
        <v>34</v>
      </c>
      <c r="B35" s="73">
        <v>-1.0875621032830848E-3</v>
      </c>
      <c r="C35" s="61">
        <v>-4.4768867821160553E-2</v>
      </c>
      <c r="D35" s="61">
        <v>0</v>
      </c>
      <c r="E35" s="61">
        <v>0</v>
      </c>
      <c r="F35" s="61">
        <v>0</v>
      </c>
      <c r="G35" s="61">
        <v>1.1677066227790908E-3</v>
      </c>
      <c r="H35" s="61">
        <v>-8.2082002192352885E-14</v>
      </c>
      <c r="I35" s="61">
        <v>-0.4499999999999757</v>
      </c>
      <c r="J35" s="61">
        <v>0</v>
      </c>
      <c r="K35" s="61">
        <v>0</v>
      </c>
      <c r="L35" s="61">
        <v>0</v>
      </c>
      <c r="M35" s="67">
        <v>-7.8922328741737324E-15</v>
      </c>
    </row>
    <row r="36" spans="1:18">
      <c r="A36" s="76">
        <v>35</v>
      </c>
      <c r="B36" s="73">
        <v>-1.6201417137324632E-3</v>
      </c>
      <c r="C36" s="61">
        <v>-4.2160797241844829E-2</v>
      </c>
      <c r="D36" s="61">
        <v>0</v>
      </c>
      <c r="E36" s="61">
        <v>0</v>
      </c>
      <c r="F36" s="61">
        <v>0</v>
      </c>
      <c r="G36" s="61">
        <v>2.8705498494574484E-3</v>
      </c>
      <c r="H36" s="61">
        <v>-6.7970551875708857E-14</v>
      </c>
      <c r="I36" s="61">
        <v>-0.44999999999990253</v>
      </c>
      <c r="J36" s="61">
        <v>0</v>
      </c>
      <c r="K36" s="61">
        <v>0</v>
      </c>
      <c r="L36" s="61">
        <v>0</v>
      </c>
      <c r="M36" s="67">
        <v>2.8033944523414567E-15</v>
      </c>
    </row>
    <row r="37" spans="1:18">
      <c r="A37" s="76">
        <v>36</v>
      </c>
      <c r="B37" s="73">
        <v>-2.0110781649866662E-3</v>
      </c>
      <c r="C37" s="61">
        <v>-3.7655941607622936E-2</v>
      </c>
      <c r="D37" s="61">
        <v>0</v>
      </c>
      <c r="E37" s="61">
        <v>0</v>
      </c>
      <c r="F37" s="61">
        <v>0</v>
      </c>
      <c r="G37" s="61">
        <v>4.2273723767655711E-3</v>
      </c>
      <c r="H37" s="61">
        <v>-7.0371094070204379E-14</v>
      </c>
      <c r="I37" s="61">
        <v>-0.44999999999991469</v>
      </c>
      <c r="J37" s="61">
        <v>0</v>
      </c>
      <c r="K37" s="61">
        <v>0</v>
      </c>
      <c r="L37" s="61">
        <v>0</v>
      </c>
      <c r="M37" s="67">
        <v>7.1580653730751731E-15</v>
      </c>
    </row>
    <row r="38" spans="1:18">
      <c r="A38" s="76">
        <v>37</v>
      </c>
      <c r="B38" s="73">
        <v>-2.256857280581873E-3</v>
      </c>
      <c r="C38" s="61">
        <v>-3.1677036122025243E-2</v>
      </c>
      <c r="D38" s="61">
        <v>0</v>
      </c>
      <c r="E38" s="61">
        <v>0</v>
      </c>
      <c r="F38" s="61">
        <v>0</v>
      </c>
      <c r="G38" s="61">
        <v>5.1993743998979399E-3</v>
      </c>
      <c r="H38" s="61">
        <v>1.0968818152487687E-13</v>
      </c>
      <c r="I38" s="61">
        <v>-0.44999999999998558</v>
      </c>
      <c r="J38" s="61">
        <v>0</v>
      </c>
      <c r="K38" s="61">
        <v>0</v>
      </c>
      <c r="L38" s="61">
        <v>0</v>
      </c>
      <c r="M38" s="67">
        <v>-8.9826149990424042E-17</v>
      </c>
      <c r="N38" s="39"/>
      <c r="O38" s="39"/>
      <c r="P38" s="39"/>
      <c r="Q38" s="39"/>
      <c r="R38" s="39"/>
    </row>
    <row r="39" spans="1:18">
      <c r="A39" s="76">
        <v>38</v>
      </c>
      <c r="B39" s="73">
        <v>-2.5788954531705938E-3</v>
      </c>
      <c r="C39" s="61">
        <v>-2.4761788014755804E-2</v>
      </c>
      <c r="D39" s="61">
        <v>0</v>
      </c>
      <c r="E39" s="61">
        <v>0</v>
      </c>
      <c r="F39" s="61">
        <v>0</v>
      </c>
      <c r="G39" s="61">
        <v>5.5931940700656678E-3</v>
      </c>
      <c r="H39" s="61">
        <v>1.4078159211311503E-13</v>
      </c>
      <c r="I39" s="61">
        <v>-0.44999999999991047</v>
      </c>
      <c r="J39" s="61">
        <v>0</v>
      </c>
      <c r="K39" s="61">
        <v>0</v>
      </c>
      <c r="L39" s="61">
        <v>0</v>
      </c>
      <c r="M39" s="67">
        <v>-2.6648334146978092E-16</v>
      </c>
    </row>
    <row r="40" spans="1:18">
      <c r="A40" s="76">
        <v>39</v>
      </c>
      <c r="B40" s="73">
        <v>-2.900452628368108E-3</v>
      </c>
      <c r="C40" s="61">
        <v>-1.7795731801549738E-2</v>
      </c>
      <c r="D40" s="61">
        <v>0</v>
      </c>
      <c r="E40" s="61">
        <v>0</v>
      </c>
      <c r="F40" s="61">
        <v>0</v>
      </c>
      <c r="G40" s="61">
        <v>5.5682793799931209E-3</v>
      </c>
      <c r="H40" s="61">
        <v>3.8226192027837787E-14</v>
      </c>
      <c r="I40" s="61">
        <v>-0.44999999999997664</v>
      </c>
      <c r="J40" s="61">
        <v>0</v>
      </c>
      <c r="K40" s="61">
        <v>0</v>
      </c>
      <c r="L40" s="61">
        <v>0</v>
      </c>
      <c r="M40" s="67">
        <v>3.4054790237769694E-16</v>
      </c>
    </row>
    <row r="41" spans="1:18">
      <c r="A41" s="76">
        <v>40</v>
      </c>
      <c r="B41" s="73">
        <v>-3.0070772435014355E-3</v>
      </c>
      <c r="C41" s="61">
        <v>-1.0576032414058032E-2</v>
      </c>
      <c r="D41" s="61">
        <v>0</v>
      </c>
      <c r="E41" s="61">
        <v>0</v>
      </c>
      <c r="F41" s="61">
        <v>0</v>
      </c>
      <c r="G41" s="61">
        <v>5.9013065382167162E-3</v>
      </c>
      <c r="H41" s="61">
        <v>-7.2604084889161765E-14</v>
      </c>
      <c r="I41" s="61">
        <v>-0.45000000000005669</v>
      </c>
      <c r="J41" s="61">
        <v>0</v>
      </c>
      <c r="K41" s="61">
        <v>0</v>
      </c>
      <c r="L41" s="61">
        <v>0</v>
      </c>
      <c r="M41" s="67">
        <v>-1.0421893383016911E-16</v>
      </c>
    </row>
    <row r="42" spans="1:18">
      <c r="A42" s="76">
        <v>41</v>
      </c>
      <c r="B42" s="73">
        <v>-2.2364141726918291E-3</v>
      </c>
      <c r="C42" s="61">
        <v>-3.6795527989540214E-3</v>
      </c>
      <c r="D42" s="61">
        <v>0</v>
      </c>
      <c r="E42" s="61">
        <v>0</v>
      </c>
      <c r="F42" s="61">
        <v>0</v>
      </c>
      <c r="G42" s="61">
        <v>4.3020187092345751E-3</v>
      </c>
      <c r="H42" s="61">
        <v>-9.4908646253063752E-15</v>
      </c>
      <c r="I42" s="61">
        <v>-0.44999999999999879</v>
      </c>
      <c r="J42" s="61">
        <v>0</v>
      </c>
      <c r="K42" s="61">
        <v>0</v>
      </c>
      <c r="L42" s="61">
        <v>0</v>
      </c>
      <c r="M42" s="67">
        <v>2.3234113743185458E-17</v>
      </c>
    </row>
    <row r="43" spans="1:18" ht="15" thickBot="1">
      <c r="A43" s="77">
        <v>42</v>
      </c>
      <c r="B43" s="74">
        <v>-2.01844893934009E-3</v>
      </c>
      <c r="C43" s="65">
        <v>-4.9884378483912253E-5</v>
      </c>
      <c r="D43" s="65">
        <v>0</v>
      </c>
      <c r="E43" s="65">
        <v>0</v>
      </c>
      <c r="F43" s="65">
        <v>0</v>
      </c>
      <c r="G43" s="65">
        <v>2.2046060313586557E-3</v>
      </c>
      <c r="H43" s="65">
        <v>-3.0620304570714001E-16</v>
      </c>
      <c r="I43" s="65">
        <v>-0.44999999999999996</v>
      </c>
      <c r="J43" s="65">
        <v>0</v>
      </c>
      <c r="K43" s="65">
        <v>0</v>
      </c>
      <c r="L43" s="65">
        <v>0</v>
      </c>
      <c r="M43" s="68">
        <v>8.3043110148811605E-18</v>
      </c>
    </row>
    <row r="59" spans="14:18">
      <c r="N59" s="39"/>
      <c r="O59" s="39"/>
      <c r="P59" s="39"/>
      <c r="Q59" s="39"/>
      <c r="R59" s="39"/>
    </row>
    <row r="61" spans="14:18">
      <c r="N61" s="40"/>
      <c r="O61" s="40"/>
      <c r="P61" s="40"/>
      <c r="Q61" s="40"/>
      <c r="R61" s="40"/>
    </row>
    <row r="62" spans="14:18">
      <c r="N62" s="40"/>
      <c r="O62" s="40"/>
      <c r="P62" s="40"/>
      <c r="Q62" s="40"/>
      <c r="R62" s="40"/>
    </row>
    <row r="63" spans="14:18">
      <c r="N63" s="40"/>
      <c r="O63" s="40"/>
      <c r="P63" s="40"/>
      <c r="Q63" s="40"/>
      <c r="R63" s="40"/>
    </row>
    <row r="64" spans="14:18">
      <c r="N64" s="40"/>
      <c r="O64" s="40"/>
      <c r="P64" s="40"/>
      <c r="Q64" s="40"/>
      <c r="R64" s="40"/>
    </row>
    <row r="65" spans="14:18">
      <c r="N65" s="40"/>
      <c r="O65" s="40"/>
      <c r="P65" s="40"/>
      <c r="Q65" s="40"/>
      <c r="R65" s="40"/>
    </row>
    <row r="66" spans="14:18">
      <c r="N66" s="40"/>
      <c r="O66" s="40"/>
      <c r="P66" s="40"/>
      <c r="Q66" s="40"/>
      <c r="R66" s="40"/>
    </row>
    <row r="67" spans="14:18">
      <c r="N67" s="40"/>
      <c r="O67" s="40"/>
      <c r="P67" s="40"/>
      <c r="Q67" s="40"/>
      <c r="R67" s="40"/>
    </row>
    <row r="68" spans="14:18">
      <c r="N68" s="40"/>
      <c r="O68" s="40"/>
      <c r="P68" s="40"/>
      <c r="Q68" s="40"/>
      <c r="R68" s="40"/>
    </row>
    <row r="69" spans="14:18">
      <c r="N69" s="40"/>
      <c r="O69" s="40"/>
      <c r="P69" s="40"/>
      <c r="Q69" s="40"/>
      <c r="R69" s="40"/>
    </row>
    <row r="70" spans="14:18">
      <c r="N70" s="40"/>
      <c r="O70" s="40"/>
      <c r="P70" s="40"/>
      <c r="Q70" s="40"/>
      <c r="R70" s="40"/>
    </row>
    <row r="71" spans="14:18">
      <c r="N71" s="40"/>
      <c r="O71" s="40"/>
      <c r="P71" s="40"/>
      <c r="Q71" s="40"/>
      <c r="R71" s="40"/>
    </row>
    <row r="72" spans="14:18">
      <c r="N72" s="40"/>
      <c r="O72" s="40"/>
      <c r="P72" s="40"/>
      <c r="Q72" s="40"/>
      <c r="R72" s="40"/>
    </row>
    <row r="74" spans="14:18">
      <c r="N74" s="41"/>
      <c r="O74" s="41"/>
      <c r="P74" s="41"/>
      <c r="Q74" s="41"/>
      <c r="R74" s="41"/>
    </row>
    <row r="75" spans="14:18">
      <c r="N75" s="41"/>
      <c r="O75" s="41"/>
      <c r="P75" s="41"/>
      <c r="Q75" s="41"/>
      <c r="R75" s="41"/>
    </row>
    <row r="76" spans="14:18">
      <c r="N76" s="41"/>
      <c r="O76" s="41"/>
      <c r="P76" s="41"/>
      <c r="Q76" s="41"/>
      <c r="R76" s="41"/>
    </row>
    <row r="77" spans="14:18">
      <c r="N77" s="41"/>
      <c r="O77" s="41"/>
      <c r="P77" s="41"/>
      <c r="Q77" s="41"/>
      <c r="R77" s="41"/>
    </row>
    <row r="78" spans="14:18">
      <c r="N78" s="41"/>
      <c r="O78" s="41"/>
      <c r="P78" s="41"/>
      <c r="Q78" s="41"/>
      <c r="R78" s="41"/>
    </row>
    <row r="79" spans="14:18">
      <c r="N79" s="41"/>
      <c r="O79" s="41"/>
      <c r="P79" s="41"/>
      <c r="Q79" s="41"/>
      <c r="R79" s="41"/>
    </row>
    <row r="80" spans="14:18">
      <c r="N80" s="41"/>
      <c r="O80" s="41"/>
      <c r="P80" s="41"/>
      <c r="Q80" s="41"/>
      <c r="R80" s="41"/>
    </row>
    <row r="81" spans="14:18">
      <c r="N81" s="41"/>
      <c r="O81" s="41"/>
      <c r="P81" s="41"/>
      <c r="Q81" s="41"/>
      <c r="R81" s="41"/>
    </row>
    <row r="82" spans="14:18">
      <c r="N82" s="41"/>
      <c r="O82" s="41"/>
      <c r="P82" s="41"/>
      <c r="Q82" s="41"/>
      <c r="R82" s="41"/>
    </row>
    <row r="83" spans="14:18">
      <c r="N83" s="41"/>
      <c r="O83" s="41"/>
      <c r="P83" s="41"/>
      <c r="Q83" s="41"/>
      <c r="R83" s="41"/>
    </row>
    <row r="84" spans="14:18">
      <c r="N84" s="41"/>
      <c r="O84" s="41"/>
      <c r="P84" s="41"/>
      <c r="Q84" s="41"/>
      <c r="R84" s="41"/>
    </row>
    <row r="85" spans="14:18">
      <c r="N85" s="41"/>
      <c r="O85" s="41"/>
      <c r="P85" s="41"/>
      <c r="Q85" s="41"/>
      <c r="R85" s="41"/>
    </row>
    <row r="87" spans="14:18">
      <c r="N87" s="40"/>
      <c r="O87" s="40"/>
      <c r="P87" s="40"/>
      <c r="Q87" s="40"/>
      <c r="R87" s="40"/>
    </row>
    <row r="88" spans="14:18">
      <c r="N88" s="40"/>
      <c r="O88" s="40"/>
      <c r="P88" s="40"/>
      <c r="Q88" s="40"/>
      <c r="R88" s="40"/>
    </row>
    <row r="89" spans="14:18">
      <c r="N89" s="40"/>
      <c r="O89" s="40"/>
      <c r="P89" s="40"/>
      <c r="Q89" s="40"/>
      <c r="R89" s="40"/>
    </row>
    <row r="90" spans="14:18">
      <c r="N90" s="40"/>
      <c r="O90" s="40"/>
      <c r="P90" s="40"/>
      <c r="Q90" s="40"/>
      <c r="R90" s="40"/>
    </row>
    <row r="91" spans="14:18">
      <c r="N91" s="40"/>
      <c r="O91" s="40"/>
      <c r="P91" s="40"/>
      <c r="Q91" s="40"/>
      <c r="R91" s="40"/>
    </row>
    <row r="92" spans="14:18">
      <c r="N92" s="40"/>
      <c r="O92" s="40"/>
      <c r="P92" s="40"/>
      <c r="Q92" s="40"/>
      <c r="R92" s="40"/>
    </row>
    <row r="93" spans="14:18">
      <c r="N93" s="40"/>
      <c r="O93" s="40"/>
      <c r="P93" s="40"/>
      <c r="Q93" s="40"/>
      <c r="R93" s="40"/>
    </row>
    <row r="94" spans="14:18">
      <c r="N94" s="40"/>
      <c r="O94" s="40"/>
      <c r="P94" s="40"/>
      <c r="Q94" s="40"/>
      <c r="R94" s="40"/>
    </row>
    <row r="95" spans="14:18">
      <c r="N95" s="40"/>
      <c r="O95" s="40"/>
      <c r="P95" s="40"/>
      <c r="Q95" s="40"/>
      <c r="R95" s="40"/>
    </row>
    <row r="96" spans="14:18">
      <c r="N96" s="40"/>
      <c r="O96" s="40"/>
      <c r="P96" s="40"/>
      <c r="Q96" s="40"/>
      <c r="R96" s="40"/>
    </row>
    <row r="97" spans="14:18">
      <c r="N97" s="40"/>
      <c r="O97" s="40"/>
      <c r="P97" s="40"/>
      <c r="Q97" s="40"/>
      <c r="R97" s="40"/>
    </row>
    <row r="98" spans="14:18">
      <c r="N98" s="40"/>
      <c r="O98" s="40"/>
      <c r="P98" s="40"/>
      <c r="Q98" s="40"/>
      <c r="R98" s="40"/>
    </row>
  </sheetData>
  <mergeCells count="1">
    <mergeCell ref="R11:X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Q82"/>
  <sheetViews>
    <sheetView zoomScale="70" zoomScaleNormal="70" workbookViewId="0">
      <selection activeCell="G14" sqref="G14"/>
    </sheetView>
  </sheetViews>
  <sheetFormatPr defaultRowHeight="14.25"/>
  <cols>
    <col min="1" max="1" width="5.625" style="60" bestFit="1" customWidth="1"/>
    <col min="2" max="4" width="14.75" style="60" bestFit="1" customWidth="1"/>
    <col min="5" max="6" width="17.5" style="60" bestFit="1" customWidth="1"/>
    <col min="7" max="7" width="17.25" style="60" bestFit="1" customWidth="1"/>
    <col min="8" max="9" width="14.625" style="60" bestFit="1" customWidth="1"/>
    <col min="10" max="10" width="14.375" style="60" bestFit="1" customWidth="1"/>
    <col min="11" max="12" width="17.5" style="60" bestFit="1" customWidth="1"/>
    <col min="13" max="13" width="17.25" style="60" bestFit="1" customWidth="1"/>
    <col min="14" max="16384" width="9" style="46"/>
  </cols>
  <sheetData>
    <row r="1" spans="1:17" ht="29.25" thickBot="1">
      <c r="A1" s="126" t="s">
        <v>0</v>
      </c>
      <c r="B1" s="127" t="s">
        <v>14</v>
      </c>
      <c r="C1" s="128" t="s">
        <v>15</v>
      </c>
      <c r="D1" s="128" t="s">
        <v>159</v>
      </c>
      <c r="E1" s="128" t="s">
        <v>161</v>
      </c>
      <c r="F1" s="128" t="s">
        <v>160</v>
      </c>
      <c r="G1" s="129" t="s">
        <v>16</v>
      </c>
      <c r="H1" s="127" t="s">
        <v>150</v>
      </c>
      <c r="I1" s="128" t="s">
        <v>151</v>
      </c>
      <c r="J1" s="128" t="s">
        <v>162</v>
      </c>
      <c r="K1" s="128" t="s">
        <v>163</v>
      </c>
      <c r="L1" s="128" t="s">
        <v>164</v>
      </c>
      <c r="M1" s="129" t="s">
        <v>152</v>
      </c>
      <c r="Q1" s="43" t="s">
        <v>55</v>
      </c>
    </row>
    <row r="2" spans="1:17">
      <c r="A2" s="75">
        <v>1</v>
      </c>
      <c r="B2" s="220">
        <v>-16.443146206214855</v>
      </c>
      <c r="C2" s="135">
        <v>0</v>
      </c>
      <c r="D2" s="135">
        <v>4.8358497516074896</v>
      </c>
      <c r="E2" s="135">
        <v>0</v>
      </c>
      <c r="F2" s="135">
        <v>0</v>
      </c>
      <c r="G2" s="136">
        <v>-7.3049829328244353</v>
      </c>
      <c r="H2" s="220">
        <v>-16.443146206214855</v>
      </c>
      <c r="I2" s="135">
        <v>0</v>
      </c>
      <c r="J2" s="135">
        <v>4.8358497516074896</v>
      </c>
      <c r="K2" s="135">
        <v>0</v>
      </c>
      <c r="L2" s="135">
        <v>0</v>
      </c>
      <c r="M2" s="136">
        <v>-1.2601707433150673</v>
      </c>
    </row>
    <row r="3" spans="1:17">
      <c r="A3" s="76">
        <v>2</v>
      </c>
      <c r="B3" s="221">
        <v>-11.356088494453477</v>
      </c>
      <c r="C3" s="137">
        <v>0</v>
      </c>
      <c r="D3" s="137">
        <v>1.030570829586188</v>
      </c>
      <c r="E3" s="137">
        <v>0</v>
      </c>
      <c r="F3" s="137">
        <v>0</v>
      </c>
      <c r="G3" s="138">
        <v>-1.2601707433150791</v>
      </c>
      <c r="H3" s="221">
        <v>-11.356088494453477</v>
      </c>
      <c r="I3" s="137">
        <v>0</v>
      </c>
      <c r="J3" s="137">
        <v>1.030570829586188</v>
      </c>
      <c r="K3" s="137">
        <v>0</v>
      </c>
      <c r="L3" s="137">
        <v>0</v>
      </c>
      <c r="M3" s="138">
        <v>2.804279366765822E-2</v>
      </c>
    </row>
    <row r="4" spans="1:17">
      <c r="A4" s="76">
        <v>3</v>
      </c>
      <c r="B4" s="221">
        <v>-6.2653864675287876</v>
      </c>
      <c r="C4" s="137">
        <v>0</v>
      </c>
      <c r="D4" s="137">
        <v>-2.2008774891850349E-2</v>
      </c>
      <c r="E4" s="137">
        <v>0</v>
      </c>
      <c r="F4" s="137">
        <v>0</v>
      </c>
      <c r="G4" s="138">
        <v>2.8042793667655677E-2</v>
      </c>
      <c r="H4" s="221">
        <v>-6.2653864675287876</v>
      </c>
      <c r="I4" s="137">
        <v>0</v>
      </c>
      <c r="J4" s="137">
        <v>-2.2008774891850349E-2</v>
      </c>
      <c r="K4" s="137">
        <v>0</v>
      </c>
      <c r="L4" s="137">
        <v>0</v>
      </c>
      <c r="M4" s="138">
        <v>5.3182505284263531E-4</v>
      </c>
    </row>
    <row r="5" spans="1:17">
      <c r="A5" s="76">
        <v>4</v>
      </c>
      <c r="B5" s="221">
        <v>-2.7503339195430434</v>
      </c>
      <c r="C5" s="137">
        <v>0</v>
      </c>
      <c r="D5" s="137">
        <v>-9.5171077021910869E-4</v>
      </c>
      <c r="E5" s="137">
        <v>0</v>
      </c>
      <c r="F5" s="137">
        <v>0</v>
      </c>
      <c r="G5" s="138">
        <v>5.318250528431258E-4</v>
      </c>
      <c r="H5" s="221">
        <v>-2.7503339195430434</v>
      </c>
      <c r="I5" s="137">
        <v>0</v>
      </c>
      <c r="J5" s="137">
        <v>-9.5171077021910869E-4</v>
      </c>
      <c r="K5" s="137">
        <v>0</v>
      </c>
      <c r="L5" s="137">
        <v>0</v>
      </c>
      <c r="M5" s="138">
        <v>-6.5781340993076396E-4</v>
      </c>
    </row>
    <row r="6" spans="1:17">
      <c r="A6" s="76">
        <v>5</v>
      </c>
      <c r="B6" s="221">
        <v>-0.46750924474241645</v>
      </c>
      <c r="C6" s="137">
        <v>0</v>
      </c>
      <c r="D6" s="137">
        <v>2.5958797415382333E-3</v>
      </c>
      <c r="E6" s="137">
        <v>0</v>
      </c>
      <c r="F6" s="137">
        <v>0</v>
      </c>
      <c r="G6" s="138">
        <v>-6.5781340993082164E-4</v>
      </c>
      <c r="H6" s="221">
        <v>-0.46750924474241645</v>
      </c>
      <c r="I6" s="137">
        <v>0</v>
      </c>
      <c r="J6" s="137">
        <v>2.5958797415382333E-3</v>
      </c>
      <c r="K6" s="137">
        <v>0</v>
      </c>
      <c r="L6" s="137">
        <v>0</v>
      </c>
      <c r="M6" s="138">
        <v>2.58703626699188E-3</v>
      </c>
    </row>
    <row r="7" spans="1:17">
      <c r="A7" s="76">
        <v>6</v>
      </c>
      <c r="B7" s="221">
        <v>0.92833649541822127</v>
      </c>
      <c r="C7" s="137">
        <v>0</v>
      </c>
      <c r="D7" s="137">
        <v>5.1598361583227192E-4</v>
      </c>
      <c r="E7" s="137">
        <v>0</v>
      </c>
      <c r="F7" s="137">
        <v>0</v>
      </c>
      <c r="G7" s="138">
        <v>2.5870362669919312E-3</v>
      </c>
      <c r="H7" s="221">
        <v>0.92833649541822127</v>
      </c>
      <c r="I7" s="137">
        <v>0</v>
      </c>
      <c r="J7" s="137">
        <v>5.1598361583227192E-4</v>
      </c>
      <c r="K7" s="137">
        <v>0</v>
      </c>
      <c r="L7" s="137">
        <v>0</v>
      </c>
      <c r="M7" s="138">
        <v>3.2320157867822448E-3</v>
      </c>
    </row>
    <row r="8" spans="1:17">
      <c r="A8" s="76">
        <v>7</v>
      </c>
      <c r="B8" s="221">
        <v>1.6129893006034726</v>
      </c>
      <c r="C8" s="137">
        <v>0</v>
      </c>
      <c r="D8" s="137">
        <v>1.2649797567577793E-3</v>
      </c>
      <c r="E8" s="137">
        <v>0</v>
      </c>
      <c r="F8" s="137">
        <v>0</v>
      </c>
      <c r="G8" s="138">
        <v>3.2320157867820869E-3</v>
      </c>
      <c r="H8" s="221">
        <v>1.6129893006034726</v>
      </c>
      <c r="I8" s="137">
        <v>0</v>
      </c>
      <c r="J8" s="137">
        <v>1.2649797567577793E-3</v>
      </c>
      <c r="K8" s="137">
        <v>0</v>
      </c>
      <c r="L8" s="137">
        <v>0</v>
      </c>
      <c r="M8" s="138">
        <v>4.8132404827292592E-3</v>
      </c>
    </row>
    <row r="9" spans="1:17">
      <c r="A9" s="76">
        <v>8</v>
      </c>
      <c r="B9" s="221">
        <v>1.7169676471054054</v>
      </c>
      <c r="C9" s="137">
        <v>0</v>
      </c>
      <c r="D9" s="137">
        <v>-8.5509559625024454E-4</v>
      </c>
      <c r="E9" s="137">
        <v>0</v>
      </c>
      <c r="F9" s="137">
        <v>0</v>
      </c>
      <c r="G9" s="138">
        <v>4.8132404827295663E-3</v>
      </c>
      <c r="H9" s="221">
        <v>1.7169676471054054</v>
      </c>
      <c r="I9" s="137">
        <v>0</v>
      </c>
      <c r="J9" s="137">
        <v>-8.5509559625024454E-4</v>
      </c>
      <c r="K9" s="137">
        <v>0</v>
      </c>
      <c r="L9" s="137">
        <v>0</v>
      </c>
      <c r="M9" s="138">
        <v>3.7443709874167854E-3</v>
      </c>
    </row>
    <row r="10" spans="1:17">
      <c r="A10" s="76">
        <v>9</v>
      </c>
      <c r="B10" s="221">
        <v>1.2954348158758247</v>
      </c>
      <c r="C10" s="137">
        <v>0</v>
      </c>
      <c r="D10" s="137">
        <v>-6.5475183512116511E-4</v>
      </c>
      <c r="E10" s="137">
        <v>0</v>
      </c>
      <c r="F10" s="137">
        <v>0</v>
      </c>
      <c r="G10" s="138">
        <v>3.7443709874170677E-3</v>
      </c>
      <c r="H10" s="221">
        <v>1.2954348158758247</v>
      </c>
      <c r="I10" s="137">
        <v>0</v>
      </c>
      <c r="J10" s="137">
        <v>-6.5475183512116511E-4</v>
      </c>
      <c r="K10" s="137">
        <v>0</v>
      </c>
      <c r="L10" s="137">
        <v>0</v>
      </c>
      <c r="M10" s="138">
        <v>2.925931193515583E-3</v>
      </c>
    </row>
    <row r="11" spans="1:17">
      <c r="A11" s="76">
        <v>10</v>
      </c>
      <c r="B11" s="221">
        <v>0.79235249513817729</v>
      </c>
      <c r="C11" s="137">
        <v>0</v>
      </c>
      <c r="D11" s="137">
        <v>-4.2031086440942559E-3</v>
      </c>
      <c r="E11" s="137">
        <v>0</v>
      </c>
      <c r="F11" s="137">
        <v>0</v>
      </c>
      <c r="G11" s="138">
        <v>2.92593119351524E-3</v>
      </c>
      <c r="H11" s="221">
        <v>0.79235249513817729</v>
      </c>
      <c r="I11" s="137">
        <v>0</v>
      </c>
      <c r="J11" s="137">
        <v>-4.2031086440942559E-3</v>
      </c>
      <c r="K11" s="137">
        <v>0</v>
      </c>
      <c r="L11" s="137">
        <v>0</v>
      </c>
      <c r="M11" s="138">
        <v>-2.3279546116024411E-3</v>
      </c>
    </row>
    <row r="12" spans="1:17">
      <c r="A12" s="76">
        <v>11</v>
      </c>
      <c r="B12" s="221">
        <v>0.79235249513817774</v>
      </c>
      <c r="C12" s="137">
        <v>0</v>
      </c>
      <c r="D12" s="137">
        <v>4.203108644094903E-3</v>
      </c>
      <c r="E12" s="137">
        <v>0</v>
      </c>
      <c r="F12" s="137">
        <v>0</v>
      </c>
      <c r="G12" s="138">
        <v>-2.3279546116026901E-3</v>
      </c>
      <c r="H12" s="221">
        <v>0.79235249513817774</v>
      </c>
      <c r="I12" s="137">
        <v>0</v>
      </c>
      <c r="J12" s="137">
        <v>4.203108644094903E-3</v>
      </c>
      <c r="K12" s="137">
        <v>0</v>
      </c>
      <c r="L12" s="137">
        <v>0</v>
      </c>
      <c r="M12" s="138">
        <v>2.925931193515828E-3</v>
      </c>
    </row>
    <row r="13" spans="1:17">
      <c r="A13" s="76">
        <v>12</v>
      </c>
      <c r="B13" s="221">
        <v>1.2954348158758293</v>
      </c>
      <c r="C13" s="137">
        <v>0</v>
      </c>
      <c r="D13" s="137">
        <v>6.5475183512107317E-4</v>
      </c>
      <c r="E13" s="137">
        <v>0</v>
      </c>
      <c r="F13" s="137">
        <v>0</v>
      </c>
      <c r="G13" s="138">
        <v>2.9259311935159304E-3</v>
      </c>
      <c r="H13" s="221">
        <v>1.2954348158758293</v>
      </c>
      <c r="I13" s="137">
        <v>0</v>
      </c>
      <c r="J13" s="137">
        <v>6.5475183512107317E-4</v>
      </c>
      <c r="K13" s="137">
        <v>0</v>
      </c>
      <c r="L13" s="137">
        <v>0</v>
      </c>
      <c r="M13" s="138">
        <v>3.7443709874172425E-3</v>
      </c>
    </row>
    <row r="14" spans="1:17">
      <c r="A14" s="76">
        <v>13</v>
      </c>
      <c r="B14" s="221">
        <v>1.716967647105291</v>
      </c>
      <c r="C14" s="137">
        <v>0</v>
      </c>
      <c r="D14" s="137">
        <v>8.5509559624924458E-4</v>
      </c>
      <c r="E14" s="137">
        <v>0</v>
      </c>
      <c r="F14" s="137">
        <v>0</v>
      </c>
      <c r="G14" s="138">
        <v>3.7443709874171488E-3</v>
      </c>
      <c r="H14" s="221">
        <v>1.716967647105291</v>
      </c>
      <c r="I14" s="137">
        <v>0</v>
      </c>
      <c r="J14" s="137">
        <v>8.5509559624924458E-4</v>
      </c>
      <c r="K14" s="137">
        <v>0</v>
      </c>
      <c r="L14" s="137">
        <v>0</v>
      </c>
      <c r="M14" s="138">
        <v>4.8132404827286998E-3</v>
      </c>
    </row>
    <row r="15" spans="1:17">
      <c r="A15" s="76">
        <v>14</v>
      </c>
      <c r="B15" s="221">
        <v>1.6129893006031761</v>
      </c>
      <c r="C15" s="137">
        <v>0</v>
      </c>
      <c r="D15" s="137">
        <v>-1.2649797567574378E-3</v>
      </c>
      <c r="E15" s="137">
        <v>0</v>
      </c>
      <c r="F15" s="137">
        <v>0</v>
      </c>
      <c r="G15" s="138">
        <v>4.8132404827286738E-3</v>
      </c>
      <c r="H15" s="221">
        <v>1.6129893006031761</v>
      </c>
      <c r="I15" s="137">
        <v>0</v>
      </c>
      <c r="J15" s="137">
        <v>-1.2649797567574378E-3</v>
      </c>
      <c r="K15" s="137">
        <v>0</v>
      </c>
      <c r="L15" s="137">
        <v>0</v>
      </c>
      <c r="M15" s="138">
        <v>3.2320157867817881E-3</v>
      </c>
    </row>
    <row r="16" spans="1:17">
      <c r="A16" s="76">
        <v>15</v>
      </c>
      <c r="B16" s="221">
        <v>0.92833649541785368</v>
      </c>
      <c r="C16" s="137">
        <v>0</v>
      </c>
      <c r="D16" s="137">
        <v>-5.1598361583194037E-4</v>
      </c>
      <c r="E16" s="137">
        <v>0</v>
      </c>
      <c r="F16" s="137">
        <v>0</v>
      </c>
      <c r="G16" s="138">
        <v>3.232015786781583E-3</v>
      </c>
      <c r="H16" s="221">
        <v>0.92833649541785368</v>
      </c>
      <c r="I16" s="137">
        <v>0</v>
      </c>
      <c r="J16" s="137">
        <v>-5.1598361583194037E-4</v>
      </c>
      <c r="K16" s="137">
        <v>0</v>
      </c>
      <c r="L16" s="137">
        <v>0</v>
      </c>
      <c r="M16" s="138">
        <v>2.5870362669916853E-3</v>
      </c>
    </row>
    <row r="17" spans="1:13">
      <c r="A17" s="76">
        <v>16</v>
      </c>
      <c r="B17" s="221">
        <v>-0.46750924474281419</v>
      </c>
      <c r="C17" s="137">
        <v>0</v>
      </c>
      <c r="D17" s="137">
        <v>-2.5958797415388556E-3</v>
      </c>
      <c r="E17" s="137">
        <v>0</v>
      </c>
      <c r="F17" s="137">
        <v>0</v>
      </c>
      <c r="G17" s="138">
        <v>2.5870362669916792E-3</v>
      </c>
      <c r="H17" s="221">
        <v>-0.46750924474281419</v>
      </c>
      <c r="I17" s="137">
        <v>0</v>
      </c>
      <c r="J17" s="137">
        <v>-2.5958797415388556E-3</v>
      </c>
      <c r="K17" s="137">
        <v>0</v>
      </c>
      <c r="L17" s="137">
        <v>0</v>
      </c>
      <c r="M17" s="138">
        <v>-6.5781340993174777E-4</v>
      </c>
    </row>
    <row r="18" spans="1:13">
      <c r="A18" s="76">
        <v>17</v>
      </c>
      <c r="B18" s="221">
        <v>-2.7503339195434715</v>
      </c>
      <c r="C18" s="137">
        <v>0</v>
      </c>
      <c r="D18" s="137">
        <v>9.5171077021995447E-4</v>
      </c>
      <c r="E18" s="137">
        <v>0</v>
      </c>
      <c r="F18" s="137">
        <v>0</v>
      </c>
      <c r="G18" s="138">
        <v>-6.5781340993170581E-4</v>
      </c>
      <c r="H18" s="221">
        <v>-2.7503339195434715</v>
      </c>
      <c r="I18" s="137">
        <v>0</v>
      </c>
      <c r="J18" s="137">
        <v>9.5171077021995447E-4</v>
      </c>
      <c r="K18" s="137">
        <v>0</v>
      </c>
      <c r="L18" s="137">
        <v>0</v>
      </c>
      <c r="M18" s="138">
        <v>5.3182505284314423E-4</v>
      </c>
    </row>
    <row r="19" spans="1:13">
      <c r="A19" s="76">
        <v>18</v>
      </c>
      <c r="B19" s="221">
        <v>-6.2653864675291349</v>
      </c>
      <c r="C19" s="137">
        <v>0</v>
      </c>
      <c r="D19" s="137">
        <v>2.2008774891849832E-2</v>
      </c>
      <c r="E19" s="137">
        <v>0</v>
      </c>
      <c r="F19" s="137">
        <v>0</v>
      </c>
      <c r="G19" s="138">
        <v>5.3182505284319974E-4</v>
      </c>
      <c r="H19" s="221">
        <v>-6.2653864675291349</v>
      </c>
      <c r="I19" s="137">
        <v>0</v>
      </c>
      <c r="J19" s="137">
        <v>2.2008774891849832E-2</v>
      </c>
      <c r="K19" s="137">
        <v>0</v>
      </c>
      <c r="L19" s="137">
        <v>0</v>
      </c>
      <c r="M19" s="138">
        <v>2.8042793667655639E-2</v>
      </c>
    </row>
    <row r="20" spans="1:13">
      <c r="A20" s="76">
        <v>19</v>
      </c>
      <c r="B20" s="221">
        <v>-11.356088494453715</v>
      </c>
      <c r="C20" s="137">
        <v>0</v>
      </c>
      <c r="D20" s="137">
        <v>-1.0305708295860909</v>
      </c>
      <c r="E20" s="137">
        <v>0</v>
      </c>
      <c r="F20" s="137">
        <v>0</v>
      </c>
      <c r="G20" s="138">
        <v>2.8042793667649602E-2</v>
      </c>
      <c r="H20" s="221">
        <v>-11.356088494453715</v>
      </c>
      <c r="I20" s="137">
        <v>0</v>
      </c>
      <c r="J20" s="137">
        <v>-1.0305708295860909</v>
      </c>
      <c r="K20" s="137">
        <v>0</v>
      </c>
      <c r="L20" s="137">
        <v>0</v>
      </c>
      <c r="M20" s="138">
        <v>-1.2601707433149694</v>
      </c>
    </row>
    <row r="21" spans="1:13">
      <c r="A21" s="76">
        <v>20</v>
      </c>
      <c r="B21" s="221">
        <v>-16.44314620621509</v>
      </c>
      <c r="C21" s="137">
        <v>0</v>
      </c>
      <c r="D21" s="137">
        <v>-4.8358497516073431</v>
      </c>
      <c r="E21" s="137">
        <v>0</v>
      </c>
      <c r="F21" s="137">
        <v>0</v>
      </c>
      <c r="G21" s="138">
        <v>-1.2601707433149785</v>
      </c>
      <c r="H21" s="221">
        <v>-16.44314620621509</v>
      </c>
      <c r="I21" s="137">
        <v>0</v>
      </c>
      <c r="J21" s="137">
        <v>-4.8358497516073431</v>
      </c>
      <c r="K21" s="137">
        <v>0</v>
      </c>
      <c r="L21" s="137">
        <v>0</v>
      </c>
      <c r="M21" s="138">
        <v>-7.3049829328241671</v>
      </c>
    </row>
    <row r="22" spans="1:13">
      <c r="A22" s="76">
        <v>21</v>
      </c>
      <c r="B22" s="221">
        <v>5.7262194670169983E-4</v>
      </c>
      <c r="C22" s="137">
        <v>0</v>
      </c>
      <c r="D22" s="137">
        <v>-9.5436991117010921E-3</v>
      </c>
      <c r="E22" s="137">
        <v>0</v>
      </c>
      <c r="F22" s="137">
        <v>0</v>
      </c>
      <c r="G22" s="138">
        <v>1.3100211562235009E-17</v>
      </c>
      <c r="H22" s="221">
        <v>5.7262194670169983E-4</v>
      </c>
      <c r="I22" s="137">
        <v>0</v>
      </c>
      <c r="J22" s="137">
        <v>-9.5436991117010921E-3</v>
      </c>
      <c r="K22" s="137">
        <v>0</v>
      </c>
      <c r="L22" s="137">
        <v>0</v>
      </c>
      <c r="M22" s="138">
        <v>-1.1951077921345683E-2</v>
      </c>
    </row>
    <row r="23" spans="1:13">
      <c r="A23" s="76">
        <v>22</v>
      </c>
      <c r="B23" s="73">
        <v>1.1038520188259511</v>
      </c>
      <c r="C23" s="61">
        <v>0</v>
      </c>
      <c r="D23" s="61">
        <v>1.1810279135770216E-2</v>
      </c>
      <c r="E23" s="61">
        <v>0</v>
      </c>
      <c r="F23" s="61">
        <v>0</v>
      </c>
      <c r="G23" s="67">
        <v>-1.1951077921345683E-2</v>
      </c>
      <c r="H23" s="73">
        <v>1.1038520188259511</v>
      </c>
      <c r="I23" s="61">
        <v>0</v>
      </c>
      <c r="J23" s="61">
        <v>1.1810279135770216E-2</v>
      </c>
      <c r="K23" s="61">
        <v>0</v>
      </c>
      <c r="L23" s="61">
        <v>0</v>
      </c>
      <c r="M23" s="67">
        <v>2.8383202535591898E-3</v>
      </c>
    </row>
    <row r="24" spans="1:13">
      <c r="A24" s="76">
        <v>23</v>
      </c>
      <c r="B24" s="73">
        <v>-3.9917476535534395</v>
      </c>
      <c r="C24" s="61">
        <v>0</v>
      </c>
      <c r="D24" s="61">
        <v>1.7016619655630684E-3</v>
      </c>
      <c r="E24" s="61">
        <v>0</v>
      </c>
      <c r="F24" s="61">
        <v>0</v>
      </c>
      <c r="G24" s="67">
        <v>2.8383202535585197E-3</v>
      </c>
      <c r="H24" s="73">
        <v>-3.9917476535534395</v>
      </c>
      <c r="I24" s="61">
        <v>0</v>
      </c>
      <c r="J24" s="61">
        <v>1.7016619655630684E-3</v>
      </c>
      <c r="K24" s="61">
        <v>0</v>
      </c>
      <c r="L24" s="61">
        <v>0</v>
      </c>
      <c r="M24" s="67">
        <v>4.9692230102581364E-3</v>
      </c>
    </row>
    <row r="25" spans="1:13">
      <c r="A25" s="76">
        <v>24</v>
      </c>
      <c r="B25" s="73">
        <v>-9.0909758632110282</v>
      </c>
      <c r="C25" s="61">
        <v>0</v>
      </c>
      <c r="D25" s="61">
        <v>-8.7791511932975973E-3</v>
      </c>
      <c r="E25" s="61">
        <v>0</v>
      </c>
      <c r="F25" s="61">
        <v>0</v>
      </c>
      <c r="G25" s="67">
        <v>4.9692230102592466E-3</v>
      </c>
      <c r="H25" s="73">
        <v>-9.0909758632110282</v>
      </c>
      <c r="I25" s="61">
        <v>0</v>
      </c>
      <c r="J25" s="61">
        <v>-8.7791511932975973E-3</v>
      </c>
      <c r="K25" s="61">
        <v>0</v>
      </c>
      <c r="L25" s="61">
        <v>0</v>
      </c>
      <c r="M25" s="67">
        <v>-6.0244513256949841E-3</v>
      </c>
    </row>
    <row r="26" spans="1:13">
      <c r="A26" s="76">
        <v>25</v>
      </c>
      <c r="B26" s="73">
        <v>-12.614535574597399</v>
      </c>
      <c r="C26" s="61">
        <v>0</v>
      </c>
      <c r="D26" s="61">
        <v>2.7650065013781328E-2</v>
      </c>
      <c r="E26" s="61">
        <v>0</v>
      </c>
      <c r="F26" s="61">
        <v>0</v>
      </c>
      <c r="G26" s="67">
        <v>-6.0244513256948948E-3</v>
      </c>
      <c r="H26" s="73">
        <v>-12.614535574597399</v>
      </c>
      <c r="I26" s="61">
        <v>0</v>
      </c>
      <c r="J26" s="61">
        <v>2.7650065013781328E-2</v>
      </c>
      <c r="K26" s="61">
        <v>0</v>
      </c>
      <c r="L26" s="61">
        <v>0</v>
      </c>
      <c r="M26" s="67">
        <v>2.8600286696989538E-2</v>
      </c>
    </row>
    <row r="27" spans="1:13">
      <c r="A27" s="76">
        <v>26</v>
      </c>
      <c r="B27" s="73">
        <v>-14.900730409480104</v>
      </c>
      <c r="C27" s="61">
        <v>0</v>
      </c>
      <c r="D27" s="61">
        <v>1.5396185043731215E-2</v>
      </c>
      <c r="E27" s="61">
        <v>0</v>
      </c>
      <c r="F27" s="61">
        <v>0</v>
      </c>
      <c r="G27" s="67">
        <v>2.8600286696990825E-2</v>
      </c>
      <c r="H27" s="73">
        <v>-14.900730409480104</v>
      </c>
      <c r="I27" s="61">
        <v>0</v>
      </c>
      <c r="J27" s="61">
        <v>1.5396185043731215E-2</v>
      </c>
      <c r="K27" s="61">
        <v>0</v>
      </c>
      <c r="L27" s="61">
        <v>0</v>
      </c>
      <c r="M27" s="67">
        <v>4.7880128296723841E-2</v>
      </c>
    </row>
    <row r="28" spans="1:13">
      <c r="A28" s="76">
        <v>27</v>
      </c>
      <c r="B28" s="73">
        <v>-16.298689654638146</v>
      </c>
      <c r="C28" s="61">
        <v>0</v>
      </c>
      <c r="D28" s="61">
        <v>8.7835162728972654E-3</v>
      </c>
      <c r="E28" s="61">
        <v>0</v>
      </c>
      <c r="F28" s="61">
        <v>0</v>
      </c>
      <c r="G28" s="67">
        <v>4.7880128296725853E-2</v>
      </c>
      <c r="H28" s="73">
        <v>-16.298689654638146</v>
      </c>
      <c r="I28" s="61">
        <v>0</v>
      </c>
      <c r="J28" s="61">
        <v>8.7835162728972654E-3</v>
      </c>
      <c r="K28" s="61">
        <v>0</v>
      </c>
      <c r="L28" s="61">
        <v>0</v>
      </c>
      <c r="M28" s="67">
        <v>5.887926879478695E-2</v>
      </c>
    </row>
    <row r="29" spans="1:13">
      <c r="A29" s="76">
        <v>28</v>
      </c>
      <c r="B29" s="73">
        <v>-16.984824211704051</v>
      </c>
      <c r="C29" s="61">
        <v>0</v>
      </c>
      <c r="D29" s="61">
        <v>1.2958249223884888E-2</v>
      </c>
      <c r="E29" s="61">
        <v>0</v>
      </c>
      <c r="F29" s="61">
        <v>0</v>
      </c>
      <c r="G29" s="67">
        <v>5.8879268794786874E-2</v>
      </c>
      <c r="H29" s="73">
        <v>-16.984824211704051</v>
      </c>
      <c r="I29" s="61">
        <v>0</v>
      </c>
      <c r="J29" s="61">
        <v>1.2958249223884888E-2</v>
      </c>
      <c r="K29" s="61">
        <v>0</v>
      </c>
      <c r="L29" s="61">
        <v>0</v>
      </c>
      <c r="M29" s="67">
        <v>7.510621019207106E-2</v>
      </c>
    </row>
    <row r="30" spans="1:13">
      <c r="A30" s="76">
        <v>29</v>
      </c>
      <c r="B30" s="73">
        <v>-17.092123307922726</v>
      </c>
      <c r="C30" s="61">
        <v>0</v>
      </c>
      <c r="D30" s="61">
        <v>6.5187529813782466E-2</v>
      </c>
      <c r="E30" s="61">
        <v>0</v>
      </c>
      <c r="F30" s="61">
        <v>0</v>
      </c>
      <c r="G30" s="67">
        <v>7.5106210192073197E-2</v>
      </c>
      <c r="H30" s="73">
        <v>-17.092123307922726</v>
      </c>
      <c r="I30" s="61">
        <v>0</v>
      </c>
      <c r="J30" s="61">
        <v>6.5187529813782466E-2</v>
      </c>
      <c r="K30" s="61">
        <v>0</v>
      </c>
      <c r="L30" s="61">
        <v>0</v>
      </c>
      <c r="M30" s="67">
        <v>0.15673716263370693</v>
      </c>
    </row>
    <row r="31" spans="1:13">
      <c r="A31" s="76">
        <v>30</v>
      </c>
      <c r="B31" s="73">
        <v>-16.651202528833231</v>
      </c>
      <c r="C31" s="61">
        <v>0</v>
      </c>
      <c r="D31" s="61">
        <v>-0.24531031053179203</v>
      </c>
      <c r="E31" s="61">
        <v>0</v>
      </c>
      <c r="F31" s="61">
        <v>0</v>
      </c>
      <c r="G31" s="67">
        <v>0.15673716263369605</v>
      </c>
      <c r="H31" s="73">
        <v>-16.651202528833231</v>
      </c>
      <c r="I31" s="61">
        <v>0</v>
      </c>
      <c r="J31" s="61">
        <v>-0.24531031053179203</v>
      </c>
      <c r="K31" s="61">
        <v>0</v>
      </c>
      <c r="L31" s="61">
        <v>0</v>
      </c>
      <c r="M31" s="67">
        <v>-0.15045217786850923</v>
      </c>
    </row>
    <row r="32" spans="1:13">
      <c r="A32" s="76">
        <v>31</v>
      </c>
      <c r="B32" s="73">
        <v>-16.651202528833235</v>
      </c>
      <c r="C32" s="61">
        <v>0</v>
      </c>
      <c r="D32" s="61">
        <v>0.24531031053181343</v>
      </c>
      <c r="E32" s="61">
        <v>0</v>
      </c>
      <c r="F32" s="61">
        <v>0</v>
      </c>
      <c r="G32" s="67">
        <v>-0.15045217786851325</v>
      </c>
      <c r="H32" s="73">
        <v>-16.651202528833235</v>
      </c>
      <c r="I32" s="61">
        <v>0</v>
      </c>
      <c r="J32" s="61">
        <v>0.24531031053181343</v>
      </c>
      <c r="K32" s="61">
        <v>0</v>
      </c>
      <c r="L32" s="61">
        <v>0</v>
      </c>
      <c r="M32" s="67">
        <v>0.15673716263372911</v>
      </c>
    </row>
    <row r="33" spans="1:13">
      <c r="A33" s="76">
        <v>32</v>
      </c>
      <c r="B33" s="73">
        <v>-17.092123307922851</v>
      </c>
      <c r="C33" s="61">
        <v>0</v>
      </c>
      <c r="D33" s="61">
        <v>-6.5187529813802741E-2</v>
      </c>
      <c r="E33" s="61">
        <v>0</v>
      </c>
      <c r="F33" s="61">
        <v>0</v>
      </c>
      <c r="G33" s="67">
        <v>0.15673716263372336</v>
      </c>
      <c r="H33" s="73">
        <v>-17.092123307922851</v>
      </c>
      <c r="I33" s="61">
        <v>0</v>
      </c>
      <c r="J33" s="61">
        <v>-6.5187529813802741E-2</v>
      </c>
      <c r="K33" s="61">
        <v>0</v>
      </c>
      <c r="L33" s="61">
        <v>0</v>
      </c>
      <c r="M33" s="67">
        <v>7.510621019206766E-2</v>
      </c>
    </row>
    <row r="34" spans="1:13">
      <c r="A34" s="76">
        <v>33</v>
      </c>
      <c r="B34" s="73">
        <v>-16.984824211703955</v>
      </c>
      <c r="C34" s="61">
        <v>0</v>
      </c>
      <c r="D34" s="61">
        <v>-1.2958249223892796E-2</v>
      </c>
      <c r="E34" s="61">
        <v>0</v>
      </c>
      <c r="F34" s="61">
        <v>0</v>
      </c>
      <c r="G34" s="67">
        <v>7.5106210192071601E-2</v>
      </c>
      <c r="H34" s="73">
        <v>-16.984824211703955</v>
      </c>
      <c r="I34" s="61">
        <v>0</v>
      </c>
      <c r="J34" s="61">
        <v>-1.2958249223892796E-2</v>
      </c>
      <c r="K34" s="61">
        <v>0</v>
      </c>
      <c r="L34" s="61">
        <v>0</v>
      </c>
      <c r="M34" s="67">
        <v>5.8879268794776486E-2</v>
      </c>
    </row>
    <row r="35" spans="1:13">
      <c r="A35" s="76">
        <v>34</v>
      </c>
      <c r="B35" s="73">
        <v>-16.298689654637762</v>
      </c>
      <c r="C35" s="61">
        <v>0</v>
      </c>
      <c r="D35" s="61">
        <v>-8.783516272888656E-3</v>
      </c>
      <c r="E35" s="61">
        <v>0</v>
      </c>
      <c r="F35" s="61">
        <v>0</v>
      </c>
      <c r="G35" s="67">
        <v>5.8879268794774148E-2</v>
      </c>
      <c r="H35" s="73">
        <v>-16.298689654637762</v>
      </c>
      <c r="I35" s="61">
        <v>0</v>
      </c>
      <c r="J35" s="61">
        <v>-8.783516272888656E-3</v>
      </c>
      <c r="K35" s="61">
        <v>0</v>
      </c>
      <c r="L35" s="61">
        <v>0</v>
      </c>
      <c r="M35" s="67">
        <v>4.7880128296725777E-2</v>
      </c>
    </row>
    <row r="36" spans="1:13">
      <c r="A36" s="76">
        <v>35</v>
      </c>
      <c r="B36" s="73">
        <v>-14.900730409479928</v>
      </c>
      <c r="C36" s="61">
        <v>0</v>
      </c>
      <c r="D36" s="61">
        <v>-1.5396185043733352E-2</v>
      </c>
      <c r="E36" s="61">
        <v>0</v>
      </c>
      <c r="F36" s="61">
        <v>0</v>
      </c>
      <c r="G36" s="67">
        <v>4.788012829671906E-2</v>
      </c>
      <c r="H36" s="73">
        <v>-14.900730409479928</v>
      </c>
      <c r="I36" s="61">
        <v>0</v>
      </c>
      <c r="J36" s="61">
        <v>-1.5396185043733352E-2</v>
      </c>
      <c r="K36" s="61">
        <v>0</v>
      </c>
      <c r="L36" s="61">
        <v>0</v>
      </c>
      <c r="M36" s="67">
        <v>2.8600286696982773E-2</v>
      </c>
    </row>
    <row r="37" spans="1:13">
      <c r="A37" s="76">
        <v>36</v>
      </c>
      <c r="B37" s="73">
        <v>-12.614535574597125</v>
      </c>
      <c r="C37" s="61">
        <v>0</v>
      </c>
      <c r="D37" s="61">
        <v>-2.7650065013780152E-2</v>
      </c>
      <c r="E37" s="61">
        <v>0</v>
      </c>
      <c r="F37" s="61">
        <v>0</v>
      </c>
      <c r="G37" s="67">
        <v>2.8600286696983647E-2</v>
      </c>
      <c r="H37" s="73">
        <v>-12.614535574597125</v>
      </c>
      <c r="I37" s="61">
        <v>0</v>
      </c>
      <c r="J37" s="61">
        <v>-2.7650065013780152E-2</v>
      </c>
      <c r="K37" s="61">
        <v>0</v>
      </c>
      <c r="L37" s="61">
        <v>0</v>
      </c>
      <c r="M37" s="67">
        <v>-6.0244513257001328E-3</v>
      </c>
    </row>
    <row r="38" spans="1:13">
      <c r="A38" s="76">
        <v>37</v>
      </c>
      <c r="B38" s="73">
        <v>-9.0909758632110726</v>
      </c>
      <c r="C38" s="61">
        <v>0</v>
      </c>
      <c r="D38" s="61">
        <v>8.7791511933001318E-3</v>
      </c>
      <c r="E38" s="61">
        <v>0</v>
      </c>
      <c r="F38" s="61">
        <v>0</v>
      </c>
      <c r="G38" s="67">
        <v>-6.0244513256996037E-3</v>
      </c>
      <c r="H38" s="73">
        <v>-9.0909758632110726</v>
      </c>
      <c r="I38" s="61">
        <v>0</v>
      </c>
      <c r="J38" s="61">
        <v>8.7791511933001318E-3</v>
      </c>
      <c r="K38" s="61">
        <v>0</v>
      </c>
      <c r="L38" s="61">
        <v>0</v>
      </c>
      <c r="M38" s="67">
        <v>4.9692230102580618E-3</v>
      </c>
    </row>
    <row r="39" spans="1:13">
      <c r="A39" s="76">
        <v>38</v>
      </c>
      <c r="B39" s="73">
        <v>-3.9917476535537078</v>
      </c>
      <c r="C39" s="61">
        <v>0</v>
      </c>
      <c r="D39" s="61">
        <v>-1.7016619655618255E-3</v>
      </c>
      <c r="E39" s="61">
        <v>0</v>
      </c>
      <c r="F39" s="61">
        <v>0</v>
      </c>
      <c r="G39" s="67">
        <v>4.9692230102573931E-3</v>
      </c>
      <c r="H39" s="73">
        <v>-3.9917476535537078</v>
      </c>
      <c r="I39" s="61">
        <v>0</v>
      </c>
      <c r="J39" s="61">
        <v>-1.7016619655618255E-3</v>
      </c>
      <c r="K39" s="61">
        <v>0</v>
      </c>
      <c r="L39" s="61">
        <v>0</v>
      </c>
      <c r="M39" s="67">
        <v>2.8383202535595268E-3</v>
      </c>
    </row>
    <row r="40" spans="1:13">
      <c r="A40" s="76">
        <v>39</v>
      </c>
      <c r="B40" s="73">
        <v>1.1038520188257828</v>
      </c>
      <c r="C40" s="61">
        <v>0</v>
      </c>
      <c r="D40" s="61">
        <v>-1.1810279135769996E-2</v>
      </c>
      <c r="E40" s="61">
        <v>0</v>
      </c>
      <c r="F40" s="61">
        <v>0</v>
      </c>
      <c r="G40" s="67">
        <v>2.838320253559564E-3</v>
      </c>
      <c r="H40" s="73">
        <v>1.1038520188257828</v>
      </c>
      <c r="I40" s="61">
        <v>0</v>
      </c>
      <c r="J40" s="61">
        <v>-1.1810279135769996E-2</v>
      </c>
      <c r="K40" s="61">
        <v>0</v>
      </c>
      <c r="L40" s="61">
        <v>0</v>
      </c>
      <c r="M40" s="67">
        <v>-1.195107792134506E-2</v>
      </c>
    </row>
    <row r="41" spans="1:13">
      <c r="A41" s="76">
        <v>40</v>
      </c>
      <c r="B41" s="73">
        <v>5.7262194670173365E-4</v>
      </c>
      <c r="C41" s="61">
        <v>0</v>
      </c>
      <c r="D41" s="61">
        <v>9.5436991117005873E-3</v>
      </c>
      <c r="E41" s="61">
        <v>0</v>
      </c>
      <c r="F41" s="61">
        <v>0</v>
      </c>
      <c r="G41" s="67">
        <v>-1.1951077921345057E-2</v>
      </c>
      <c r="H41" s="73">
        <v>5.7262194670173365E-4</v>
      </c>
      <c r="I41" s="61">
        <v>0</v>
      </c>
      <c r="J41" s="61">
        <v>9.5436991117005873E-3</v>
      </c>
      <c r="K41" s="61">
        <v>0</v>
      </c>
      <c r="L41" s="61">
        <v>0</v>
      </c>
      <c r="M41" s="67">
        <v>8.3043110148811605E-18</v>
      </c>
    </row>
    <row r="42" spans="1:13">
      <c r="A42" s="76">
        <v>41</v>
      </c>
      <c r="B42" s="73">
        <v>-0.44043913766292336</v>
      </c>
      <c r="C42" s="61">
        <v>0</v>
      </c>
      <c r="D42" s="61">
        <v>0</v>
      </c>
      <c r="E42" s="61">
        <v>0</v>
      </c>
      <c r="F42" s="61">
        <v>0</v>
      </c>
      <c r="G42" s="67">
        <v>0</v>
      </c>
      <c r="H42" s="73">
        <v>-0.44043913766292336</v>
      </c>
      <c r="I42" s="61">
        <v>0</v>
      </c>
      <c r="J42" s="61">
        <v>0</v>
      </c>
      <c r="K42" s="61">
        <v>0</v>
      </c>
      <c r="L42" s="61">
        <v>0</v>
      </c>
      <c r="M42" s="67">
        <v>0</v>
      </c>
    </row>
    <row r="43" spans="1:13">
      <c r="A43" s="76">
        <v>42</v>
      </c>
      <c r="B43" s="73">
        <v>-0.95652660343495588</v>
      </c>
      <c r="C43" s="61">
        <v>0</v>
      </c>
      <c r="D43" s="61">
        <v>0</v>
      </c>
      <c r="E43" s="61">
        <v>0</v>
      </c>
      <c r="F43" s="61">
        <v>0</v>
      </c>
      <c r="G43" s="67">
        <v>0</v>
      </c>
      <c r="H43" s="73">
        <v>-0.95652660343495588</v>
      </c>
      <c r="I43" s="61">
        <v>0</v>
      </c>
      <c r="J43" s="61">
        <v>0</v>
      </c>
      <c r="K43" s="61">
        <v>0</v>
      </c>
      <c r="L43" s="61">
        <v>0</v>
      </c>
      <c r="M43" s="67">
        <v>0</v>
      </c>
    </row>
    <row r="44" spans="1:13">
      <c r="A44" s="76">
        <v>43</v>
      </c>
      <c r="B44" s="73">
        <v>2.1036556522152736</v>
      </c>
      <c r="C44" s="61">
        <v>0</v>
      </c>
      <c r="D44" s="61">
        <v>0</v>
      </c>
      <c r="E44" s="61">
        <v>0</v>
      </c>
      <c r="F44" s="61">
        <v>0</v>
      </c>
      <c r="G44" s="67">
        <v>0</v>
      </c>
      <c r="H44" s="73">
        <v>2.1036556522152736</v>
      </c>
      <c r="I44" s="61">
        <v>0</v>
      </c>
      <c r="J44" s="61">
        <v>0</v>
      </c>
      <c r="K44" s="61">
        <v>0</v>
      </c>
      <c r="L44" s="61">
        <v>0</v>
      </c>
      <c r="M44" s="67">
        <v>0</v>
      </c>
    </row>
    <row r="45" spans="1:13">
      <c r="A45" s="76">
        <v>44</v>
      </c>
      <c r="B45" s="73">
        <v>2.4112927967518143</v>
      </c>
      <c r="C45" s="61">
        <v>0</v>
      </c>
      <c r="D45" s="61">
        <v>0</v>
      </c>
      <c r="E45" s="61">
        <v>0</v>
      </c>
      <c r="F45" s="61">
        <v>0</v>
      </c>
      <c r="G45" s="67">
        <v>0</v>
      </c>
      <c r="H45" s="73">
        <v>2.4112927967518143</v>
      </c>
      <c r="I45" s="61">
        <v>0</v>
      </c>
      <c r="J45" s="61">
        <v>0</v>
      </c>
      <c r="K45" s="61">
        <v>0</v>
      </c>
      <c r="L45" s="61">
        <v>0</v>
      </c>
      <c r="M45" s="67">
        <v>0</v>
      </c>
    </row>
    <row r="46" spans="1:13">
      <c r="A46" s="76">
        <v>45</v>
      </c>
      <c r="B46" s="73">
        <v>1.6928378498642667</v>
      </c>
      <c r="C46" s="61">
        <v>0</v>
      </c>
      <c r="D46" s="61">
        <v>0</v>
      </c>
      <c r="E46" s="61">
        <v>0</v>
      </c>
      <c r="F46" s="61">
        <v>0</v>
      </c>
      <c r="G46" s="67">
        <v>0</v>
      </c>
      <c r="H46" s="73">
        <v>1.6928378498642667</v>
      </c>
      <c r="I46" s="61">
        <v>0</v>
      </c>
      <c r="J46" s="61">
        <v>0</v>
      </c>
      <c r="K46" s="61">
        <v>0</v>
      </c>
      <c r="L46" s="61">
        <v>0</v>
      </c>
      <c r="M46" s="67">
        <v>0</v>
      </c>
    </row>
    <row r="47" spans="1:13">
      <c r="A47" s="76">
        <v>46</v>
      </c>
      <c r="B47" s="73">
        <v>1.1145966960026663</v>
      </c>
      <c r="C47" s="61">
        <v>0</v>
      </c>
      <c r="D47" s="61">
        <v>0</v>
      </c>
      <c r="E47" s="61">
        <v>0</v>
      </c>
      <c r="F47" s="61">
        <v>0</v>
      </c>
      <c r="G47" s="67">
        <v>0</v>
      </c>
      <c r="H47" s="73">
        <v>1.1145966960026663</v>
      </c>
      <c r="I47" s="61">
        <v>0</v>
      </c>
      <c r="J47" s="61">
        <v>0</v>
      </c>
      <c r="K47" s="61">
        <v>0</v>
      </c>
      <c r="L47" s="61">
        <v>0</v>
      </c>
      <c r="M47" s="67">
        <v>0</v>
      </c>
    </row>
    <row r="48" spans="1:13">
      <c r="A48" s="76">
        <v>47</v>
      </c>
      <c r="B48" s="73">
        <v>0.58955040860030017</v>
      </c>
      <c r="C48" s="61">
        <v>0</v>
      </c>
      <c r="D48" s="61">
        <v>0</v>
      </c>
      <c r="E48" s="61">
        <v>0</v>
      </c>
      <c r="F48" s="61">
        <v>0</v>
      </c>
      <c r="G48" s="67">
        <v>0</v>
      </c>
      <c r="H48" s="73">
        <v>0.58955040860030017</v>
      </c>
      <c r="I48" s="61">
        <v>0</v>
      </c>
      <c r="J48" s="61">
        <v>0</v>
      </c>
      <c r="K48" s="61">
        <v>0</v>
      </c>
      <c r="L48" s="61">
        <v>0</v>
      </c>
      <c r="M48" s="67">
        <v>0</v>
      </c>
    </row>
    <row r="49" spans="1:13">
      <c r="A49" s="76">
        <v>48</v>
      </c>
      <c r="B49" s="73">
        <v>9.3540003428861637E-2</v>
      </c>
      <c r="C49" s="61">
        <v>0</v>
      </c>
      <c r="D49" s="61">
        <v>0</v>
      </c>
      <c r="E49" s="61">
        <v>0</v>
      </c>
      <c r="F49" s="61">
        <v>0</v>
      </c>
      <c r="G49" s="67">
        <v>0</v>
      </c>
      <c r="H49" s="73">
        <v>9.3540003428861637E-2</v>
      </c>
      <c r="I49" s="61">
        <v>0</v>
      </c>
      <c r="J49" s="61">
        <v>0</v>
      </c>
      <c r="K49" s="61">
        <v>0</v>
      </c>
      <c r="L49" s="61">
        <v>0</v>
      </c>
      <c r="M49" s="67">
        <v>0</v>
      </c>
    </row>
    <row r="50" spans="1:13">
      <c r="A50" s="76">
        <v>49</v>
      </c>
      <c r="B50" s="73">
        <v>-0.41290183084392257</v>
      </c>
      <c r="C50" s="61">
        <v>0</v>
      </c>
      <c r="D50" s="61">
        <v>0</v>
      </c>
      <c r="E50" s="61">
        <v>0</v>
      </c>
      <c r="F50" s="61">
        <v>0</v>
      </c>
      <c r="G50" s="67">
        <v>0</v>
      </c>
      <c r="H50" s="73">
        <v>-0.41290183084392257</v>
      </c>
      <c r="I50" s="61">
        <v>0</v>
      </c>
      <c r="J50" s="61">
        <v>0</v>
      </c>
      <c r="K50" s="61">
        <v>0</v>
      </c>
      <c r="L50" s="61">
        <v>0</v>
      </c>
      <c r="M50" s="67">
        <v>0</v>
      </c>
    </row>
    <row r="51" spans="1:13">
      <c r="A51" s="76">
        <v>50</v>
      </c>
      <c r="B51" s="73">
        <v>-0.52675397037608529</v>
      </c>
      <c r="C51" s="61">
        <v>0</v>
      </c>
      <c r="D51" s="61">
        <v>0</v>
      </c>
      <c r="E51" s="61">
        <v>0</v>
      </c>
      <c r="F51" s="61">
        <v>0</v>
      </c>
      <c r="G51" s="67">
        <v>0</v>
      </c>
      <c r="H51" s="73">
        <v>-0.52675397037608529</v>
      </c>
      <c r="I51" s="61">
        <v>0</v>
      </c>
      <c r="J51" s="61">
        <v>0</v>
      </c>
      <c r="K51" s="61">
        <v>0</v>
      </c>
      <c r="L51" s="61">
        <v>0</v>
      </c>
      <c r="M51" s="67">
        <v>0</v>
      </c>
    </row>
    <row r="52" spans="1:13">
      <c r="A52" s="76">
        <v>51</v>
      </c>
      <c r="B52" s="73">
        <v>8.4062172881408936E-3</v>
      </c>
      <c r="C52" s="61">
        <v>0</v>
      </c>
      <c r="D52" s="61">
        <v>0</v>
      </c>
      <c r="E52" s="61">
        <v>0</v>
      </c>
      <c r="F52" s="61">
        <v>0</v>
      </c>
      <c r="G52" s="67">
        <v>0</v>
      </c>
      <c r="H52" s="73">
        <v>8.4062172881408936E-3</v>
      </c>
      <c r="I52" s="61">
        <v>0</v>
      </c>
      <c r="J52" s="61">
        <v>0</v>
      </c>
      <c r="K52" s="61">
        <v>0</v>
      </c>
      <c r="L52" s="61">
        <v>0</v>
      </c>
      <c r="M52" s="67">
        <v>0</v>
      </c>
    </row>
    <row r="53" spans="1:13">
      <c r="A53" s="76">
        <v>52</v>
      </c>
      <c r="B53" s="73">
        <v>-0.52675397037615401</v>
      </c>
      <c r="C53" s="61">
        <v>0</v>
      </c>
      <c r="D53" s="61">
        <v>0</v>
      </c>
      <c r="E53" s="61">
        <v>0</v>
      </c>
      <c r="F53" s="61">
        <v>0</v>
      </c>
      <c r="G53" s="67">
        <v>0</v>
      </c>
      <c r="H53" s="73">
        <v>-0.52675397037615401</v>
      </c>
      <c r="I53" s="61">
        <v>0</v>
      </c>
      <c r="J53" s="61">
        <v>0</v>
      </c>
      <c r="K53" s="61">
        <v>0</v>
      </c>
      <c r="L53" s="61">
        <v>0</v>
      </c>
      <c r="M53" s="67">
        <v>0</v>
      </c>
    </row>
    <row r="54" spans="1:13">
      <c r="A54" s="76">
        <v>53</v>
      </c>
      <c r="B54" s="73">
        <v>-0.4129018308437078</v>
      </c>
      <c r="C54" s="61">
        <v>0</v>
      </c>
      <c r="D54" s="61">
        <v>0</v>
      </c>
      <c r="E54" s="61">
        <v>0</v>
      </c>
      <c r="F54" s="61">
        <v>0</v>
      </c>
      <c r="G54" s="67">
        <v>0</v>
      </c>
      <c r="H54" s="73">
        <v>-0.4129018308437078</v>
      </c>
      <c r="I54" s="61">
        <v>0</v>
      </c>
      <c r="J54" s="61">
        <v>0</v>
      </c>
      <c r="K54" s="61">
        <v>0</v>
      </c>
      <c r="L54" s="61">
        <v>0</v>
      </c>
      <c r="M54" s="67">
        <v>0</v>
      </c>
    </row>
    <row r="55" spans="1:13">
      <c r="A55" s="76">
        <v>54</v>
      </c>
      <c r="B55" s="73">
        <v>9.3540003428961516E-2</v>
      </c>
      <c r="C55" s="61">
        <v>0</v>
      </c>
      <c r="D55" s="61">
        <v>0</v>
      </c>
      <c r="E55" s="61">
        <v>0</v>
      </c>
      <c r="F55" s="61">
        <v>0</v>
      </c>
      <c r="G55" s="67">
        <v>0</v>
      </c>
      <c r="H55" s="73">
        <v>9.3540003428961516E-2</v>
      </c>
      <c r="I55" s="61">
        <v>0</v>
      </c>
      <c r="J55" s="61">
        <v>0</v>
      </c>
      <c r="K55" s="61">
        <v>0</v>
      </c>
      <c r="L55" s="61">
        <v>0</v>
      </c>
      <c r="M55" s="67">
        <v>0</v>
      </c>
    </row>
    <row r="56" spans="1:13">
      <c r="A56" s="76">
        <v>55</v>
      </c>
      <c r="B56" s="73">
        <v>0.58955040860031516</v>
      </c>
      <c r="C56" s="61">
        <v>0</v>
      </c>
      <c r="D56" s="61">
        <v>0</v>
      </c>
      <c r="E56" s="61">
        <v>0</v>
      </c>
      <c r="F56" s="61">
        <v>0</v>
      </c>
      <c r="G56" s="67">
        <v>0</v>
      </c>
      <c r="H56" s="73">
        <v>0.58955040860031516</v>
      </c>
      <c r="I56" s="61">
        <v>0</v>
      </c>
      <c r="J56" s="61">
        <v>0</v>
      </c>
      <c r="K56" s="61">
        <v>0</v>
      </c>
      <c r="L56" s="61">
        <v>0</v>
      </c>
      <c r="M56" s="67">
        <v>0</v>
      </c>
    </row>
    <row r="57" spans="1:13">
      <c r="A57" s="76">
        <v>56</v>
      </c>
      <c r="B57" s="73">
        <v>1.1145966960028237</v>
      </c>
      <c r="C57" s="61">
        <v>0</v>
      </c>
      <c r="D57" s="61">
        <v>0</v>
      </c>
      <c r="E57" s="61">
        <v>0</v>
      </c>
      <c r="F57" s="61">
        <v>0</v>
      </c>
      <c r="G57" s="67">
        <v>0</v>
      </c>
      <c r="H57" s="73">
        <v>1.1145966960028237</v>
      </c>
      <c r="I57" s="61">
        <v>0</v>
      </c>
      <c r="J57" s="61">
        <v>0</v>
      </c>
      <c r="K57" s="61">
        <v>0</v>
      </c>
      <c r="L57" s="61">
        <v>0</v>
      </c>
      <c r="M57" s="67">
        <v>0</v>
      </c>
    </row>
    <row r="58" spans="1:13">
      <c r="A58" s="76">
        <v>57</v>
      </c>
      <c r="B58" s="73">
        <v>1.6928378498642886</v>
      </c>
      <c r="C58" s="61">
        <v>0</v>
      </c>
      <c r="D58" s="61">
        <v>0</v>
      </c>
      <c r="E58" s="61">
        <v>0</v>
      </c>
      <c r="F58" s="61">
        <v>0</v>
      </c>
      <c r="G58" s="67">
        <v>0</v>
      </c>
      <c r="H58" s="73">
        <v>1.6928378498642886</v>
      </c>
      <c r="I58" s="61">
        <v>0</v>
      </c>
      <c r="J58" s="61">
        <v>0</v>
      </c>
      <c r="K58" s="61">
        <v>0</v>
      </c>
      <c r="L58" s="61">
        <v>0</v>
      </c>
      <c r="M58" s="67">
        <v>0</v>
      </c>
    </row>
    <row r="59" spans="1:13">
      <c r="A59" s="76">
        <v>58</v>
      </c>
      <c r="B59" s="73">
        <v>2.4112927967519258</v>
      </c>
      <c r="C59" s="61">
        <v>0</v>
      </c>
      <c r="D59" s="61">
        <v>0</v>
      </c>
      <c r="E59" s="61">
        <v>0</v>
      </c>
      <c r="F59" s="61">
        <v>0</v>
      </c>
      <c r="G59" s="67">
        <v>0</v>
      </c>
      <c r="H59" s="73">
        <v>2.4112927967519258</v>
      </c>
      <c r="I59" s="61">
        <v>0</v>
      </c>
      <c r="J59" s="61">
        <v>0</v>
      </c>
      <c r="K59" s="61">
        <v>0</v>
      </c>
      <c r="L59" s="61">
        <v>0</v>
      </c>
      <c r="M59" s="67">
        <v>0</v>
      </c>
    </row>
    <row r="60" spans="1:13">
      <c r="A60" s="76">
        <v>59</v>
      </c>
      <c r="B60" s="73">
        <v>2.1036556522152106</v>
      </c>
      <c r="C60" s="61">
        <v>0</v>
      </c>
      <c r="D60" s="61">
        <v>0</v>
      </c>
      <c r="E60" s="61">
        <v>0</v>
      </c>
      <c r="F60" s="61">
        <v>0</v>
      </c>
      <c r="G60" s="67">
        <v>0</v>
      </c>
      <c r="H60" s="73">
        <v>2.1036556522152106</v>
      </c>
      <c r="I60" s="61">
        <v>0</v>
      </c>
      <c r="J60" s="61">
        <v>0</v>
      </c>
      <c r="K60" s="61">
        <v>0</v>
      </c>
      <c r="L60" s="61">
        <v>0</v>
      </c>
      <c r="M60" s="67">
        <v>0</v>
      </c>
    </row>
    <row r="61" spans="1:13">
      <c r="A61" s="76">
        <v>60</v>
      </c>
      <c r="B61" s="73">
        <v>-0.95652660343489082</v>
      </c>
      <c r="C61" s="61">
        <v>0</v>
      </c>
      <c r="D61" s="61">
        <v>0</v>
      </c>
      <c r="E61" s="61">
        <v>0</v>
      </c>
      <c r="F61" s="61">
        <v>0</v>
      </c>
      <c r="G61" s="67">
        <v>0</v>
      </c>
      <c r="H61" s="73">
        <v>-0.95652660343489082</v>
      </c>
      <c r="I61" s="61">
        <v>0</v>
      </c>
      <c r="J61" s="61">
        <v>0</v>
      </c>
      <c r="K61" s="61">
        <v>0</v>
      </c>
      <c r="L61" s="61">
        <v>0</v>
      </c>
      <c r="M61" s="67">
        <v>0</v>
      </c>
    </row>
    <row r="62" spans="1:13">
      <c r="A62" s="76">
        <v>61</v>
      </c>
      <c r="B62" s="73">
        <v>-0.44043913766292392</v>
      </c>
      <c r="C62" s="61">
        <v>0</v>
      </c>
      <c r="D62" s="61">
        <v>0</v>
      </c>
      <c r="E62" s="61">
        <v>0</v>
      </c>
      <c r="F62" s="61">
        <v>0</v>
      </c>
      <c r="G62" s="67">
        <v>0</v>
      </c>
      <c r="H62" s="73">
        <v>-0.44043913766292392</v>
      </c>
      <c r="I62" s="61">
        <v>0</v>
      </c>
      <c r="J62" s="61">
        <v>0</v>
      </c>
      <c r="K62" s="61">
        <v>0</v>
      </c>
      <c r="L62" s="61">
        <v>0</v>
      </c>
      <c r="M62" s="67">
        <v>0</v>
      </c>
    </row>
    <row r="63" spans="1:13">
      <c r="A63" s="76">
        <v>62</v>
      </c>
      <c r="B63" s="73">
        <v>1.2327194316489967</v>
      </c>
      <c r="C63" s="61">
        <v>0</v>
      </c>
      <c r="D63" s="61">
        <v>0</v>
      </c>
      <c r="E63" s="61">
        <v>0</v>
      </c>
      <c r="F63" s="61">
        <v>0</v>
      </c>
      <c r="G63" s="67">
        <v>0</v>
      </c>
      <c r="H63" s="73">
        <v>1.2327194316489967</v>
      </c>
      <c r="I63" s="61">
        <v>0</v>
      </c>
      <c r="J63" s="61">
        <v>0</v>
      </c>
      <c r="K63" s="61">
        <v>0</v>
      </c>
      <c r="L63" s="61">
        <v>0</v>
      </c>
      <c r="M63" s="67">
        <v>0</v>
      </c>
    </row>
    <row r="64" spans="1:13">
      <c r="A64" s="76">
        <v>63</v>
      </c>
      <c r="B64" s="73">
        <v>-5.8303984371089017</v>
      </c>
      <c r="C64" s="61">
        <v>0</v>
      </c>
      <c r="D64" s="61">
        <v>0</v>
      </c>
      <c r="E64" s="61">
        <v>0</v>
      </c>
      <c r="F64" s="61">
        <v>0</v>
      </c>
      <c r="G64" s="67">
        <v>0</v>
      </c>
      <c r="H64" s="73">
        <v>-5.8303984371089017</v>
      </c>
      <c r="I64" s="61">
        <v>0</v>
      </c>
      <c r="J64" s="61">
        <v>0</v>
      </c>
      <c r="K64" s="61">
        <v>0</v>
      </c>
      <c r="L64" s="61">
        <v>0</v>
      </c>
      <c r="M64" s="67">
        <v>0</v>
      </c>
    </row>
    <row r="65" spans="1:13">
      <c r="A65" s="76">
        <v>64</v>
      </c>
      <c r="B65" s="73">
        <v>-5.9897469164005201</v>
      </c>
      <c r="C65" s="61">
        <v>0</v>
      </c>
      <c r="D65" s="61">
        <v>0</v>
      </c>
      <c r="E65" s="61">
        <v>0</v>
      </c>
      <c r="F65" s="61">
        <v>0</v>
      </c>
      <c r="G65" s="67">
        <v>0</v>
      </c>
      <c r="H65" s="73">
        <v>-5.9897469164005201</v>
      </c>
      <c r="I65" s="61">
        <v>0</v>
      </c>
      <c r="J65" s="61">
        <v>0</v>
      </c>
      <c r="K65" s="61">
        <v>0</v>
      </c>
      <c r="L65" s="61">
        <v>0</v>
      </c>
      <c r="M65" s="67">
        <v>0</v>
      </c>
    </row>
    <row r="66" spans="1:13">
      <c r="A66" s="76">
        <v>65</v>
      </c>
      <c r="B66" s="73">
        <v>-4.250743614080231</v>
      </c>
      <c r="C66" s="61">
        <v>0</v>
      </c>
      <c r="D66" s="61">
        <v>0</v>
      </c>
      <c r="E66" s="61">
        <v>0</v>
      </c>
      <c r="F66" s="61">
        <v>0</v>
      </c>
      <c r="G66" s="67">
        <v>0</v>
      </c>
      <c r="H66" s="73">
        <v>-4.250743614080231</v>
      </c>
      <c r="I66" s="61">
        <v>0</v>
      </c>
      <c r="J66" s="61">
        <v>0</v>
      </c>
      <c r="K66" s="61">
        <v>0</v>
      </c>
      <c r="L66" s="61">
        <v>0</v>
      </c>
      <c r="M66" s="67">
        <v>0</v>
      </c>
    </row>
    <row r="67" spans="1:13">
      <c r="A67" s="76">
        <v>66</v>
      </c>
      <c r="B67" s="73">
        <v>-2.8398926170229983</v>
      </c>
      <c r="C67" s="61">
        <v>0</v>
      </c>
      <c r="D67" s="61">
        <v>0</v>
      </c>
      <c r="E67" s="61">
        <v>0</v>
      </c>
      <c r="F67" s="61">
        <v>0</v>
      </c>
      <c r="G67" s="67">
        <v>0</v>
      </c>
      <c r="H67" s="73">
        <v>-2.8398926170229983</v>
      </c>
      <c r="I67" s="61">
        <v>0</v>
      </c>
      <c r="J67" s="61">
        <v>0</v>
      </c>
      <c r="K67" s="61">
        <v>0</v>
      </c>
      <c r="L67" s="61">
        <v>0</v>
      </c>
      <c r="M67" s="67">
        <v>0</v>
      </c>
    </row>
    <row r="68" spans="1:13">
      <c r="A68" s="76">
        <v>67</v>
      </c>
      <c r="B68" s="73">
        <v>-1.7875547381079646</v>
      </c>
      <c r="C68" s="61">
        <v>0</v>
      </c>
      <c r="D68" s="61">
        <v>0</v>
      </c>
      <c r="E68" s="61">
        <v>0</v>
      </c>
      <c r="F68" s="61">
        <v>0</v>
      </c>
      <c r="G68" s="67">
        <v>0</v>
      </c>
      <c r="H68" s="73">
        <v>-1.7875547381079646</v>
      </c>
      <c r="I68" s="61">
        <v>0</v>
      </c>
      <c r="J68" s="61">
        <v>0</v>
      </c>
      <c r="K68" s="61">
        <v>0</v>
      </c>
      <c r="L68" s="61">
        <v>0</v>
      </c>
      <c r="M68" s="67">
        <v>0</v>
      </c>
    </row>
    <row r="69" spans="1:13">
      <c r="A69" s="76">
        <v>68</v>
      </c>
      <c r="B69" s="73">
        <v>-0.90301526396957865</v>
      </c>
      <c r="C69" s="61">
        <v>0</v>
      </c>
      <c r="D69" s="61">
        <v>0</v>
      </c>
      <c r="E69" s="61">
        <v>0</v>
      </c>
      <c r="F69" s="61">
        <v>0</v>
      </c>
      <c r="G69" s="67">
        <v>0</v>
      </c>
      <c r="H69" s="73">
        <v>-0.90301526396957865</v>
      </c>
      <c r="I69" s="61">
        <v>0</v>
      </c>
      <c r="J69" s="61">
        <v>0</v>
      </c>
      <c r="K69" s="61">
        <v>0</v>
      </c>
      <c r="L69" s="61">
        <v>0</v>
      </c>
      <c r="M69" s="67">
        <v>0</v>
      </c>
    </row>
    <row r="70" spans="1:13">
      <c r="A70" s="76">
        <v>69</v>
      </c>
      <c r="B70" s="73">
        <v>-0.1412881708205245</v>
      </c>
      <c r="C70" s="61">
        <v>0</v>
      </c>
      <c r="D70" s="61">
        <v>0</v>
      </c>
      <c r="E70" s="61">
        <v>0</v>
      </c>
      <c r="F70" s="61">
        <v>0</v>
      </c>
      <c r="G70" s="67">
        <v>0</v>
      </c>
      <c r="H70" s="73">
        <v>-0.1412881708205245</v>
      </c>
      <c r="I70" s="61">
        <v>0</v>
      </c>
      <c r="J70" s="61">
        <v>0</v>
      </c>
      <c r="K70" s="61">
        <v>0</v>
      </c>
      <c r="L70" s="61">
        <v>0</v>
      </c>
      <c r="M70" s="67">
        <v>0</v>
      </c>
    </row>
    <row r="71" spans="1:13">
      <c r="A71" s="76">
        <v>70</v>
      </c>
      <c r="B71" s="73">
        <v>0.59020617962522859</v>
      </c>
      <c r="C71" s="61">
        <v>0</v>
      </c>
      <c r="D71" s="61">
        <v>0</v>
      </c>
      <c r="E71" s="61">
        <v>0</v>
      </c>
      <c r="F71" s="61">
        <v>0</v>
      </c>
      <c r="G71" s="67">
        <v>0</v>
      </c>
      <c r="H71" s="73">
        <v>0.59020617962522859</v>
      </c>
      <c r="I71" s="61">
        <v>0</v>
      </c>
      <c r="J71" s="61">
        <v>0</v>
      </c>
      <c r="K71" s="61">
        <v>0</v>
      </c>
      <c r="L71" s="61">
        <v>0</v>
      </c>
      <c r="M71" s="67">
        <v>0</v>
      </c>
    </row>
    <row r="72" spans="1:13">
      <c r="A72" s="76">
        <v>71</v>
      </c>
      <c r="B72" s="73">
        <v>0.72583464749685134</v>
      </c>
      <c r="C72" s="61">
        <v>0</v>
      </c>
      <c r="D72" s="61">
        <v>0</v>
      </c>
      <c r="E72" s="61">
        <v>0</v>
      </c>
      <c r="F72" s="61">
        <v>0</v>
      </c>
      <c r="G72" s="67">
        <v>0</v>
      </c>
      <c r="H72" s="73">
        <v>0.72583464749685134</v>
      </c>
      <c r="I72" s="61">
        <v>0</v>
      </c>
      <c r="J72" s="61">
        <v>0</v>
      </c>
      <c r="K72" s="61">
        <v>0</v>
      </c>
      <c r="L72" s="61">
        <v>0</v>
      </c>
      <c r="M72" s="67">
        <v>0</v>
      </c>
    </row>
    <row r="73" spans="1:13">
      <c r="A73" s="76">
        <v>72</v>
      </c>
      <c r="B73" s="73">
        <v>0.72583464749690318</v>
      </c>
      <c r="C73" s="61">
        <v>0</v>
      </c>
      <c r="D73" s="61">
        <v>0</v>
      </c>
      <c r="E73" s="61">
        <v>0</v>
      </c>
      <c r="F73" s="61">
        <v>0</v>
      </c>
      <c r="G73" s="67">
        <v>0</v>
      </c>
      <c r="H73" s="73">
        <v>0.72583464749690318</v>
      </c>
      <c r="I73" s="61">
        <v>0</v>
      </c>
      <c r="J73" s="61">
        <v>0</v>
      </c>
      <c r="K73" s="61">
        <v>0</v>
      </c>
      <c r="L73" s="61">
        <v>0</v>
      </c>
      <c r="M73" s="67">
        <v>0</v>
      </c>
    </row>
    <row r="74" spans="1:13">
      <c r="A74" s="76">
        <v>73</v>
      </c>
      <c r="B74" s="73">
        <v>0.59020617962500899</v>
      </c>
      <c r="C74" s="61">
        <v>0</v>
      </c>
      <c r="D74" s="61">
        <v>0</v>
      </c>
      <c r="E74" s="61">
        <v>0</v>
      </c>
      <c r="F74" s="61">
        <v>0</v>
      </c>
      <c r="G74" s="67">
        <v>0</v>
      </c>
      <c r="H74" s="73">
        <v>0.59020617962500899</v>
      </c>
      <c r="I74" s="61">
        <v>0</v>
      </c>
      <c r="J74" s="61">
        <v>0</v>
      </c>
      <c r="K74" s="61">
        <v>0</v>
      </c>
      <c r="L74" s="61">
        <v>0</v>
      </c>
      <c r="M74" s="67">
        <v>0</v>
      </c>
    </row>
    <row r="75" spans="1:13">
      <c r="A75" s="76">
        <v>74</v>
      </c>
      <c r="B75" s="73">
        <v>-0.14128817082078046</v>
      </c>
      <c r="C75" s="61">
        <v>0</v>
      </c>
      <c r="D75" s="61">
        <v>0</v>
      </c>
      <c r="E75" s="61">
        <v>0</v>
      </c>
      <c r="F75" s="61">
        <v>0</v>
      </c>
      <c r="G75" s="67">
        <v>0</v>
      </c>
      <c r="H75" s="73">
        <v>-0.14128817082078046</v>
      </c>
      <c r="I75" s="61">
        <v>0</v>
      </c>
      <c r="J75" s="61">
        <v>0</v>
      </c>
      <c r="K75" s="61">
        <v>0</v>
      </c>
      <c r="L75" s="61">
        <v>0</v>
      </c>
      <c r="M75" s="67">
        <v>0</v>
      </c>
    </row>
    <row r="76" spans="1:13">
      <c r="A76" s="76">
        <v>75</v>
      </c>
      <c r="B76" s="73">
        <v>-0.90301526396968834</v>
      </c>
      <c r="C76" s="61">
        <v>0</v>
      </c>
      <c r="D76" s="61">
        <v>0</v>
      </c>
      <c r="E76" s="61">
        <v>0</v>
      </c>
      <c r="F76" s="61">
        <v>0</v>
      </c>
      <c r="G76" s="67">
        <v>0</v>
      </c>
      <c r="H76" s="73">
        <v>-0.90301526396968834</v>
      </c>
      <c r="I76" s="61">
        <v>0</v>
      </c>
      <c r="J76" s="61">
        <v>0</v>
      </c>
      <c r="K76" s="61">
        <v>0</v>
      </c>
      <c r="L76" s="61">
        <v>0</v>
      </c>
      <c r="M76" s="67">
        <v>0</v>
      </c>
    </row>
    <row r="77" spans="1:13">
      <c r="A77" s="76">
        <v>76</v>
      </c>
      <c r="B77" s="73">
        <v>-1.787554738108059</v>
      </c>
      <c r="C77" s="61">
        <v>0</v>
      </c>
      <c r="D77" s="61">
        <v>0</v>
      </c>
      <c r="E77" s="61">
        <v>0</v>
      </c>
      <c r="F77" s="61">
        <v>0</v>
      </c>
      <c r="G77" s="67">
        <v>0</v>
      </c>
      <c r="H77" s="73">
        <v>-1.787554738108059</v>
      </c>
      <c r="I77" s="61">
        <v>0</v>
      </c>
      <c r="J77" s="61">
        <v>0</v>
      </c>
      <c r="K77" s="61">
        <v>0</v>
      </c>
      <c r="L77" s="61">
        <v>0</v>
      </c>
      <c r="M77" s="67">
        <v>0</v>
      </c>
    </row>
    <row r="78" spans="1:13">
      <c r="A78" s="76">
        <v>77</v>
      </c>
      <c r="B78" s="73">
        <v>-2.8398926170230285</v>
      </c>
      <c r="C78" s="61">
        <v>0</v>
      </c>
      <c r="D78" s="61">
        <v>0</v>
      </c>
      <c r="E78" s="61">
        <v>0</v>
      </c>
      <c r="F78" s="61">
        <v>0</v>
      </c>
      <c r="G78" s="67">
        <v>0</v>
      </c>
      <c r="H78" s="73">
        <v>-2.8398926170230285</v>
      </c>
      <c r="I78" s="61">
        <v>0</v>
      </c>
      <c r="J78" s="61">
        <v>0</v>
      </c>
      <c r="K78" s="61">
        <v>0</v>
      </c>
      <c r="L78" s="61">
        <v>0</v>
      </c>
      <c r="M78" s="67">
        <v>0</v>
      </c>
    </row>
    <row r="79" spans="1:13">
      <c r="A79" s="76">
        <v>78</v>
      </c>
      <c r="B79" s="73">
        <v>-4.2507436140800916</v>
      </c>
      <c r="C79" s="61">
        <v>0</v>
      </c>
      <c r="D79" s="61">
        <v>0</v>
      </c>
      <c r="E79" s="61">
        <v>0</v>
      </c>
      <c r="F79" s="61">
        <v>0</v>
      </c>
      <c r="G79" s="67">
        <v>0</v>
      </c>
      <c r="H79" s="73">
        <v>-4.2507436140800916</v>
      </c>
      <c r="I79" s="61">
        <v>0</v>
      </c>
      <c r="J79" s="61">
        <v>0</v>
      </c>
      <c r="K79" s="61">
        <v>0</v>
      </c>
      <c r="L79" s="61">
        <v>0</v>
      </c>
      <c r="M79" s="67">
        <v>0</v>
      </c>
    </row>
    <row r="80" spans="1:13">
      <c r="A80" s="76">
        <v>79</v>
      </c>
      <c r="B80" s="73">
        <v>-5.989746916400347</v>
      </c>
      <c r="C80" s="61">
        <v>0</v>
      </c>
      <c r="D80" s="61">
        <v>0</v>
      </c>
      <c r="E80" s="61">
        <v>0</v>
      </c>
      <c r="F80" s="61">
        <v>0</v>
      </c>
      <c r="G80" s="67">
        <v>0</v>
      </c>
      <c r="H80" s="73">
        <v>-5.989746916400347</v>
      </c>
      <c r="I80" s="61">
        <v>0</v>
      </c>
      <c r="J80" s="61">
        <v>0</v>
      </c>
      <c r="K80" s="61">
        <v>0</v>
      </c>
      <c r="L80" s="61">
        <v>0</v>
      </c>
      <c r="M80" s="67">
        <v>0</v>
      </c>
    </row>
    <row r="81" spans="1:13">
      <c r="A81" s="76">
        <v>80</v>
      </c>
      <c r="B81" s="73">
        <v>-5.8303984371089257</v>
      </c>
      <c r="C81" s="61">
        <v>0</v>
      </c>
      <c r="D81" s="61">
        <v>0</v>
      </c>
      <c r="E81" s="61">
        <v>0</v>
      </c>
      <c r="F81" s="61">
        <v>0</v>
      </c>
      <c r="G81" s="67">
        <v>0</v>
      </c>
      <c r="H81" s="73">
        <v>-5.8303984371089257</v>
      </c>
      <c r="I81" s="61">
        <v>0</v>
      </c>
      <c r="J81" s="61">
        <v>0</v>
      </c>
      <c r="K81" s="61">
        <v>0</v>
      </c>
      <c r="L81" s="61">
        <v>0</v>
      </c>
      <c r="M81" s="67">
        <v>0</v>
      </c>
    </row>
    <row r="82" spans="1:13" ht="15" thickBot="1">
      <c r="A82" s="77">
        <v>81</v>
      </c>
      <c r="B82" s="74">
        <v>1.2327194316488157</v>
      </c>
      <c r="C82" s="65">
        <v>0</v>
      </c>
      <c r="D82" s="65">
        <v>0</v>
      </c>
      <c r="E82" s="65">
        <v>0</v>
      </c>
      <c r="F82" s="65">
        <v>0</v>
      </c>
      <c r="G82" s="68">
        <v>0</v>
      </c>
      <c r="H82" s="74">
        <v>1.2327194316488157</v>
      </c>
      <c r="I82" s="65">
        <v>0</v>
      </c>
      <c r="J82" s="65">
        <v>0</v>
      </c>
      <c r="K82" s="65">
        <v>0</v>
      </c>
      <c r="L82" s="65">
        <v>0</v>
      </c>
      <c r="M82" s="68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:N82"/>
  <sheetViews>
    <sheetView zoomScale="70" zoomScaleNormal="70" workbookViewId="0">
      <selection activeCell="D11" sqref="B11:D11"/>
    </sheetView>
  </sheetViews>
  <sheetFormatPr defaultColWidth="8.75" defaultRowHeight="14.25"/>
  <cols>
    <col min="1" max="1" width="5.625" style="60" bestFit="1" customWidth="1"/>
    <col min="2" max="2" width="13.875" style="60" bestFit="1" customWidth="1"/>
    <col min="3" max="3" width="12.75" style="60" bestFit="1" customWidth="1"/>
    <col min="4" max="4" width="13.875" style="60" bestFit="1" customWidth="1"/>
    <col min="5" max="6" width="15.125" style="60" bestFit="1" customWidth="1"/>
    <col min="7" max="7" width="15" style="60" bestFit="1" customWidth="1"/>
    <col min="8" max="8" width="13.875" style="60" bestFit="1" customWidth="1"/>
    <col min="9" max="9" width="12.75" style="60" bestFit="1" customWidth="1"/>
    <col min="10" max="10" width="13.875" style="60" bestFit="1" customWidth="1"/>
    <col min="11" max="12" width="14.625" style="60" bestFit="1" customWidth="1"/>
    <col min="13" max="13" width="14.75" style="60" bestFit="1" customWidth="1"/>
    <col min="14" max="14" width="5.5" style="45" customWidth="1"/>
    <col min="15" max="16384" width="8.75" style="46"/>
  </cols>
  <sheetData>
    <row r="1" spans="1:13" ht="48" thickBot="1">
      <c r="A1" s="126" t="s">
        <v>0</v>
      </c>
      <c r="B1" s="127" t="s">
        <v>11</v>
      </c>
      <c r="C1" s="128" t="s">
        <v>12</v>
      </c>
      <c r="D1" s="128" t="s">
        <v>165</v>
      </c>
      <c r="E1" s="128" t="s">
        <v>166</v>
      </c>
      <c r="F1" s="128" t="s">
        <v>167</v>
      </c>
      <c r="G1" s="129" t="s">
        <v>13</v>
      </c>
      <c r="H1" s="127" t="s">
        <v>169</v>
      </c>
      <c r="I1" s="128" t="s">
        <v>170</v>
      </c>
      <c r="J1" s="128" t="s">
        <v>171</v>
      </c>
      <c r="K1" s="128" t="s">
        <v>168</v>
      </c>
      <c r="L1" s="128" t="s">
        <v>172</v>
      </c>
      <c r="M1" s="129" t="s">
        <v>45</v>
      </c>
    </row>
    <row r="2" spans="1:13">
      <c r="A2" s="75">
        <v>1</v>
      </c>
      <c r="B2" s="220">
        <v>16.443146206214855</v>
      </c>
      <c r="C2" s="135">
        <v>0</v>
      </c>
      <c r="D2" s="135">
        <v>4.8358497516074896</v>
      </c>
      <c r="E2" s="135">
        <v>0</v>
      </c>
      <c r="F2" s="135">
        <v>0</v>
      </c>
      <c r="G2" s="136">
        <v>7.3049829328244353</v>
      </c>
      <c r="H2" s="220">
        <v>-16.443146206214855</v>
      </c>
      <c r="I2" s="135">
        <v>0</v>
      </c>
      <c r="J2" s="135">
        <v>-4.8358497516074896</v>
      </c>
      <c r="K2" s="135">
        <v>0</v>
      </c>
      <c r="L2" s="135">
        <v>0</v>
      </c>
      <c r="M2" s="136">
        <v>-1.2601707433150673</v>
      </c>
    </row>
    <row r="3" spans="1:13">
      <c r="A3" s="76">
        <v>2</v>
      </c>
      <c r="B3" s="221">
        <v>11.356088494453477</v>
      </c>
      <c r="C3" s="137">
        <v>0</v>
      </c>
      <c r="D3" s="137">
        <v>1.030570829586188</v>
      </c>
      <c r="E3" s="137">
        <v>0</v>
      </c>
      <c r="F3" s="137">
        <v>0</v>
      </c>
      <c r="G3" s="138">
        <v>1.2601707433150791</v>
      </c>
      <c r="H3" s="221">
        <v>-11.356088494453477</v>
      </c>
      <c r="I3" s="137">
        <v>0</v>
      </c>
      <c r="J3" s="137">
        <v>-1.030570829586188</v>
      </c>
      <c r="K3" s="137">
        <v>0</v>
      </c>
      <c r="L3" s="137">
        <v>0</v>
      </c>
      <c r="M3" s="138">
        <v>2.804279366765822E-2</v>
      </c>
    </row>
    <row r="4" spans="1:13">
      <c r="A4" s="76">
        <v>3</v>
      </c>
      <c r="B4" s="221">
        <v>6.2653864675287876</v>
      </c>
      <c r="C4" s="137">
        <v>0</v>
      </c>
      <c r="D4" s="137">
        <v>-2.2008774891850349E-2</v>
      </c>
      <c r="E4" s="137">
        <v>0</v>
      </c>
      <c r="F4" s="137">
        <v>0</v>
      </c>
      <c r="G4" s="138">
        <v>-2.8042793667655677E-2</v>
      </c>
      <c r="H4" s="221">
        <v>-6.2653864675287876</v>
      </c>
      <c r="I4" s="137">
        <v>0</v>
      </c>
      <c r="J4" s="137">
        <v>2.2008774891850349E-2</v>
      </c>
      <c r="K4" s="137">
        <v>0</v>
      </c>
      <c r="L4" s="137">
        <v>0</v>
      </c>
      <c r="M4" s="138">
        <v>5.3182505284263531E-4</v>
      </c>
    </row>
    <row r="5" spans="1:13">
      <c r="A5" s="76">
        <v>4</v>
      </c>
      <c r="B5" s="221">
        <v>2.7503339195430434</v>
      </c>
      <c r="C5" s="137">
        <v>0</v>
      </c>
      <c r="D5" s="137">
        <v>-9.5171077021910869E-4</v>
      </c>
      <c r="E5" s="137">
        <v>0</v>
      </c>
      <c r="F5" s="137">
        <v>0</v>
      </c>
      <c r="G5" s="138">
        <v>-5.318250528431258E-4</v>
      </c>
      <c r="H5" s="221">
        <v>-2.7503339195430434</v>
      </c>
      <c r="I5" s="137">
        <v>0</v>
      </c>
      <c r="J5" s="137">
        <v>9.5171077021910869E-4</v>
      </c>
      <c r="K5" s="137">
        <v>0</v>
      </c>
      <c r="L5" s="137">
        <v>0</v>
      </c>
      <c r="M5" s="138">
        <v>-6.5781340993076396E-4</v>
      </c>
    </row>
    <row r="6" spans="1:13">
      <c r="A6" s="76">
        <v>5</v>
      </c>
      <c r="B6" s="221">
        <v>0.46750924474241645</v>
      </c>
      <c r="C6" s="137">
        <v>0</v>
      </c>
      <c r="D6" s="137">
        <v>2.5958797415382333E-3</v>
      </c>
      <c r="E6" s="137">
        <v>0</v>
      </c>
      <c r="F6" s="137">
        <v>0</v>
      </c>
      <c r="G6" s="138">
        <v>6.5781340993082164E-4</v>
      </c>
      <c r="H6" s="221">
        <v>-0.46750924474241645</v>
      </c>
      <c r="I6" s="137">
        <v>0</v>
      </c>
      <c r="J6" s="137">
        <v>-2.5958797415382333E-3</v>
      </c>
      <c r="K6" s="137">
        <v>0</v>
      </c>
      <c r="L6" s="137">
        <v>0</v>
      </c>
      <c r="M6" s="138">
        <v>2.58703626699188E-3</v>
      </c>
    </row>
    <row r="7" spans="1:13">
      <c r="A7" s="76">
        <v>6</v>
      </c>
      <c r="B7" s="221">
        <v>-0.92833649541822127</v>
      </c>
      <c r="C7" s="137">
        <v>0</v>
      </c>
      <c r="D7" s="137">
        <v>5.1598361583227192E-4</v>
      </c>
      <c r="E7" s="137">
        <v>0</v>
      </c>
      <c r="F7" s="137">
        <v>0</v>
      </c>
      <c r="G7" s="138">
        <v>-2.5870362669919312E-3</v>
      </c>
      <c r="H7" s="221">
        <v>0.92833649541822127</v>
      </c>
      <c r="I7" s="137">
        <v>0</v>
      </c>
      <c r="J7" s="137">
        <v>-5.1598361583227192E-4</v>
      </c>
      <c r="K7" s="137">
        <v>0</v>
      </c>
      <c r="L7" s="137">
        <v>0</v>
      </c>
      <c r="M7" s="138">
        <v>3.2320157867822448E-3</v>
      </c>
    </row>
    <row r="8" spans="1:13">
      <c r="A8" s="76">
        <v>7</v>
      </c>
      <c r="B8" s="221">
        <v>-1.6129893006034726</v>
      </c>
      <c r="C8" s="137">
        <v>0</v>
      </c>
      <c r="D8" s="137">
        <v>1.2649797567577793E-3</v>
      </c>
      <c r="E8" s="137">
        <v>0</v>
      </c>
      <c r="F8" s="137">
        <v>0</v>
      </c>
      <c r="G8" s="138">
        <v>-3.2320157867820869E-3</v>
      </c>
      <c r="H8" s="221">
        <v>1.6129893006034726</v>
      </c>
      <c r="I8" s="137">
        <v>0</v>
      </c>
      <c r="J8" s="137">
        <v>-1.2649797567577793E-3</v>
      </c>
      <c r="K8" s="137">
        <v>0</v>
      </c>
      <c r="L8" s="137">
        <v>0</v>
      </c>
      <c r="M8" s="138">
        <v>4.8132404827292592E-3</v>
      </c>
    </row>
    <row r="9" spans="1:13">
      <c r="A9" s="76">
        <v>8</v>
      </c>
      <c r="B9" s="221">
        <v>-1.7169676471054054</v>
      </c>
      <c r="C9" s="137">
        <v>0</v>
      </c>
      <c r="D9" s="137">
        <v>-8.5509559625024454E-4</v>
      </c>
      <c r="E9" s="137">
        <v>0</v>
      </c>
      <c r="F9" s="137">
        <v>0</v>
      </c>
      <c r="G9" s="138">
        <v>-4.8132404827295663E-3</v>
      </c>
      <c r="H9" s="221">
        <v>1.7169676471054054</v>
      </c>
      <c r="I9" s="137">
        <v>0</v>
      </c>
      <c r="J9" s="137">
        <v>8.5509559625024454E-4</v>
      </c>
      <c r="K9" s="137">
        <v>0</v>
      </c>
      <c r="L9" s="137">
        <v>0</v>
      </c>
      <c r="M9" s="138">
        <v>3.7443709874167854E-3</v>
      </c>
    </row>
    <row r="10" spans="1:13">
      <c r="A10" s="76">
        <v>9</v>
      </c>
      <c r="B10" s="221">
        <v>-1.2954348158758247</v>
      </c>
      <c r="C10" s="137">
        <v>0</v>
      </c>
      <c r="D10" s="137">
        <v>-6.5475183512116511E-4</v>
      </c>
      <c r="E10" s="137">
        <v>0</v>
      </c>
      <c r="F10" s="137">
        <v>0</v>
      </c>
      <c r="G10" s="138">
        <v>-3.7443709874170677E-3</v>
      </c>
      <c r="H10" s="221">
        <v>1.2954348158758247</v>
      </c>
      <c r="I10" s="137">
        <v>0</v>
      </c>
      <c r="J10" s="137">
        <v>6.5475183512116511E-4</v>
      </c>
      <c r="K10" s="137">
        <v>0</v>
      </c>
      <c r="L10" s="137">
        <v>0</v>
      </c>
      <c r="M10" s="138">
        <v>2.925931193515583E-3</v>
      </c>
    </row>
    <row r="11" spans="1:13">
      <c r="A11" s="76">
        <v>10</v>
      </c>
      <c r="B11" s="221">
        <v>-0.79235249513817729</v>
      </c>
      <c r="C11" s="137">
        <v>0</v>
      </c>
      <c r="D11" s="137">
        <v>-4.2031086440942559E-3</v>
      </c>
      <c r="E11" s="137">
        <v>0</v>
      </c>
      <c r="F11" s="137">
        <v>0</v>
      </c>
      <c r="G11" s="138">
        <v>-2.92593119351524E-3</v>
      </c>
      <c r="H11" s="221">
        <v>0.79235249513817729</v>
      </c>
      <c r="I11" s="137">
        <v>0</v>
      </c>
      <c r="J11" s="137">
        <v>4.2031086440942559E-3</v>
      </c>
      <c r="K11" s="137">
        <v>0</v>
      </c>
      <c r="L11" s="137">
        <v>0</v>
      </c>
      <c r="M11" s="138">
        <v>-2.3279546116024411E-3</v>
      </c>
    </row>
    <row r="12" spans="1:13">
      <c r="A12" s="76">
        <v>11</v>
      </c>
      <c r="B12" s="221">
        <v>-0.79235249513817774</v>
      </c>
      <c r="C12" s="137">
        <v>0</v>
      </c>
      <c r="D12" s="137">
        <v>4.203108644094903E-3</v>
      </c>
      <c r="E12" s="137">
        <v>0</v>
      </c>
      <c r="F12" s="137">
        <v>0</v>
      </c>
      <c r="G12" s="138">
        <v>2.3279546116026901E-3</v>
      </c>
      <c r="H12" s="221">
        <v>0.79235249513817774</v>
      </c>
      <c r="I12" s="137">
        <v>0</v>
      </c>
      <c r="J12" s="137">
        <v>-4.203108644094903E-3</v>
      </c>
      <c r="K12" s="137">
        <v>0</v>
      </c>
      <c r="L12" s="137">
        <v>0</v>
      </c>
      <c r="M12" s="138">
        <v>2.925931193515828E-3</v>
      </c>
    </row>
    <row r="13" spans="1:13">
      <c r="A13" s="76">
        <v>12</v>
      </c>
      <c r="B13" s="221">
        <v>-1.2954348158758293</v>
      </c>
      <c r="C13" s="137">
        <v>0</v>
      </c>
      <c r="D13" s="137">
        <v>6.5475183512107317E-4</v>
      </c>
      <c r="E13" s="137">
        <v>0</v>
      </c>
      <c r="F13" s="137">
        <v>0</v>
      </c>
      <c r="G13" s="138">
        <v>-2.9259311935159304E-3</v>
      </c>
      <c r="H13" s="221">
        <v>1.2954348158758293</v>
      </c>
      <c r="I13" s="137">
        <v>0</v>
      </c>
      <c r="J13" s="137">
        <v>-6.5475183512107317E-4</v>
      </c>
      <c r="K13" s="137">
        <v>0</v>
      </c>
      <c r="L13" s="137">
        <v>0</v>
      </c>
      <c r="M13" s="138">
        <v>3.7443709874172425E-3</v>
      </c>
    </row>
    <row r="14" spans="1:13">
      <c r="A14" s="76">
        <v>13</v>
      </c>
      <c r="B14" s="221">
        <v>-1.716967647105291</v>
      </c>
      <c r="C14" s="137">
        <v>0</v>
      </c>
      <c r="D14" s="137">
        <v>8.5509559624924458E-4</v>
      </c>
      <c r="E14" s="137">
        <v>0</v>
      </c>
      <c r="F14" s="137">
        <v>0</v>
      </c>
      <c r="G14" s="138">
        <v>-3.7443709874171488E-3</v>
      </c>
      <c r="H14" s="221">
        <v>1.716967647105291</v>
      </c>
      <c r="I14" s="137">
        <v>0</v>
      </c>
      <c r="J14" s="137">
        <v>-8.5509559624924458E-4</v>
      </c>
      <c r="K14" s="137">
        <v>0</v>
      </c>
      <c r="L14" s="137">
        <v>0</v>
      </c>
      <c r="M14" s="138">
        <v>4.8132404827286998E-3</v>
      </c>
    </row>
    <row r="15" spans="1:13">
      <c r="A15" s="76">
        <v>14</v>
      </c>
      <c r="B15" s="221">
        <v>-1.6129893006031761</v>
      </c>
      <c r="C15" s="137">
        <v>0</v>
      </c>
      <c r="D15" s="137">
        <v>-1.2649797567574378E-3</v>
      </c>
      <c r="E15" s="137">
        <v>0</v>
      </c>
      <c r="F15" s="137">
        <v>0</v>
      </c>
      <c r="G15" s="138">
        <v>-4.8132404827286738E-3</v>
      </c>
      <c r="H15" s="221">
        <v>1.6129893006031761</v>
      </c>
      <c r="I15" s="137">
        <v>0</v>
      </c>
      <c r="J15" s="137">
        <v>1.2649797567574378E-3</v>
      </c>
      <c r="K15" s="137">
        <v>0</v>
      </c>
      <c r="L15" s="137">
        <v>0</v>
      </c>
      <c r="M15" s="138">
        <v>3.2320157867817881E-3</v>
      </c>
    </row>
    <row r="16" spans="1:13">
      <c r="A16" s="76">
        <v>15</v>
      </c>
      <c r="B16" s="221">
        <v>-0.92833649541785368</v>
      </c>
      <c r="C16" s="137">
        <v>0</v>
      </c>
      <c r="D16" s="137">
        <v>-5.1598361583194037E-4</v>
      </c>
      <c r="E16" s="137">
        <v>0</v>
      </c>
      <c r="F16" s="137">
        <v>0</v>
      </c>
      <c r="G16" s="138">
        <v>-3.232015786781583E-3</v>
      </c>
      <c r="H16" s="221">
        <v>0.92833649541785368</v>
      </c>
      <c r="I16" s="137">
        <v>0</v>
      </c>
      <c r="J16" s="137">
        <v>5.1598361583194037E-4</v>
      </c>
      <c r="K16" s="137">
        <v>0</v>
      </c>
      <c r="L16" s="137">
        <v>0</v>
      </c>
      <c r="M16" s="138">
        <v>2.5870362669916853E-3</v>
      </c>
    </row>
    <row r="17" spans="1:13">
      <c r="A17" s="76">
        <v>16</v>
      </c>
      <c r="B17" s="221">
        <v>0.46750924474281419</v>
      </c>
      <c r="C17" s="137">
        <v>0</v>
      </c>
      <c r="D17" s="137">
        <v>-2.5958797415388556E-3</v>
      </c>
      <c r="E17" s="137">
        <v>0</v>
      </c>
      <c r="F17" s="137">
        <v>0</v>
      </c>
      <c r="G17" s="138">
        <v>-2.5870362669916792E-3</v>
      </c>
      <c r="H17" s="221">
        <v>-0.46750924474281419</v>
      </c>
      <c r="I17" s="137">
        <v>0</v>
      </c>
      <c r="J17" s="137">
        <v>2.5958797415388556E-3</v>
      </c>
      <c r="K17" s="137">
        <v>0</v>
      </c>
      <c r="L17" s="137">
        <v>0</v>
      </c>
      <c r="M17" s="138">
        <v>-6.5781340993174777E-4</v>
      </c>
    </row>
    <row r="18" spans="1:13">
      <c r="A18" s="76">
        <v>17</v>
      </c>
      <c r="B18" s="221">
        <v>2.7503339195434715</v>
      </c>
      <c r="C18" s="137">
        <v>0</v>
      </c>
      <c r="D18" s="137">
        <v>9.5171077021995447E-4</v>
      </c>
      <c r="E18" s="137">
        <v>0</v>
      </c>
      <c r="F18" s="137">
        <v>0</v>
      </c>
      <c r="G18" s="138">
        <v>6.5781340993170581E-4</v>
      </c>
      <c r="H18" s="221">
        <v>-2.7503339195434715</v>
      </c>
      <c r="I18" s="137">
        <v>0</v>
      </c>
      <c r="J18" s="137">
        <v>-9.5171077021995447E-4</v>
      </c>
      <c r="K18" s="137">
        <v>0</v>
      </c>
      <c r="L18" s="137">
        <v>0</v>
      </c>
      <c r="M18" s="138">
        <v>5.3182505284314423E-4</v>
      </c>
    </row>
    <row r="19" spans="1:13">
      <c r="A19" s="76">
        <v>18</v>
      </c>
      <c r="B19" s="221">
        <v>6.2653864675291349</v>
      </c>
      <c r="C19" s="137">
        <v>0</v>
      </c>
      <c r="D19" s="137">
        <v>2.2008774891849832E-2</v>
      </c>
      <c r="E19" s="137">
        <v>0</v>
      </c>
      <c r="F19" s="137">
        <v>0</v>
      </c>
      <c r="G19" s="138">
        <v>-5.3182505284319974E-4</v>
      </c>
      <c r="H19" s="221">
        <v>-6.2653864675291349</v>
      </c>
      <c r="I19" s="137">
        <v>0</v>
      </c>
      <c r="J19" s="137">
        <v>-2.2008774891849832E-2</v>
      </c>
      <c r="K19" s="137">
        <v>0</v>
      </c>
      <c r="L19" s="137">
        <v>0</v>
      </c>
      <c r="M19" s="138">
        <v>2.8042793667655639E-2</v>
      </c>
    </row>
    <row r="20" spans="1:13">
      <c r="A20" s="76">
        <v>19</v>
      </c>
      <c r="B20" s="221">
        <v>11.356088494453715</v>
      </c>
      <c r="C20" s="137">
        <v>0</v>
      </c>
      <c r="D20" s="137">
        <v>-1.0305708295860909</v>
      </c>
      <c r="E20" s="137">
        <v>0</v>
      </c>
      <c r="F20" s="137">
        <v>0</v>
      </c>
      <c r="G20" s="138">
        <v>-2.8042793667649602E-2</v>
      </c>
      <c r="H20" s="221">
        <v>-11.356088494453715</v>
      </c>
      <c r="I20" s="137">
        <v>0</v>
      </c>
      <c r="J20" s="137">
        <v>1.0305708295860909</v>
      </c>
      <c r="K20" s="137">
        <v>0</v>
      </c>
      <c r="L20" s="137">
        <v>0</v>
      </c>
      <c r="M20" s="138">
        <v>-1.2601707433149694</v>
      </c>
    </row>
    <row r="21" spans="1:13">
      <c r="A21" s="76">
        <v>20</v>
      </c>
      <c r="B21" s="221">
        <v>16.44314620621509</v>
      </c>
      <c r="C21" s="137">
        <v>0</v>
      </c>
      <c r="D21" s="137">
        <v>-4.8358497516073431</v>
      </c>
      <c r="E21" s="137">
        <v>0</v>
      </c>
      <c r="F21" s="137">
        <v>0</v>
      </c>
      <c r="G21" s="138">
        <v>1.2601707433149785</v>
      </c>
      <c r="H21" s="221">
        <v>-16.44314620621509</v>
      </c>
      <c r="I21" s="137">
        <v>0</v>
      </c>
      <c r="J21" s="137">
        <v>4.8358497516073431</v>
      </c>
      <c r="K21" s="137">
        <v>0</v>
      </c>
      <c r="L21" s="137">
        <v>0</v>
      </c>
      <c r="M21" s="138">
        <v>-7.3049829328241671</v>
      </c>
    </row>
    <row r="22" spans="1:13">
      <c r="A22" s="76">
        <v>21</v>
      </c>
      <c r="B22" s="221">
        <v>3.650205371084458E-16</v>
      </c>
      <c r="C22" s="137">
        <v>0</v>
      </c>
      <c r="D22" s="137">
        <v>-9.5608623370765384E-3</v>
      </c>
      <c r="E22" s="137">
        <v>0</v>
      </c>
      <c r="F22" s="137">
        <v>0</v>
      </c>
      <c r="G22" s="138">
        <v>-1.3100211562235009E-17</v>
      </c>
      <c r="H22" s="221">
        <v>-3.650205371084458E-16</v>
      </c>
      <c r="I22" s="137">
        <v>0</v>
      </c>
      <c r="J22" s="137">
        <v>9.5608623370765384E-3</v>
      </c>
      <c r="K22" s="137">
        <v>0</v>
      </c>
      <c r="L22" s="137">
        <v>0</v>
      </c>
      <c r="M22" s="138">
        <v>-1.1951077921345683E-2</v>
      </c>
    </row>
    <row r="23" spans="1:13">
      <c r="A23" s="76">
        <v>22</v>
      </c>
      <c r="B23" s="73">
        <v>-1.1025777785408242</v>
      </c>
      <c r="C23" s="61">
        <v>0</v>
      </c>
      <c r="D23" s="61">
        <v>-5.4323148172525558E-2</v>
      </c>
      <c r="E23" s="61">
        <v>0</v>
      </c>
      <c r="F23" s="61">
        <v>0</v>
      </c>
      <c r="G23" s="67">
        <v>1.1951077921345683E-2</v>
      </c>
      <c r="H23" s="73">
        <v>1.1025777785408242</v>
      </c>
      <c r="I23" s="61">
        <v>0</v>
      </c>
      <c r="J23" s="61">
        <v>5.4323148172525558E-2</v>
      </c>
      <c r="K23" s="61">
        <v>0</v>
      </c>
      <c r="L23" s="61">
        <v>0</v>
      </c>
      <c r="M23" s="67">
        <v>2.8383202535591898E-3</v>
      </c>
    </row>
    <row r="24" spans="1:13">
      <c r="A24" s="76">
        <v>23</v>
      </c>
      <c r="B24" s="73">
        <v>3.9844799332205336</v>
      </c>
      <c r="C24" s="61">
        <v>0</v>
      </c>
      <c r="D24" s="61">
        <v>0.24077351819859161</v>
      </c>
      <c r="E24" s="61">
        <v>0</v>
      </c>
      <c r="F24" s="61">
        <v>0</v>
      </c>
      <c r="G24" s="67">
        <v>-2.8383202535585197E-3</v>
      </c>
      <c r="H24" s="73">
        <v>-3.9844799332205336</v>
      </c>
      <c r="I24" s="61">
        <v>0</v>
      </c>
      <c r="J24" s="61">
        <v>-0.24077351819859161</v>
      </c>
      <c r="K24" s="61">
        <v>0</v>
      </c>
      <c r="L24" s="61">
        <v>0</v>
      </c>
      <c r="M24" s="67">
        <v>4.9692230102581364E-3</v>
      </c>
    </row>
    <row r="25" spans="1:13">
      <c r="A25" s="76">
        <v>24</v>
      </c>
      <c r="B25" s="73">
        <v>9.0751819601453008</v>
      </c>
      <c r="C25" s="61">
        <v>0</v>
      </c>
      <c r="D25" s="61">
        <v>0.53571597813995497</v>
      </c>
      <c r="E25" s="61">
        <v>0</v>
      </c>
      <c r="F25" s="61">
        <v>0</v>
      </c>
      <c r="G25" s="67">
        <v>-4.9692230102592466E-3</v>
      </c>
      <c r="H25" s="73">
        <v>-9.0751819601453008</v>
      </c>
      <c r="I25" s="61">
        <v>0</v>
      </c>
      <c r="J25" s="61">
        <v>-0.53571597813995497</v>
      </c>
      <c r="K25" s="61">
        <v>0</v>
      </c>
      <c r="L25" s="61">
        <v>0</v>
      </c>
      <c r="M25" s="67">
        <v>-6.0244513256949841E-3</v>
      </c>
    </row>
    <row r="26" spans="1:13">
      <c r="A26" s="76">
        <v>25</v>
      </c>
      <c r="B26" s="73">
        <v>12.590234508131113</v>
      </c>
      <c r="C26" s="61">
        <v>0</v>
      </c>
      <c r="D26" s="61">
        <v>0.7831138609060142</v>
      </c>
      <c r="E26" s="61">
        <v>0</v>
      </c>
      <c r="F26" s="61">
        <v>0</v>
      </c>
      <c r="G26" s="67">
        <v>6.0244513256948948E-3</v>
      </c>
      <c r="H26" s="73">
        <v>-12.590234508131113</v>
      </c>
      <c r="I26" s="61">
        <v>0</v>
      </c>
      <c r="J26" s="61">
        <v>-0.7831138609060142</v>
      </c>
      <c r="K26" s="61">
        <v>0</v>
      </c>
      <c r="L26" s="61">
        <v>0</v>
      </c>
      <c r="M26" s="67">
        <v>2.8600286696989538E-2</v>
      </c>
    </row>
    <row r="27" spans="1:13">
      <c r="A27" s="76">
        <v>26</v>
      </c>
      <c r="B27" s="73">
        <v>14.873059182931575</v>
      </c>
      <c r="C27" s="61">
        <v>0</v>
      </c>
      <c r="D27" s="61">
        <v>0.90780742425567917</v>
      </c>
      <c r="E27" s="61">
        <v>0</v>
      </c>
      <c r="F27" s="61">
        <v>0</v>
      </c>
      <c r="G27" s="67">
        <v>-2.8600286696990825E-2</v>
      </c>
      <c r="H27" s="73">
        <v>-14.873059182931575</v>
      </c>
      <c r="I27" s="61">
        <v>0</v>
      </c>
      <c r="J27" s="61">
        <v>-0.90780742425567917</v>
      </c>
      <c r="K27" s="61">
        <v>0</v>
      </c>
      <c r="L27" s="61">
        <v>0</v>
      </c>
      <c r="M27" s="67">
        <v>4.7880128296723841E-2</v>
      </c>
    </row>
    <row r="28" spans="1:13">
      <c r="A28" s="76">
        <v>27</v>
      </c>
      <c r="B28" s="73">
        <v>16.268904923092528</v>
      </c>
      <c r="C28" s="61">
        <v>0</v>
      </c>
      <c r="D28" s="61">
        <v>0.98493360778399885</v>
      </c>
      <c r="E28" s="61">
        <v>0</v>
      </c>
      <c r="F28" s="61">
        <v>0</v>
      </c>
      <c r="G28" s="67">
        <v>-4.7880128296725853E-2</v>
      </c>
      <c r="H28" s="73">
        <v>-16.268904923092528</v>
      </c>
      <c r="I28" s="61">
        <v>0</v>
      </c>
      <c r="J28" s="61">
        <v>-0.98493360778399885</v>
      </c>
      <c r="K28" s="61">
        <v>0</v>
      </c>
      <c r="L28" s="61">
        <v>0</v>
      </c>
      <c r="M28" s="67">
        <v>5.887926879478695E-2</v>
      </c>
    </row>
    <row r="29" spans="1:13">
      <c r="A29" s="76">
        <v>28</v>
      </c>
      <c r="B29" s="73">
        <v>16.953557728277616</v>
      </c>
      <c r="C29" s="61">
        <v>0</v>
      </c>
      <c r="D29" s="61">
        <v>1.0301950168144824</v>
      </c>
      <c r="E29" s="61">
        <v>0</v>
      </c>
      <c r="F29" s="61">
        <v>0</v>
      </c>
      <c r="G29" s="67">
        <v>-5.8879268794786874E-2</v>
      </c>
      <c r="H29" s="73">
        <v>-16.953557728277616</v>
      </c>
      <c r="I29" s="61">
        <v>0</v>
      </c>
      <c r="J29" s="61">
        <v>-1.0301950168144824</v>
      </c>
      <c r="K29" s="61">
        <v>0</v>
      </c>
      <c r="L29" s="61">
        <v>0</v>
      </c>
      <c r="M29" s="67">
        <v>7.510621019207106E-2</v>
      </c>
    </row>
    <row r="30" spans="1:13">
      <c r="A30" s="76">
        <v>29</v>
      </c>
      <c r="B30" s="73">
        <v>17.057536074779595</v>
      </c>
      <c r="C30" s="61">
        <v>0</v>
      </c>
      <c r="D30" s="61">
        <v>1.0887569264400849</v>
      </c>
      <c r="E30" s="61">
        <v>0</v>
      </c>
      <c r="F30" s="61">
        <v>0</v>
      </c>
      <c r="G30" s="67">
        <v>-7.5106210192073197E-2</v>
      </c>
      <c r="H30" s="73">
        <v>-17.057536074779595</v>
      </c>
      <c r="I30" s="61">
        <v>0</v>
      </c>
      <c r="J30" s="61">
        <v>-1.0887569264400849</v>
      </c>
      <c r="K30" s="61">
        <v>0</v>
      </c>
      <c r="L30" s="61">
        <v>0</v>
      </c>
      <c r="M30" s="67">
        <v>0.15673716263370693</v>
      </c>
    </row>
    <row r="31" spans="1:13">
      <c r="A31" s="76">
        <v>30</v>
      </c>
      <c r="B31" s="73">
        <v>16.636003243550292</v>
      </c>
      <c r="C31" s="61">
        <v>0</v>
      </c>
      <c r="D31" s="61">
        <v>0.75240872221125177</v>
      </c>
      <c r="E31" s="61">
        <v>0</v>
      </c>
      <c r="F31" s="61">
        <v>0</v>
      </c>
      <c r="G31" s="67">
        <v>-0.15673716263369605</v>
      </c>
      <c r="H31" s="73">
        <v>-16.636003243550292</v>
      </c>
      <c r="I31" s="61">
        <v>0</v>
      </c>
      <c r="J31" s="61">
        <v>-0.75240872221125177</v>
      </c>
      <c r="K31" s="61">
        <v>0</v>
      </c>
      <c r="L31" s="61">
        <v>0</v>
      </c>
      <c r="M31" s="67">
        <v>-0.15045217786850923</v>
      </c>
    </row>
    <row r="32" spans="1:13">
      <c r="A32" s="76">
        <v>31</v>
      </c>
      <c r="B32" s="73">
        <v>16.636003243550295</v>
      </c>
      <c r="C32" s="61">
        <v>0</v>
      </c>
      <c r="D32" s="61">
        <v>-0.75240872221123067</v>
      </c>
      <c r="E32" s="61">
        <v>0</v>
      </c>
      <c r="F32" s="61">
        <v>0</v>
      </c>
      <c r="G32" s="67">
        <v>0.15045217786851325</v>
      </c>
      <c r="H32" s="73">
        <v>-16.636003243550295</v>
      </c>
      <c r="I32" s="61">
        <v>0</v>
      </c>
      <c r="J32" s="61">
        <v>0.75240872221123067</v>
      </c>
      <c r="K32" s="61">
        <v>0</v>
      </c>
      <c r="L32" s="61">
        <v>0</v>
      </c>
      <c r="M32" s="67">
        <v>0.15673716263372911</v>
      </c>
    </row>
    <row r="33" spans="1:13">
      <c r="A33" s="76">
        <v>32</v>
      </c>
      <c r="B33" s="73">
        <v>17.057536074779716</v>
      </c>
      <c r="C33" s="61">
        <v>0</v>
      </c>
      <c r="D33" s="61">
        <v>-1.0887569264401125</v>
      </c>
      <c r="E33" s="61">
        <v>0</v>
      </c>
      <c r="F33" s="61">
        <v>0</v>
      </c>
      <c r="G33" s="67">
        <v>-0.15673716263372336</v>
      </c>
      <c r="H33" s="73">
        <v>-17.057536074779716</v>
      </c>
      <c r="I33" s="61">
        <v>0</v>
      </c>
      <c r="J33" s="61">
        <v>1.0887569264401125</v>
      </c>
      <c r="K33" s="61">
        <v>0</v>
      </c>
      <c r="L33" s="61">
        <v>0</v>
      </c>
      <c r="M33" s="67">
        <v>7.510621019206766E-2</v>
      </c>
    </row>
    <row r="34" spans="1:13">
      <c r="A34" s="76">
        <v>33</v>
      </c>
      <c r="B34" s="73">
        <v>16.95355772827752</v>
      </c>
      <c r="C34" s="61">
        <v>0</v>
      </c>
      <c r="D34" s="61">
        <v>-1.0301950168144847</v>
      </c>
      <c r="E34" s="61">
        <v>0</v>
      </c>
      <c r="F34" s="61">
        <v>0</v>
      </c>
      <c r="G34" s="67">
        <v>-7.5106210192071601E-2</v>
      </c>
      <c r="H34" s="73">
        <v>-16.95355772827752</v>
      </c>
      <c r="I34" s="61">
        <v>0</v>
      </c>
      <c r="J34" s="61">
        <v>1.0301950168144847</v>
      </c>
      <c r="K34" s="61">
        <v>0</v>
      </c>
      <c r="L34" s="61">
        <v>0</v>
      </c>
      <c r="M34" s="67">
        <v>5.8879268794776486E-2</v>
      </c>
    </row>
    <row r="35" spans="1:13">
      <c r="A35" s="76">
        <v>34</v>
      </c>
      <c r="B35" s="73">
        <v>16.268904923092144</v>
      </c>
      <c r="C35" s="61">
        <v>0</v>
      </c>
      <c r="D35" s="61">
        <v>-0.98493360778396732</v>
      </c>
      <c r="E35" s="61">
        <v>0</v>
      </c>
      <c r="F35" s="61">
        <v>0</v>
      </c>
      <c r="G35" s="67">
        <v>-5.8879268794774148E-2</v>
      </c>
      <c r="H35" s="73">
        <v>-16.268904923092144</v>
      </c>
      <c r="I35" s="61">
        <v>0</v>
      </c>
      <c r="J35" s="61">
        <v>0.98493360778396732</v>
      </c>
      <c r="K35" s="61">
        <v>0</v>
      </c>
      <c r="L35" s="61">
        <v>0</v>
      </c>
      <c r="M35" s="67">
        <v>4.7880128296725777E-2</v>
      </c>
    </row>
    <row r="36" spans="1:13">
      <c r="A36" s="76">
        <v>35</v>
      </c>
      <c r="B36" s="73">
        <v>14.873059182931399</v>
      </c>
      <c r="C36" s="61">
        <v>0</v>
      </c>
      <c r="D36" s="61">
        <v>-0.90780742425567085</v>
      </c>
      <c r="E36" s="61">
        <v>0</v>
      </c>
      <c r="F36" s="61">
        <v>0</v>
      </c>
      <c r="G36" s="67">
        <v>-4.788012829671906E-2</v>
      </c>
      <c r="H36" s="73">
        <v>-14.873059182931399</v>
      </c>
      <c r="I36" s="61">
        <v>0</v>
      </c>
      <c r="J36" s="61">
        <v>0.90780742425567085</v>
      </c>
      <c r="K36" s="61">
        <v>0</v>
      </c>
      <c r="L36" s="61">
        <v>0</v>
      </c>
      <c r="M36" s="67">
        <v>2.8600286696982773E-2</v>
      </c>
    </row>
    <row r="37" spans="1:13">
      <c r="A37" s="76">
        <v>36</v>
      </c>
      <c r="B37" s="73">
        <v>12.590234508130839</v>
      </c>
      <c r="C37" s="61">
        <v>0</v>
      </c>
      <c r="D37" s="61">
        <v>-0.78311386090599655</v>
      </c>
      <c r="E37" s="61">
        <v>0</v>
      </c>
      <c r="F37" s="61">
        <v>0</v>
      </c>
      <c r="G37" s="67">
        <v>-2.8600286696983647E-2</v>
      </c>
      <c r="H37" s="73">
        <v>-12.590234508130839</v>
      </c>
      <c r="I37" s="61">
        <v>0</v>
      </c>
      <c r="J37" s="61">
        <v>0.78311386090599655</v>
      </c>
      <c r="K37" s="61">
        <v>0</v>
      </c>
      <c r="L37" s="61">
        <v>0</v>
      </c>
      <c r="M37" s="67">
        <v>-6.0244513257001328E-3</v>
      </c>
    </row>
    <row r="38" spans="1:13">
      <c r="A38" s="76">
        <v>37</v>
      </c>
      <c r="B38" s="73">
        <v>9.0751819601453469</v>
      </c>
      <c r="C38" s="61">
        <v>0</v>
      </c>
      <c r="D38" s="61">
        <v>-0.53571597813995508</v>
      </c>
      <c r="E38" s="61">
        <v>0</v>
      </c>
      <c r="F38" s="61">
        <v>0</v>
      </c>
      <c r="G38" s="67">
        <v>6.0244513256996037E-3</v>
      </c>
      <c r="H38" s="73">
        <v>-9.0751819601453469</v>
      </c>
      <c r="I38" s="61">
        <v>0</v>
      </c>
      <c r="J38" s="61">
        <v>0.53571597813995508</v>
      </c>
      <c r="K38" s="61">
        <v>0</v>
      </c>
      <c r="L38" s="61">
        <v>0</v>
      </c>
      <c r="M38" s="67">
        <v>4.9692230102580618E-3</v>
      </c>
    </row>
    <row r="39" spans="1:13">
      <c r="A39" s="76">
        <v>38</v>
      </c>
      <c r="B39" s="73">
        <v>3.9844799332208014</v>
      </c>
      <c r="C39" s="61">
        <v>0</v>
      </c>
      <c r="D39" s="61">
        <v>-0.24077351819860643</v>
      </c>
      <c r="E39" s="61">
        <v>0</v>
      </c>
      <c r="F39" s="61">
        <v>0</v>
      </c>
      <c r="G39" s="67">
        <v>-4.9692230102573931E-3</v>
      </c>
      <c r="H39" s="73">
        <v>-3.9844799332208014</v>
      </c>
      <c r="I39" s="61">
        <v>0</v>
      </c>
      <c r="J39" s="61">
        <v>0.24077351819860643</v>
      </c>
      <c r="K39" s="61">
        <v>0</v>
      </c>
      <c r="L39" s="61">
        <v>0</v>
      </c>
      <c r="M39" s="67">
        <v>2.8383202535595268E-3</v>
      </c>
    </row>
    <row r="40" spans="1:13">
      <c r="A40" s="76">
        <v>39</v>
      </c>
      <c r="B40" s="73">
        <v>-1.1025777785406561</v>
      </c>
      <c r="C40" s="61">
        <v>0</v>
      </c>
      <c r="D40" s="61">
        <v>5.4323148172515698E-2</v>
      </c>
      <c r="E40" s="61">
        <v>0</v>
      </c>
      <c r="F40" s="61">
        <v>0</v>
      </c>
      <c r="G40" s="67">
        <v>-2.838320253559564E-3</v>
      </c>
      <c r="H40" s="73">
        <v>1.1025777785406561</v>
      </c>
      <c r="I40" s="61">
        <v>0</v>
      </c>
      <c r="J40" s="61">
        <v>-5.4323148172515698E-2</v>
      </c>
      <c r="K40" s="61">
        <v>0</v>
      </c>
      <c r="L40" s="61">
        <v>0</v>
      </c>
      <c r="M40" s="67">
        <v>-1.195107792134506E-2</v>
      </c>
    </row>
    <row r="41" spans="1:13">
      <c r="A41" s="76">
        <v>40</v>
      </c>
      <c r="B41" s="73">
        <v>3.0095954118672147E-16</v>
      </c>
      <c r="C41" s="61">
        <v>0</v>
      </c>
      <c r="D41" s="61">
        <v>9.5608623370760371E-3</v>
      </c>
      <c r="E41" s="61">
        <v>0</v>
      </c>
      <c r="F41" s="61">
        <v>0</v>
      </c>
      <c r="G41" s="67">
        <v>1.1951077921345057E-2</v>
      </c>
      <c r="H41" s="73">
        <v>-3.0095954118672147E-16</v>
      </c>
      <c r="I41" s="61">
        <v>0</v>
      </c>
      <c r="J41" s="61">
        <v>-9.5608623370760371E-3</v>
      </c>
      <c r="K41" s="61">
        <v>0</v>
      </c>
      <c r="L41" s="61">
        <v>0</v>
      </c>
      <c r="M41" s="67">
        <v>8.3043110148811605E-18</v>
      </c>
    </row>
    <row r="42" spans="1:13">
      <c r="A42" s="76">
        <v>41</v>
      </c>
      <c r="B42" s="73">
        <v>2.6969119007905977E-17</v>
      </c>
      <c r="C42" s="61">
        <v>0</v>
      </c>
      <c r="D42" s="61">
        <v>0.44043913766292336</v>
      </c>
      <c r="E42" s="61">
        <v>0</v>
      </c>
      <c r="F42" s="61">
        <v>0</v>
      </c>
      <c r="G42" s="67">
        <v>0</v>
      </c>
      <c r="H42" s="73">
        <v>-2.6969119007905977E-17</v>
      </c>
      <c r="I42" s="61">
        <v>0</v>
      </c>
      <c r="J42" s="61">
        <v>-0.44043913766292336</v>
      </c>
      <c r="K42" s="61">
        <v>0</v>
      </c>
      <c r="L42" s="61">
        <v>0</v>
      </c>
      <c r="M42" s="67">
        <v>0</v>
      </c>
    </row>
    <row r="43" spans="1:13">
      <c r="A43" s="76">
        <v>42</v>
      </c>
      <c r="B43" s="73">
        <v>5.8570362159795419E-17</v>
      </c>
      <c r="C43" s="61">
        <v>0</v>
      </c>
      <c r="D43" s="61">
        <v>0.95652660343495588</v>
      </c>
      <c r="E43" s="61">
        <v>0</v>
      </c>
      <c r="F43" s="61">
        <v>0</v>
      </c>
      <c r="G43" s="67">
        <v>0</v>
      </c>
      <c r="H43" s="73">
        <v>-5.8570362159795419E-17</v>
      </c>
      <c r="I43" s="61">
        <v>0</v>
      </c>
      <c r="J43" s="61">
        <v>-0.95652660343495588</v>
      </c>
      <c r="K43" s="61">
        <v>0</v>
      </c>
      <c r="L43" s="61">
        <v>0</v>
      </c>
      <c r="M43" s="67">
        <v>0</v>
      </c>
    </row>
    <row r="44" spans="1:13">
      <c r="A44" s="76">
        <v>43</v>
      </c>
      <c r="B44" s="73">
        <v>-1.2881175804968362E-16</v>
      </c>
      <c r="C44" s="61">
        <v>0</v>
      </c>
      <c r="D44" s="61">
        <v>-2.1036556522152736</v>
      </c>
      <c r="E44" s="61">
        <v>0</v>
      </c>
      <c r="F44" s="61">
        <v>0</v>
      </c>
      <c r="G44" s="67">
        <v>0</v>
      </c>
      <c r="H44" s="73">
        <v>1.2881175804968362E-16</v>
      </c>
      <c r="I44" s="61">
        <v>0</v>
      </c>
      <c r="J44" s="61">
        <v>2.1036556522152736</v>
      </c>
      <c r="K44" s="61">
        <v>0</v>
      </c>
      <c r="L44" s="61">
        <v>0</v>
      </c>
      <c r="M44" s="67">
        <v>0</v>
      </c>
    </row>
    <row r="45" spans="1:13">
      <c r="A45" s="76">
        <v>44</v>
      </c>
      <c r="B45" s="73">
        <v>-1.4764910026745893E-16</v>
      </c>
      <c r="C45" s="61">
        <v>0</v>
      </c>
      <c r="D45" s="61">
        <v>-2.4112927967518143</v>
      </c>
      <c r="E45" s="61">
        <v>0</v>
      </c>
      <c r="F45" s="61">
        <v>0</v>
      </c>
      <c r="G45" s="67">
        <v>0</v>
      </c>
      <c r="H45" s="73">
        <v>1.4764910026745893E-16</v>
      </c>
      <c r="I45" s="61">
        <v>0</v>
      </c>
      <c r="J45" s="61">
        <v>2.4112927967518143</v>
      </c>
      <c r="K45" s="61">
        <v>0</v>
      </c>
      <c r="L45" s="61">
        <v>0</v>
      </c>
      <c r="M45" s="67">
        <v>0</v>
      </c>
    </row>
    <row r="46" spans="1:13">
      <c r="A46" s="76">
        <v>45</v>
      </c>
      <c r="B46" s="73">
        <v>-1.0365642271558809E-16</v>
      </c>
      <c r="C46" s="61">
        <v>0</v>
      </c>
      <c r="D46" s="61">
        <v>-1.6928378498642667</v>
      </c>
      <c r="E46" s="61">
        <v>0</v>
      </c>
      <c r="F46" s="61">
        <v>0</v>
      </c>
      <c r="G46" s="67">
        <v>0</v>
      </c>
      <c r="H46" s="73">
        <v>1.0365642271558809E-16</v>
      </c>
      <c r="I46" s="61">
        <v>0</v>
      </c>
      <c r="J46" s="61">
        <v>1.6928378498642667</v>
      </c>
      <c r="K46" s="61">
        <v>0</v>
      </c>
      <c r="L46" s="61">
        <v>0</v>
      </c>
      <c r="M46" s="67">
        <v>0</v>
      </c>
    </row>
    <row r="47" spans="1:13">
      <c r="A47" s="76">
        <v>46</v>
      </c>
      <c r="B47" s="73">
        <v>-6.8249363804994036E-17</v>
      </c>
      <c r="C47" s="61">
        <v>0</v>
      </c>
      <c r="D47" s="61">
        <v>-1.1145966960026663</v>
      </c>
      <c r="E47" s="61">
        <v>0</v>
      </c>
      <c r="F47" s="61">
        <v>0</v>
      </c>
      <c r="G47" s="67">
        <v>0</v>
      </c>
      <c r="H47" s="73">
        <v>6.8249363804994036E-17</v>
      </c>
      <c r="I47" s="61">
        <v>0</v>
      </c>
      <c r="J47" s="61">
        <v>1.1145966960026663</v>
      </c>
      <c r="K47" s="61">
        <v>0</v>
      </c>
      <c r="L47" s="61">
        <v>0</v>
      </c>
      <c r="M47" s="67">
        <v>0</v>
      </c>
    </row>
    <row r="48" spans="1:13">
      <c r="A48" s="76">
        <v>47</v>
      </c>
      <c r="B48" s="73">
        <v>-3.6099551041418593E-17</v>
      </c>
      <c r="C48" s="61">
        <v>0</v>
      </c>
      <c r="D48" s="61">
        <v>-0.58955040860030017</v>
      </c>
      <c r="E48" s="61">
        <v>0</v>
      </c>
      <c r="F48" s="61">
        <v>0</v>
      </c>
      <c r="G48" s="67">
        <v>0</v>
      </c>
      <c r="H48" s="73">
        <v>3.6099551041418593E-17</v>
      </c>
      <c r="I48" s="61">
        <v>0</v>
      </c>
      <c r="J48" s="61">
        <v>0.58955040860030017</v>
      </c>
      <c r="K48" s="61">
        <v>0</v>
      </c>
      <c r="L48" s="61">
        <v>0</v>
      </c>
      <c r="M48" s="67">
        <v>0</v>
      </c>
    </row>
    <row r="49" spans="1:13">
      <c r="A49" s="76">
        <v>48</v>
      </c>
      <c r="B49" s="73">
        <v>-5.7276732895693927E-18</v>
      </c>
      <c r="C49" s="61">
        <v>0</v>
      </c>
      <c r="D49" s="61">
        <v>-9.3540003428861637E-2</v>
      </c>
      <c r="E49" s="61">
        <v>0</v>
      </c>
      <c r="F49" s="61">
        <v>0</v>
      </c>
      <c r="G49" s="67">
        <v>0</v>
      </c>
      <c r="H49" s="73">
        <v>5.7276732895693927E-18</v>
      </c>
      <c r="I49" s="61">
        <v>0</v>
      </c>
      <c r="J49" s="61">
        <v>9.3540003428861637E-2</v>
      </c>
      <c r="K49" s="61">
        <v>0</v>
      </c>
      <c r="L49" s="61">
        <v>0</v>
      </c>
      <c r="M49" s="67">
        <v>0</v>
      </c>
    </row>
    <row r="50" spans="1:13">
      <c r="A50" s="76">
        <v>49</v>
      </c>
      <c r="B50" s="73">
        <v>2.5282945275254583E-17</v>
      </c>
      <c r="C50" s="61">
        <v>0</v>
      </c>
      <c r="D50" s="61">
        <v>0.41290183084392257</v>
      </c>
      <c r="E50" s="61">
        <v>0</v>
      </c>
      <c r="F50" s="61">
        <v>0</v>
      </c>
      <c r="G50" s="67">
        <v>0</v>
      </c>
      <c r="H50" s="73">
        <v>-2.5282945275254583E-17</v>
      </c>
      <c r="I50" s="61">
        <v>0</v>
      </c>
      <c r="J50" s="61">
        <v>-0.41290183084392257</v>
      </c>
      <c r="K50" s="61">
        <v>0</v>
      </c>
      <c r="L50" s="61">
        <v>0</v>
      </c>
      <c r="M50" s="67">
        <v>0</v>
      </c>
    </row>
    <row r="51" spans="1:13">
      <c r="A51" s="76">
        <v>50</v>
      </c>
      <c r="B51" s="73">
        <v>3.2254378187961627E-17</v>
      </c>
      <c r="C51" s="61">
        <v>0</v>
      </c>
      <c r="D51" s="61">
        <v>0.52675397037608529</v>
      </c>
      <c r="E51" s="61">
        <v>0</v>
      </c>
      <c r="F51" s="61">
        <v>0</v>
      </c>
      <c r="G51" s="67">
        <v>0</v>
      </c>
      <c r="H51" s="73">
        <v>-3.2254378187961627E-17</v>
      </c>
      <c r="I51" s="61">
        <v>0</v>
      </c>
      <c r="J51" s="61">
        <v>-0.52675397037608529</v>
      </c>
      <c r="K51" s="61">
        <v>0</v>
      </c>
      <c r="L51" s="61">
        <v>0</v>
      </c>
      <c r="M51" s="67">
        <v>0</v>
      </c>
    </row>
    <row r="52" spans="1:13">
      <c r="A52" s="76">
        <v>51</v>
      </c>
      <c r="B52" s="73">
        <v>-5.1473235474294446E-19</v>
      </c>
      <c r="C52" s="61">
        <v>0</v>
      </c>
      <c r="D52" s="61">
        <v>-8.4062172881408936E-3</v>
      </c>
      <c r="E52" s="61">
        <v>0</v>
      </c>
      <c r="F52" s="61">
        <v>0</v>
      </c>
      <c r="G52" s="67">
        <v>0</v>
      </c>
      <c r="H52" s="73">
        <v>5.1473235474294446E-19</v>
      </c>
      <c r="I52" s="61">
        <v>0</v>
      </c>
      <c r="J52" s="61">
        <v>8.4062172881408936E-3</v>
      </c>
      <c r="K52" s="61">
        <v>0</v>
      </c>
      <c r="L52" s="61">
        <v>0</v>
      </c>
      <c r="M52" s="67">
        <v>0</v>
      </c>
    </row>
    <row r="53" spans="1:13">
      <c r="A53" s="76">
        <v>52</v>
      </c>
      <c r="B53" s="73">
        <v>3.2254378187965837E-17</v>
      </c>
      <c r="C53" s="61">
        <v>0</v>
      </c>
      <c r="D53" s="61">
        <v>0.52675397037615401</v>
      </c>
      <c r="E53" s="61">
        <v>0</v>
      </c>
      <c r="F53" s="61">
        <v>0</v>
      </c>
      <c r="G53" s="67">
        <v>0</v>
      </c>
      <c r="H53" s="73">
        <v>-3.2254378187965837E-17</v>
      </c>
      <c r="I53" s="61">
        <v>0</v>
      </c>
      <c r="J53" s="61">
        <v>-0.52675397037615401</v>
      </c>
      <c r="K53" s="61">
        <v>0</v>
      </c>
      <c r="L53" s="61">
        <v>0</v>
      </c>
      <c r="M53" s="67">
        <v>0</v>
      </c>
    </row>
    <row r="54" spans="1:13">
      <c r="A54" s="76">
        <v>53</v>
      </c>
      <c r="B54" s="73">
        <v>2.5282945275241432E-17</v>
      </c>
      <c r="C54" s="61">
        <v>0</v>
      </c>
      <c r="D54" s="61">
        <v>0.4129018308437078</v>
      </c>
      <c r="E54" s="61">
        <v>0</v>
      </c>
      <c r="F54" s="61">
        <v>0</v>
      </c>
      <c r="G54" s="67">
        <v>0</v>
      </c>
      <c r="H54" s="73">
        <v>-2.5282945275241432E-17</v>
      </c>
      <c r="I54" s="61">
        <v>0</v>
      </c>
      <c r="J54" s="61">
        <v>-0.4129018308437078</v>
      </c>
      <c r="K54" s="61">
        <v>0</v>
      </c>
      <c r="L54" s="61">
        <v>0</v>
      </c>
      <c r="M54" s="67">
        <v>0</v>
      </c>
    </row>
    <row r="55" spans="1:13">
      <c r="A55" s="76">
        <v>54</v>
      </c>
      <c r="B55" s="73">
        <v>-5.7276732895755079E-18</v>
      </c>
      <c r="C55" s="61">
        <v>0</v>
      </c>
      <c r="D55" s="61">
        <v>-9.3540003428961516E-2</v>
      </c>
      <c r="E55" s="61">
        <v>0</v>
      </c>
      <c r="F55" s="61">
        <v>0</v>
      </c>
      <c r="G55" s="67">
        <v>0</v>
      </c>
      <c r="H55" s="73">
        <v>5.7276732895755079E-18</v>
      </c>
      <c r="I55" s="61">
        <v>0</v>
      </c>
      <c r="J55" s="61">
        <v>9.3540003428961516E-2</v>
      </c>
      <c r="K55" s="61">
        <v>0</v>
      </c>
      <c r="L55" s="61">
        <v>0</v>
      </c>
      <c r="M55" s="67">
        <v>0</v>
      </c>
    </row>
    <row r="56" spans="1:13">
      <c r="A56" s="76">
        <v>55</v>
      </c>
      <c r="B56" s="73">
        <v>-3.6099551041419511E-17</v>
      </c>
      <c r="C56" s="61">
        <v>0</v>
      </c>
      <c r="D56" s="61">
        <v>-0.58955040860031516</v>
      </c>
      <c r="E56" s="61">
        <v>0</v>
      </c>
      <c r="F56" s="61">
        <v>0</v>
      </c>
      <c r="G56" s="67">
        <v>0</v>
      </c>
      <c r="H56" s="73">
        <v>3.6099551041419511E-17</v>
      </c>
      <c r="I56" s="61">
        <v>0</v>
      </c>
      <c r="J56" s="61">
        <v>0.58955040860031516</v>
      </c>
      <c r="K56" s="61">
        <v>0</v>
      </c>
      <c r="L56" s="61">
        <v>0</v>
      </c>
      <c r="M56" s="67">
        <v>0</v>
      </c>
    </row>
    <row r="57" spans="1:13">
      <c r="A57" s="76">
        <v>56</v>
      </c>
      <c r="B57" s="73">
        <v>-6.8249363805003675E-17</v>
      </c>
      <c r="C57" s="61">
        <v>0</v>
      </c>
      <c r="D57" s="61">
        <v>-1.1145966960028237</v>
      </c>
      <c r="E57" s="61">
        <v>0</v>
      </c>
      <c r="F57" s="61">
        <v>0</v>
      </c>
      <c r="G57" s="67">
        <v>0</v>
      </c>
      <c r="H57" s="73">
        <v>6.8249363805003675E-17</v>
      </c>
      <c r="I57" s="61">
        <v>0</v>
      </c>
      <c r="J57" s="61">
        <v>1.1145966960028237</v>
      </c>
      <c r="K57" s="61">
        <v>0</v>
      </c>
      <c r="L57" s="61">
        <v>0</v>
      </c>
      <c r="M57" s="67">
        <v>0</v>
      </c>
    </row>
    <row r="58" spans="1:13">
      <c r="A58" s="76">
        <v>57</v>
      </c>
      <c r="B58" s="73">
        <v>-1.0365642271558944E-16</v>
      </c>
      <c r="C58" s="61">
        <v>0</v>
      </c>
      <c r="D58" s="61">
        <v>-1.6928378498642886</v>
      </c>
      <c r="E58" s="61">
        <v>0</v>
      </c>
      <c r="F58" s="61">
        <v>0</v>
      </c>
      <c r="G58" s="67">
        <v>0</v>
      </c>
      <c r="H58" s="73">
        <v>1.0365642271558944E-16</v>
      </c>
      <c r="I58" s="61">
        <v>0</v>
      </c>
      <c r="J58" s="61">
        <v>1.6928378498642886</v>
      </c>
      <c r="K58" s="61">
        <v>0</v>
      </c>
      <c r="L58" s="61">
        <v>0</v>
      </c>
      <c r="M58" s="67">
        <v>0</v>
      </c>
    </row>
    <row r="59" spans="1:13">
      <c r="A59" s="76">
        <v>58</v>
      </c>
      <c r="B59" s="73">
        <v>-1.4764910026746576E-16</v>
      </c>
      <c r="C59" s="61">
        <v>0</v>
      </c>
      <c r="D59" s="61">
        <v>-2.4112927967519258</v>
      </c>
      <c r="E59" s="61">
        <v>0</v>
      </c>
      <c r="F59" s="61">
        <v>0</v>
      </c>
      <c r="G59" s="67">
        <v>0</v>
      </c>
      <c r="H59" s="73">
        <v>1.4764910026746576E-16</v>
      </c>
      <c r="I59" s="61">
        <v>0</v>
      </c>
      <c r="J59" s="61">
        <v>2.4112927967519258</v>
      </c>
      <c r="K59" s="61">
        <v>0</v>
      </c>
      <c r="L59" s="61">
        <v>0</v>
      </c>
      <c r="M59" s="67">
        <v>0</v>
      </c>
    </row>
    <row r="60" spans="1:13">
      <c r="A60" s="76">
        <v>59</v>
      </c>
      <c r="B60" s="73">
        <v>-1.2881175804967975E-16</v>
      </c>
      <c r="C60" s="61">
        <v>0</v>
      </c>
      <c r="D60" s="61">
        <v>-2.1036556522152106</v>
      </c>
      <c r="E60" s="61">
        <v>0</v>
      </c>
      <c r="F60" s="61">
        <v>0</v>
      </c>
      <c r="G60" s="67">
        <v>0</v>
      </c>
      <c r="H60" s="73">
        <v>1.2881175804967975E-16</v>
      </c>
      <c r="I60" s="61">
        <v>0</v>
      </c>
      <c r="J60" s="61">
        <v>2.1036556522152106</v>
      </c>
      <c r="K60" s="61">
        <v>0</v>
      </c>
      <c r="L60" s="61">
        <v>0</v>
      </c>
      <c r="M60" s="67">
        <v>0</v>
      </c>
    </row>
    <row r="61" spans="1:13">
      <c r="A61" s="76">
        <v>60</v>
      </c>
      <c r="B61" s="73">
        <v>5.8570362159791438E-17</v>
      </c>
      <c r="C61" s="61">
        <v>0</v>
      </c>
      <c r="D61" s="61">
        <v>0.95652660343489082</v>
      </c>
      <c r="E61" s="61">
        <v>0</v>
      </c>
      <c r="F61" s="61">
        <v>0</v>
      </c>
      <c r="G61" s="67">
        <v>0</v>
      </c>
      <c r="H61" s="73">
        <v>-5.8570362159791438E-17</v>
      </c>
      <c r="I61" s="61">
        <v>0</v>
      </c>
      <c r="J61" s="61">
        <v>-0.95652660343489082</v>
      </c>
      <c r="K61" s="61">
        <v>0</v>
      </c>
      <c r="L61" s="61">
        <v>0</v>
      </c>
      <c r="M61" s="67">
        <v>0</v>
      </c>
    </row>
    <row r="62" spans="1:13">
      <c r="A62" s="76">
        <v>61</v>
      </c>
      <c r="B62" s="73">
        <v>2.6969119007906011E-17</v>
      </c>
      <c r="C62" s="61">
        <v>0</v>
      </c>
      <c r="D62" s="61">
        <v>0.44043913766292392</v>
      </c>
      <c r="E62" s="61">
        <v>0</v>
      </c>
      <c r="F62" s="61">
        <v>0</v>
      </c>
      <c r="G62" s="67">
        <v>0</v>
      </c>
      <c r="H62" s="73">
        <v>-2.6969119007906011E-17</v>
      </c>
      <c r="I62" s="61">
        <v>0</v>
      </c>
      <c r="J62" s="61">
        <v>-0.44043913766292392</v>
      </c>
      <c r="K62" s="61">
        <v>0</v>
      </c>
      <c r="L62" s="61">
        <v>0</v>
      </c>
      <c r="M62" s="67">
        <v>0</v>
      </c>
    </row>
    <row r="63" spans="1:13">
      <c r="A63" s="76">
        <v>62</v>
      </c>
      <c r="B63" s="73">
        <v>-1.1025777785408248</v>
      </c>
      <c r="C63" s="61">
        <v>0</v>
      </c>
      <c r="D63" s="61">
        <v>-0.55128888927041242</v>
      </c>
      <c r="E63" s="61">
        <v>0</v>
      </c>
      <c r="F63" s="61">
        <v>0</v>
      </c>
      <c r="G63" s="67">
        <v>0</v>
      </c>
      <c r="H63" s="73">
        <v>1.1025777785408248</v>
      </c>
      <c r="I63" s="61">
        <v>0</v>
      </c>
      <c r="J63" s="61">
        <v>0.55128888927041242</v>
      </c>
      <c r="K63" s="61">
        <v>0</v>
      </c>
      <c r="L63" s="61">
        <v>0</v>
      </c>
      <c r="M63" s="67">
        <v>0</v>
      </c>
    </row>
    <row r="64" spans="1:13">
      <c r="A64" s="76">
        <v>63</v>
      </c>
      <c r="B64" s="73">
        <v>5.0870577117613616</v>
      </c>
      <c r="C64" s="61">
        <v>0</v>
      </c>
      <c r="D64" s="61">
        <v>2.8487523185863628</v>
      </c>
      <c r="E64" s="61">
        <v>0</v>
      </c>
      <c r="F64" s="61">
        <v>0</v>
      </c>
      <c r="G64" s="67">
        <v>0</v>
      </c>
      <c r="H64" s="73">
        <v>-5.0870577117613616</v>
      </c>
      <c r="I64" s="61">
        <v>0</v>
      </c>
      <c r="J64" s="61">
        <v>-2.8487523185863628</v>
      </c>
      <c r="K64" s="61">
        <v>0</v>
      </c>
      <c r="L64" s="61">
        <v>0</v>
      </c>
      <c r="M64" s="67">
        <v>0</v>
      </c>
    </row>
    <row r="65" spans="1:13">
      <c r="A65" s="76">
        <v>64</v>
      </c>
      <c r="B65" s="73">
        <v>5.0907020269247276</v>
      </c>
      <c r="C65" s="61">
        <v>0</v>
      </c>
      <c r="D65" s="61">
        <v>3.1562352566933303</v>
      </c>
      <c r="E65" s="61">
        <v>0</v>
      </c>
      <c r="F65" s="61">
        <v>0</v>
      </c>
      <c r="G65" s="67">
        <v>0</v>
      </c>
      <c r="H65" s="73">
        <v>-5.0907020269247276</v>
      </c>
      <c r="I65" s="61">
        <v>0</v>
      </c>
      <c r="J65" s="61">
        <v>-3.1562352566933303</v>
      </c>
      <c r="K65" s="61">
        <v>0</v>
      </c>
      <c r="L65" s="61">
        <v>0</v>
      </c>
      <c r="M65" s="67">
        <v>0</v>
      </c>
    </row>
    <row r="66" spans="1:13">
      <c r="A66" s="76">
        <v>65</v>
      </c>
      <c r="B66" s="73">
        <v>3.5150525479857495</v>
      </c>
      <c r="C66" s="61">
        <v>0</v>
      </c>
      <c r="D66" s="61">
        <v>2.3902357326303099</v>
      </c>
      <c r="E66" s="61">
        <v>0</v>
      </c>
      <c r="F66" s="61">
        <v>0</v>
      </c>
      <c r="G66" s="67">
        <v>0</v>
      </c>
      <c r="H66" s="73">
        <v>-3.5150525479857495</v>
      </c>
      <c r="I66" s="61">
        <v>0</v>
      </c>
      <c r="J66" s="61">
        <v>-2.3902357326303099</v>
      </c>
      <c r="K66" s="61">
        <v>0</v>
      </c>
      <c r="L66" s="61">
        <v>0</v>
      </c>
      <c r="M66" s="67">
        <v>0</v>
      </c>
    </row>
    <row r="67" spans="1:13">
      <c r="A67" s="76">
        <v>66</v>
      </c>
      <c r="B67" s="73">
        <v>2.2828246748006316</v>
      </c>
      <c r="C67" s="61">
        <v>0</v>
      </c>
      <c r="D67" s="61">
        <v>1.689290259352467</v>
      </c>
      <c r="E67" s="61">
        <v>0</v>
      </c>
      <c r="F67" s="61">
        <v>0</v>
      </c>
      <c r="G67" s="67">
        <v>0</v>
      </c>
      <c r="H67" s="73">
        <v>-2.2828246748006316</v>
      </c>
      <c r="I67" s="61">
        <v>0</v>
      </c>
      <c r="J67" s="61">
        <v>-1.689290259352467</v>
      </c>
      <c r="K67" s="61">
        <v>0</v>
      </c>
      <c r="L67" s="61">
        <v>0</v>
      </c>
      <c r="M67" s="67">
        <v>0</v>
      </c>
    </row>
    <row r="68" spans="1:13">
      <c r="A68" s="76">
        <v>67</v>
      </c>
      <c r="B68" s="73">
        <v>1.3958457401606141</v>
      </c>
      <c r="C68" s="61">
        <v>0</v>
      </c>
      <c r="D68" s="61">
        <v>1.1166765921284914</v>
      </c>
      <c r="E68" s="61">
        <v>0</v>
      </c>
      <c r="F68" s="61">
        <v>0</v>
      </c>
      <c r="G68" s="67">
        <v>0</v>
      </c>
      <c r="H68" s="73">
        <v>-1.3958457401606141</v>
      </c>
      <c r="I68" s="61">
        <v>0</v>
      </c>
      <c r="J68" s="61">
        <v>-1.1166765921284914</v>
      </c>
      <c r="K68" s="61">
        <v>0</v>
      </c>
      <c r="L68" s="61">
        <v>0</v>
      </c>
      <c r="M68" s="67">
        <v>0</v>
      </c>
    </row>
    <row r="69" spans="1:13">
      <c r="A69" s="76">
        <v>68</v>
      </c>
      <c r="B69" s="73">
        <v>0.6846528051852212</v>
      </c>
      <c r="C69" s="61">
        <v>0</v>
      </c>
      <c r="D69" s="61">
        <v>0.5888014124592903</v>
      </c>
      <c r="E69" s="61">
        <v>0</v>
      </c>
      <c r="F69" s="61">
        <v>0</v>
      </c>
      <c r="G69" s="67">
        <v>0</v>
      </c>
      <c r="H69" s="73">
        <v>-0.6846528051852212</v>
      </c>
      <c r="I69" s="61">
        <v>0</v>
      </c>
      <c r="J69" s="61">
        <v>-0.5888014124592903</v>
      </c>
      <c r="K69" s="61">
        <v>0</v>
      </c>
      <c r="L69" s="61">
        <v>0</v>
      </c>
      <c r="M69" s="67">
        <v>0</v>
      </c>
    </row>
    <row r="70" spans="1:13">
      <c r="A70" s="76">
        <v>69</v>
      </c>
      <c r="B70" s="73">
        <v>0.1039783465019268</v>
      </c>
      <c r="C70" s="61">
        <v>0</v>
      </c>
      <c r="D70" s="61">
        <v>9.5660078781772684E-2</v>
      </c>
      <c r="E70" s="61">
        <v>0</v>
      </c>
      <c r="F70" s="61">
        <v>0</v>
      </c>
      <c r="G70" s="67">
        <v>0</v>
      </c>
      <c r="H70" s="73">
        <v>-0.1039783465019268</v>
      </c>
      <c r="I70" s="61">
        <v>0</v>
      </c>
      <c r="J70" s="61">
        <v>-9.5660078781772684E-2</v>
      </c>
      <c r="K70" s="61">
        <v>0</v>
      </c>
      <c r="L70" s="61">
        <v>0</v>
      </c>
      <c r="M70" s="67">
        <v>0</v>
      </c>
    </row>
    <row r="71" spans="1:13">
      <c r="A71" s="76">
        <v>70</v>
      </c>
      <c r="B71" s="73">
        <v>-0.42153283122958712</v>
      </c>
      <c r="C71" s="61">
        <v>0</v>
      </c>
      <c r="D71" s="61">
        <v>-0.41310217460499526</v>
      </c>
      <c r="E71" s="61">
        <v>0</v>
      </c>
      <c r="F71" s="61">
        <v>0</v>
      </c>
      <c r="G71" s="67">
        <v>0</v>
      </c>
      <c r="H71" s="73">
        <v>0.42153283122958712</v>
      </c>
      <c r="I71" s="61">
        <v>0</v>
      </c>
      <c r="J71" s="61">
        <v>0.41310217460499526</v>
      </c>
      <c r="K71" s="61">
        <v>0</v>
      </c>
      <c r="L71" s="61">
        <v>0</v>
      </c>
      <c r="M71" s="67">
        <v>0</v>
      </c>
    </row>
    <row r="72" spans="1:13">
      <c r="A72" s="76">
        <v>71</v>
      </c>
      <c r="B72" s="73">
        <v>-0.50308232073760917</v>
      </c>
      <c r="C72" s="61">
        <v>0</v>
      </c>
      <c r="D72" s="61">
        <v>-0.52320561356711359</v>
      </c>
      <c r="E72" s="61">
        <v>0</v>
      </c>
      <c r="F72" s="61">
        <v>0</v>
      </c>
      <c r="G72" s="67">
        <v>0</v>
      </c>
      <c r="H72" s="73">
        <v>0.50308232073760917</v>
      </c>
      <c r="I72" s="61">
        <v>0</v>
      </c>
      <c r="J72" s="61">
        <v>0.52320561356711359</v>
      </c>
      <c r="K72" s="61">
        <v>0</v>
      </c>
      <c r="L72" s="61">
        <v>0</v>
      </c>
      <c r="M72" s="67">
        <v>0</v>
      </c>
    </row>
    <row r="73" spans="1:13">
      <c r="A73" s="76">
        <v>72</v>
      </c>
      <c r="B73" s="73">
        <v>0.50308232073764514</v>
      </c>
      <c r="C73" s="61">
        <v>0</v>
      </c>
      <c r="D73" s="61">
        <v>-0.5232056135671509</v>
      </c>
      <c r="E73" s="61">
        <v>0</v>
      </c>
      <c r="F73" s="61">
        <v>0</v>
      </c>
      <c r="G73" s="67">
        <v>0</v>
      </c>
      <c r="H73" s="73">
        <v>-0.50308232073764514</v>
      </c>
      <c r="I73" s="61">
        <v>0</v>
      </c>
      <c r="J73" s="61">
        <v>0.5232056135671509</v>
      </c>
      <c r="K73" s="61">
        <v>0</v>
      </c>
      <c r="L73" s="61">
        <v>0</v>
      </c>
      <c r="M73" s="67">
        <v>0</v>
      </c>
    </row>
    <row r="74" spans="1:13">
      <c r="A74" s="76">
        <v>73</v>
      </c>
      <c r="B74" s="73">
        <v>0.42153283122943025</v>
      </c>
      <c r="C74" s="61">
        <v>0</v>
      </c>
      <c r="D74" s="61">
        <v>-0.41310217460484155</v>
      </c>
      <c r="E74" s="61">
        <v>0</v>
      </c>
      <c r="F74" s="61">
        <v>0</v>
      </c>
      <c r="G74" s="67">
        <v>0</v>
      </c>
      <c r="H74" s="73">
        <v>-0.42153283122943025</v>
      </c>
      <c r="I74" s="61">
        <v>0</v>
      </c>
      <c r="J74" s="61">
        <v>0.41310217460484155</v>
      </c>
      <c r="K74" s="61">
        <v>0</v>
      </c>
      <c r="L74" s="61">
        <v>0</v>
      </c>
      <c r="M74" s="67">
        <v>0</v>
      </c>
    </row>
    <row r="75" spans="1:13">
      <c r="A75" s="76">
        <v>74</v>
      </c>
      <c r="B75" s="73">
        <v>-0.10397834650211515</v>
      </c>
      <c r="C75" s="61">
        <v>0</v>
      </c>
      <c r="D75" s="61">
        <v>9.5660078781946004E-2</v>
      </c>
      <c r="E75" s="61">
        <v>0</v>
      </c>
      <c r="F75" s="61">
        <v>0</v>
      </c>
      <c r="G75" s="67">
        <v>0</v>
      </c>
      <c r="H75" s="73">
        <v>0.10397834650211515</v>
      </c>
      <c r="I75" s="61">
        <v>0</v>
      </c>
      <c r="J75" s="61">
        <v>-9.5660078781946004E-2</v>
      </c>
      <c r="K75" s="61">
        <v>0</v>
      </c>
      <c r="L75" s="61">
        <v>0</v>
      </c>
      <c r="M75" s="67">
        <v>0</v>
      </c>
    </row>
    <row r="76" spans="1:13">
      <c r="A76" s="76">
        <v>75</v>
      </c>
      <c r="B76" s="73">
        <v>-0.68465280518530425</v>
      </c>
      <c r="C76" s="61">
        <v>0</v>
      </c>
      <c r="D76" s="61">
        <v>0.58880141245936202</v>
      </c>
      <c r="E76" s="61">
        <v>0</v>
      </c>
      <c r="F76" s="61">
        <v>0</v>
      </c>
      <c r="G76" s="67">
        <v>0</v>
      </c>
      <c r="H76" s="73">
        <v>0.68465280518530425</v>
      </c>
      <c r="I76" s="61">
        <v>0</v>
      </c>
      <c r="J76" s="61">
        <v>-0.58880141245936202</v>
      </c>
      <c r="K76" s="61">
        <v>0</v>
      </c>
      <c r="L76" s="61">
        <v>0</v>
      </c>
      <c r="M76" s="67">
        <v>0</v>
      </c>
    </row>
    <row r="77" spans="1:13">
      <c r="A77" s="76">
        <v>76</v>
      </c>
      <c r="B77" s="73">
        <v>-1.3958457401606876</v>
      </c>
      <c r="C77" s="61">
        <v>0</v>
      </c>
      <c r="D77" s="61">
        <v>1.1166765921285509</v>
      </c>
      <c r="E77" s="61">
        <v>0</v>
      </c>
      <c r="F77" s="61">
        <v>0</v>
      </c>
      <c r="G77" s="67">
        <v>0</v>
      </c>
      <c r="H77" s="73">
        <v>1.3958457401606876</v>
      </c>
      <c r="I77" s="61">
        <v>0</v>
      </c>
      <c r="J77" s="61">
        <v>-1.1166765921285509</v>
      </c>
      <c r="K77" s="61">
        <v>0</v>
      </c>
      <c r="L77" s="61">
        <v>0</v>
      </c>
      <c r="M77" s="67">
        <v>0</v>
      </c>
    </row>
    <row r="78" spans="1:13">
      <c r="A78" s="76">
        <v>77</v>
      </c>
      <c r="B78" s="73">
        <v>-2.2828246748006555</v>
      </c>
      <c r="C78" s="61">
        <v>0</v>
      </c>
      <c r="D78" s="61">
        <v>1.6892902593524857</v>
      </c>
      <c r="E78" s="61">
        <v>0</v>
      </c>
      <c r="F78" s="61">
        <v>0</v>
      </c>
      <c r="G78" s="67">
        <v>0</v>
      </c>
      <c r="H78" s="73">
        <v>2.2828246748006555</v>
      </c>
      <c r="I78" s="61">
        <v>0</v>
      </c>
      <c r="J78" s="61">
        <v>-1.6892902593524857</v>
      </c>
      <c r="K78" s="61">
        <v>0</v>
      </c>
      <c r="L78" s="61">
        <v>0</v>
      </c>
      <c r="M78" s="67">
        <v>0</v>
      </c>
    </row>
    <row r="79" spans="1:13">
      <c r="A79" s="76">
        <v>78</v>
      </c>
      <c r="B79" s="73">
        <v>-3.5150525479856345</v>
      </c>
      <c r="C79" s="61">
        <v>0</v>
      </c>
      <c r="D79" s="61">
        <v>2.3902357326302313</v>
      </c>
      <c r="E79" s="61">
        <v>0</v>
      </c>
      <c r="F79" s="61">
        <v>0</v>
      </c>
      <c r="G79" s="67">
        <v>0</v>
      </c>
      <c r="H79" s="73">
        <v>3.5150525479856345</v>
      </c>
      <c r="I79" s="61">
        <v>0</v>
      </c>
      <c r="J79" s="61">
        <v>-2.3902357326302313</v>
      </c>
      <c r="K79" s="61">
        <v>0</v>
      </c>
      <c r="L79" s="61">
        <v>0</v>
      </c>
      <c r="M79" s="67">
        <v>0</v>
      </c>
    </row>
    <row r="80" spans="1:13">
      <c r="A80" s="76">
        <v>79</v>
      </c>
      <c r="B80" s="73">
        <v>-5.0907020269245802</v>
      </c>
      <c r="C80" s="61">
        <v>0</v>
      </c>
      <c r="D80" s="61">
        <v>3.1562352566932388</v>
      </c>
      <c r="E80" s="61">
        <v>0</v>
      </c>
      <c r="F80" s="61">
        <v>0</v>
      </c>
      <c r="G80" s="67">
        <v>0</v>
      </c>
      <c r="H80" s="73">
        <v>5.0907020269245802</v>
      </c>
      <c r="I80" s="61">
        <v>0</v>
      </c>
      <c r="J80" s="61">
        <v>-3.1562352566932388</v>
      </c>
      <c r="K80" s="61">
        <v>0</v>
      </c>
      <c r="L80" s="61">
        <v>0</v>
      </c>
      <c r="M80" s="67">
        <v>0</v>
      </c>
    </row>
    <row r="81" spans="1:13">
      <c r="A81" s="76">
        <v>80</v>
      </c>
      <c r="B81" s="73">
        <v>-5.087057711761382</v>
      </c>
      <c r="C81" s="61">
        <v>0</v>
      </c>
      <c r="D81" s="61">
        <v>2.8487523185863761</v>
      </c>
      <c r="E81" s="61">
        <v>0</v>
      </c>
      <c r="F81" s="61">
        <v>0</v>
      </c>
      <c r="G81" s="67">
        <v>0</v>
      </c>
      <c r="H81" s="73">
        <v>5.087057711761382</v>
      </c>
      <c r="I81" s="61">
        <v>0</v>
      </c>
      <c r="J81" s="61">
        <v>-2.8487523185863761</v>
      </c>
      <c r="K81" s="61">
        <v>0</v>
      </c>
      <c r="L81" s="61">
        <v>0</v>
      </c>
      <c r="M81" s="67">
        <v>0</v>
      </c>
    </row>
    <row r="82" spans="1:13" ht="15" thickBot="1">
      <c r="A82" s="77">
        <v>81</v>
      </c>
      <c r="B82" s="74">
        <v>1.102577778540663</v>
      </c>
      <c r="C82" s="65">
        <v>0</v>
      </c>
      <c r="D82" s="65">
        <v>-0.55128888927033171</v>
      </c>
      <c r="E82" s="65">
        <v>0</v>
      </c>
      <c r="F82" s="65">
        <v>0</v>
      </c>
      <c r="G82" s="68">
        <v>0</v>
      </c>
      <c r="H82" s="74">
        <v>-1.102577778540663</v>
      </c>
      <c r="I82" s="65">
        <v>0</v>
      </c>
      <c r="J82" s="65">
        <v>0.55128888927033171</v>
      </c>
      <c r="K82" s="65">
        <v>0</v>
      </c>
      <c r="L82" s="65">
        <v>0</v>
      </c>
      <c r="M82" s="68">
        <v>0</v>
      </c>
    </row>
  </sheetData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</vt:i4>
      </vt:variant>
    </vt:vector>
  </HeadingPairs>
  <TitlesOfParts>
    <vt:vector size="18" baseType="lpstr">
      <vt:lpstr>Main</vt:lpstr>
      <vt:lpstr>Relatório</vt:lpstr>
      <vt:lpstr>Tipos de Aço</vt:lpstr>
      <vt:lpstr>Perfis</vt:lpstr>
      <vt:lpstr>Otimizador</vt:lpstr>
      <vt:lpstr>Gerar Treliça</vt:lpstr>
      <vt:lpstr>Dim.</vt:lpstr>
      <vt:lpstr>Configurações</vt:lpstr>
      <vt:lpstr>Coordenadas Nós</vt:lpstr>
      <vt:lpstr>Conectividades Barras</vt:lpstr>
      <vt:lpstr>Materiais</vt:lpstr>
      <vt:lpstr>Seções Transversais</vt:lpstr>
      <vt:lpstr>Cargas Nodais</vt:lpstr>
      <vt:lpstr>Carregamentos Barras</vt:lpstr>
      <vt:lpstr>Resultados Nó</vt:lpstr>
      <vt:lpstr>Resultados Barras - Locais</vt:lpstr>
      <vt:lpstr>Resultados Barras - Globais</vt:lpstr>
      <vt:lpstr>'Coordenadas Nós'!Area_de_impressao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Suelio Josileissu da Silva</dc:creator>
  <cp:lastModifiedBy>Suelio Josileissu da Silva</cp:lastModifiedBy>
  <cp:lastPrinted>2018-10-27T15:29:41Z</cp:lastPrinted>
  <dcterms:created xsi:type="dcterms:W3CDTF">2017-05-15T15:48:28Z</dcterms:created>
  <dcterms:modified xsi:type="dcterms:W3CDTF">2022-05-17T15:09:15Z</dcterms:modified>
</cp:coreProperties>
</file>